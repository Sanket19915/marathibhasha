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615" windowWidth="19635" windowHeight="7425"/>
  </bookViews>
  <sheets>
    <sheet name="Sheet1" sheetId="1" r:id="rId1"/>
    <sheet name="Sheet2" sheetId="2" r:id="rId2"/>
    <sheet name="Sheet3" sheetId="3" r:id="rId3"/>
  </sheets>
  <calcPr calcId="125725"/>
</workbook>
</file>

<file path=xl/calcChain.xml><?xml version="1.0" encoding="utf-8"?>
<calcChain xmlns="http://schemas.openxmlformats.org/spreadsheetml/2006/main">
  <c r="B8683" i="1"/>
  <c r="B8629"/>
  <c r="B8605"/>
  <c r="B8568"/>
  <c r="B8567"/>
  <c r="B8548"/>
  <c r="B8518"/>
  <c r="B8428"/>
  <c r="B8327"/>
  <c r="B8311"/>
  <c r="B8207"/>
  <c r="B8189"/>
  <c r="B8182"/>
  <c r="B8160"/>
  <c r="B8055"/>
  <c r="B7913"/>
  <c r="B7795"/>
  <c r="B7721"/>
  <c r="B7687"/>
  <c r="B7590"/>
  <c r="B7540"/>
  <c r="B7496"/>
  <c r="B7415"/>
  <c r="B7373"/>
  <c r="B7289"/>
  <c r="B7226"/>
  <c r="B7174"/>
  <c r="B7122"/>
  <c r="B7040"/>
  <c r="B7017"/>
  <c r="B7006"/>
  <c r="B6977"/>
  <c r="B6970"/>
  <c r="B6882"/>
  <c r="B6846"/>
  <c r="B6790"/>
  <c r="B6788"/>
  <c r="B6667"/>
  <c r="B6633"/>
  <c r="B6574"/>
  <c r="B6306"/>
  <c r="B6121"/>
  <c r="B5964"/>
  <c r="B5963"/>
  <c r="B5942"/>
  <c r="B5798"/>
  <c r="B5792"/>
  <c r="B5785"/>
  <c r="B5771"/>
  <c r="B5739"/>
  <c r="B5731"/>
  <c r="B5594"/>
  <c r="B5569"/>
  <c r="B5521"/>
  <c r="B5480"/>
  <c r="B5449"/>
  <c r="B5182"/>
  <c r="B5128"/>
  <c r="B5113"/>
  <c r="B5098"/>
  <c r="B5091"/>
  <c r="B4983"/>
  <c r="B4924"/>
  <c r="B4885"/>
  <c r="B4874"/>
  <c r="B4873"/>
  <c r="B4858"/>
  <c r="B4826"/>
  <c r="B4801"/>
  <c r="B4795"/>
  <c r="B4694"/>
  <c r="B4656"/>
  <c r="B4654"/>
  <c r="B4517"/>
  <c r="B4371"/>
  <c r="B4253"/>
  <c r="B4077"/>
  <c r="B4009"/>
  <c r="B3960"/>
  <c r="B3935"/>
  <c r="B3924"/>
  <c r="B3923"/>
  <c r="B3850"/>
  <c r="B3833"/>
  <c r="B3767"/>
  <c r="B3752"/>
  <c r="B3695"/>
  <c r="B3693"/>
  <c r="B3653"/>
  <c r="B3633"/>
  <c r="B3497"/>
  <c r="B3429"/>
  <c r="B3399"/>
  <c r="B3354"/>
  <c r="B3339"/>
  <c r="B3326"/>
  <c r="B3241"/>
  <c r="B3235"/>
  <c r="B3226"/>
  <c r="B3220"/>
  <c r="B3107"/>
  <c r="B3055"/>
  <c r="B3033"/>
  <c r="B2885"/>
  <c r="B2879"/>
  <c r="B2829"/>
  <c r="B2826"/>
  <c r="B2787"/>
  <c r="B2708"/>
  <c r="B2572"/>
  <c r="B2558"/>
  <c r="B2548"/>
  <c r="B2547"/>
  <c r="B2496"/>
  <c r="B2493"/>
  <c r="B2487"/>
  <c r="B2443"/>
  <c r="B2292"/>
  <c r="B2287"/>
  <c r="B2204"/>
  <c r="B2169"/>
  <c r="B2168"/>
  <c r="B2137"/>
  <c r="B2095"/>
  <c r="B2076"/>
  <c r="B1902"/>
  <c r="B1851"/>
  <c r="B1693"/>
  <c r="B1663"/>
  <c r="B1661"/>
  <c r="B1658"/>
  <c r="B1571"/>
  <c r="B1538"/>
  <c r="B1497"/>
  <c r="B1356"/>
  <c r="B1230"/>
  <c r="B1087"/>
  <c r="B1068"/>
  <c r="B1064"/>
  <c r="B992"/>
  <c r="B983"/>
  <c r="B967"/>
  <c r="B885"/>
  <c r="B867"/>
  <c r="B865"/>
  <c r="B858"/>
  <c r="B849"/>
  <c r="B788"/>
  <c r="B781"/>
  <c r="B755"/>
  <c r="B753"/>
  <c r="B682"/>
  <c r="B651"/>
  <c r="B627"/>
  <c r="B608"/>
  <c r="B585"/>
  <c r="B524"/>
  <c r="B504"/>
  <c r="B433"/>
  <c r="B290"/>
  <c r="B282"/>
  <c r="B270"/>
  <c r="B249"/>
  <c r="B173"/>
  <c r="B156"/>
  <c r="B120"/>
  <c r="B66"/>
</calcChain>
</file>

<file path=xl/sharedStrings.xml><?xml version="1.0" encoding="utf-8"?>
<sst xmlns="http://schemas.openxmlformats.org/spreadsheetml/2006/main" count="25637" uniqueCount="16611">
  <si>
    <t>इंग्रजी शब्द</t>
  </si>
  <si>
    <t>मराठी प्रतिशब्द</t>
  </si>
  <si>
    <t>विषय</t>
  </si>
  <si>
    <t>a</t>
  </si>
  <si>
    <t>ऍम्प</t>
  </si>
  <si>
    <t>विद्युत-अभियांत्रिकी</t>
  </si>
  <si>
    <t>(also A) (commonly used abbreviation for ampere)</t>
  </si>
  <si>
    <t>A-battery</t>
  </si>
  <si>
    <t>A-बॅटरी (स्त्री.), ए-बॅटरी (स्त्री.)</t>
  </si>
  <si>
    <t>A-voltage</t>
  </si>
  <si>
    <t>A-व्होल्टता (स्त्री.)</t>
  </si>
  <si>
    <t>a.c.</t>
  </si>
  <si>
    <t>प्र.धा. (प्रत्यावर्ती धारा)</t>
  </si>
  <si>
    <t>(also A.C.) (abbr. for alternating current)</t>
  </si>
  <si>
    <t>a.c. generator</t>
  </si>
  <si>
    <t>प्र.धा. जनित्र (प्रत्यावर्ती धारा जनित्र)</t>
  </si>
  <si>
    <t>a.c. plate resistance</t>
  </si>
  <si>
    <t>प्र.धा. ऍनोड रोध (प्रत्यावर्ती धारा ऍनोड रोध), प्र.धा. धनाग्र रोध (प्रत्यावर्ती धारा धनाग्र रोध)</t>
  </si>
  <si>
    <t>a.c.d.c. impedance ratio</t>
  </si>
  <si>
    <t>प्रा.धा.दि.धा. संरोद गुणोत्तर (प्रत्यावर्ती धारा दिष्ट धारा संरोध गुणोत्तर)</t>
  </si>
  <si>
    <t>a.c.d.c. receiver</t>
  </si>
  <si>
    <t>प्र.धा.दि.धा ग्राही (प्रत्यावर्ती धारा दिष्ट धारा ग्राही)</t>
  </si>
  <si>
    <t>A.C.S.R. conductor</t>
  </si>
  <si>
    <t>प्रो.प्र.ऍ. वाही (पोलादी प्रबलित ऍल्युमिनिअमवाही)</t>
  </si>
  <si>
    <t>a.f.</t>
  </si>
  <si>
    <t>श्रु.वा. (श्रुति वारंवारता)</t>
  </si>
  <si>
    <t>(also A.F.) (abbr. for audio frequency)</t>
  </si>
  <si>
    <t>A.F.C.</t>
  </si>
  <si>
    <t>स्वा.वांइ. (स्वयंचलित वारंवारता नियंत्रण)</t>
  </si>
  <si>
    <t>(abbr for automatic frequency control)</t>
  </si>
  <si>
    <t>a.h.m.</t>
  </si>
  <si>
    <t>ऍ.ता.मा. (ऍम्पिअर तास मापी)</t>
  </si>
  <si>
    <t>(abbr. for ampere-hour meter)</t>
  </si>
  <si>
    <t>a.t.</t>
  </si>
  <si>
    <t>ऍ.वे (ऍम्पिअर वेढा)</t>
  </si>
  <si>
    <t>(also A.T.) (abbr. for ampere-turn)</t>
  </si>
  <si>
    <t>ab</t>
  </si>
  <si>
    <t>ऍब- (निरपेक्ष) (as in abohm ऍबोम, निरपेक्ष ओम)</t>
  </si>
  <si>
    <t>(as, abbr. of absolute used for a cgs. electromagnetic unit)</t>
  </si>
  <si>
    <t>abampere</t>
  </si>
  <si>
    <t>ऍबॅम्पिअर (पु.)</t>
  </si>
  <si>
    <t>aberration</t>
  </si>
  <si>
    <t>विपथन (न.)</t>
  </si>
  <si>
    <t>abhom</t>
  </si>
  <si>
    <t>ऍबोम (पु.), निरपेक्ष ओम (पु.)</t>
  </si>
  <si>
    <t>abnormal</t>
  </si>
  <si>
    <t>१ अपसामान्य २ असामान्य</t>
  </si>
  <si>
    <t>abnormal behaviour of ionosphere</t>
  </si>
  <si>
    <t>आयनावरणाचे अपसामान्य वर्तन</t>
  </si>
  <si>
    <t>absolute</t>
  </si>
  <si>
    <t>निरपेक्ष</t>
  </si>
  <si>
    <t>absolute ampere</t>
  </si>
  <si>
    <t>निरपेक्ष ऍम्पिअर</t>
  </si>
  <si>
    <t>absolute constant</t>
  </si>
  <si>
    <t>निरपेक्ष स्थिरांक</t>
  </si>
  <si>
    <t>absolute electrometer</t>
  </si>
  <si>
    <t>निरपेक्ष विद्युतमापी</t>
  </si>
  <si>
    <t>absolute galvanometer</t>
  </si>
  <si>
    <t>निरपेक्ष गॅल्व्हानोमापी</t>
  </si>
  <si>
    <t>absolute measuring instrument</t>
  </si>
  <si>
    <t>निरपेक्ष मापन उपकरण</t>
  </si>
  <si>
    <t>absolute permeability</t>
  </si>
  <si>
    <t>निरपेक्ष पार्यता</t>
  </si>
  <si>
    <t>absolute system of units</t>
  </si>
  <si>
    <t>निरपेक्ष एकक पद्धति</t>
  </si>
  <si>
    <t>absolute unit</t>
  </si>
  <si>
    <t>निरपेक्ष एकक</t>
  </si>
  <si>
    <t>absorber</t>
  </si>
  <si>
    <t>१ अवशोषक (पु.), अवशोषी (पु.) २ शोषक (पु.)</t>
  </si>
  <si>
    <t>absorber circuit</t>
  </si>
  <si>
    <t>अवशोषी परिपथ</t>
  </si>
  <si>
    <t>absorption</t>
  </si>
  <si>
    <t>१ अवशोषण (न.) २ शोषण (न.)</t>
  </si>
  <si>
    <t>absorption coefficient</t>
  </si>
  <si>
    <t>१ अवशोषण गुणांक २ शोषण गुणांक</t>
  </si>
  <si>
    <t>(also extinction coefficien)</t>
  </si>
  <si>
    <t>absorption factor</t>
  </si>
  <si>
    <t>शोषणांक (पु.)</t>
  </si>
  <si>
    <t>accelerate</t>
  </si>
  <si>
    <t>१ त्वरण करणे २ त्वरण होणे</t>
  </si>
  <si>
    <t>accelerating</t>
  </si>
  <si>
    <t>त्वरक, त्वरण-</t>
  </si>
  <si>
    <t>accelerating anode</t>
  </si>
  <si>
    <t>त्वरक ऍनोड, त्वरक धनाग्र</t>
  </si>
  <si>
    <t>accelerating current</t>
  </si>
  <si>
    <t>त्वरक धरा</t>
  </si>
  <si>
    <t>accelerating period</t>
  </si>
  <si>
    <t>त्वरण अवधि</t>
  </si>
  <si>
    <t>(also notching-up period)</t>
  </si>
  <si>
    <t>accelerating relay</t>
  </si>
  <si>
    <t>त्वरक पुनरेषी</t>
  </si>
  <si>
    <t>accelerating weight</t>
  </si>
  <si>
    <t>त्वरक भार, त्वरक वजन</t>
  </si>
  <si>
    <t>acceleration</t>
  </si>
  <si>
    <t>त्वरण (न.)</t>
  </si>
  <si>
    <t>एspeed चाल velocity वेग</t>
  </si>
  <si>
    <t>accessory</t>
  </si>
  <si>
    <t>उपसादन (न.)</t>
  </si>
  <si>
    <t>accommodation of eye</t>
  </si>
  <si>
    <t>नेत्र समायोजन</t>
  </si>
  <si>
    <t>accumulator</t>
  </si>
  <si>
    <t>संचायक (पु.), संचयी (पु.)</t>
  </si>
  <si>
    <t>accumulator box</t>
  </si>
  <si>
    <t>संचयी पेटी</t>
  </si>
  <si>
    <t>accumulator grid</t>
  </si>
  <si>
    <t>संचयू जाळी</t>
  </si>
  <si>
    <t>accumulator insulator</t>
  </si>
  <si>
    <t>संचायक निरोधी</t>
  </si>
  <si>
    <t>accumulator traction</t>
  </si>
  <si>
    <t>संचयी संकर्षण</t>
  </si>
  <si>
    <t>acetate wire</t>
  </si>
  <si>
    <t>ऍसिटेट तार</t>
  </si>
  <si>
    <t>Acheson furnace</t>
  </si>
  <si>
    <t>ऍचेसन भट्टी</t>
  </si>
  <si>
    <t>achromatic lens</t>
  </si>
  <si>
    <t>अवर्णी भिंग</t>
  </si>
  <si>
    <t>achromatic sensation</t>
  </si>
  <si>
    <t>अवर्णी संवेदन</t>
  </si>
  <si>
    <t>acid-proof</t>
  </si>
  <si>
    <t>आम्लरक्षित</t>
  </si>
  <si>
    <t>acoustic</t>
  </si>
  <si>
    <t>१ श्रवणविषयक २ ध्वनिविषयक, ध्वनि- ३ ध्वनिकीय, ध्वनिक</t>
  </si>
  <si>
    <t>acoustic delay</t>
  </si>
  <si>
    <t>ध्वनिक विलंब</t>
  </si>
  <si>
    <t>acoustic horn</t>
  </si>
  <si>
    <t>ध्वनिक शिंग</t>
  </si>
  <si>
    <t>acoustic impedance</t>
  </si>
  <si>
    <t>ध्वनिक संरोध</t>
  </si>
  <si>
    <t>acoustic labyrinth</t>
  </si>
  <si>
    <t>ध्वनिक व्यूव्ह</t>
  </si>
  <si>
    <t>acoustically compensated volume control</t>
  </si>
  <si>
    <t>१ श्रवण प्रतिपूरित ध्वनिमान नियंत्रण २ श्रवण प्रतिपूरित ध्वनिमान नियंत्री</t>
  </si>
  <si>
    <t>acoustics</t>
  </si>
  <si>
    <t>ध्वनिकी (स्त्री.) ध्वनिव्यवस्था (स्त्री.)</t>
  </si>
  <si>
    <t>1 (the science of sound, including its production, transmission and effects)</t>
  </si>
  <si>
    <t>actinic efficiency</t>
  </si>
  <si>
    <t>क्रियाशील कार्यक्षमता</t>
  </si>
  <si>
    <t>actinotherapy</t>
  </si>
  <si>
    <t>ऍक्टोनोचिकित्सा (स्त्री.)</t>
  </si>
  <si>
    <t>activated electrode</t>
  </si>
  <si>
    <t>सक्रियित इलेक्ट्रोड, सक्रियित विद्युताग्र</t>
  </si>
  <si>
    <t>activation</t>
  </si>
  <si>
    <t>सक्रियीकरण (न.)</t>
  </si>
  <si>
    <t>activator</t>
  </si>
  <si>
    <t>सक्रियक (पु.)</t>
  </si>
  <si>
    <t>active</t>
  </si>
  <si>
    <t>सक्रिय, क्रियाशील</t>
  </si>
  <si>
    <t>active component of volt-amperes</t>
  </si>
  <si>
    <t>व्होल्ट ऍम्पिअरांचा सक्रिय घटक</t>
  </si>
  <si>
    <t>active component of voltage</t>
  </si>
  <si>
    <t>व्होल्टतेचा सक्रिय घटक</t>
  </si>
  <si>
    <t>active current</t>
  </si>
  <si>
    <t>सक्रिय धारा</t>
  </si>
  <si>
    <t>active electrode</t>
  </si>
  <si>
    <t>सक्रिय इलेक्ट्रोड, सक्रिय विद्युताग्र</t>
  </si>
  <si>
    <t>active element</t>
  </si>
  <si>
    <t>सक्रिय घटक</t>
  </si>
  <si>
    <t>active material</t>
  </si>
  <si>
    <t>सक्रिय पदार्थ, क्रियाशील पदार्थ</t>
  </si>
  <si>
    <t>active network</t>
  </si>
  <si>
    <t>सक्रिय जालव्यूह</t>
  </si>
  <si>
    <t>active power</t>
  </si>
  <si>
    <t>सक्रिय शक्ति</t>
  </si>
  <si>
    <t>active volt-ampere</t>
  </si>
  <si>
    <t>सक्रिय व्होल्ट-ऍम्पिअर</t>
  </si>
  <si>
    <t>active voltage</t>
  </si>
  <si>
    <t>सक्रिय व्होल्टता</t>
  </si>
  <si>
    <t>active wire</t>
  </si>
  <si>
    <t>सक्रिय तार</t>
  </si>
  <si>
    <t>actual</t>
  </si>
  <si>
    <t>वास्तविक, वास्तव</t>
  </si>
  <si>
    <t>actual antenna</t>
  </si>
  <si>
    <t>वास्तविक आकाशग</t>
  </si>
  <si>
    <t>actual tooth flux</t>
  </si>
  <si>
    <t>वास्तव दंत अभिवाह</t>
  </si>
  <si>
    <t>actuate</t>
  </si>
  <si>
    <t>चालना देणे</t>
  </si>
  <si>
    <t>actuated by spring</t>
  </si>
  <si>
    <t>स्प्रिंग चालित</t>
  </si>
  <si>
    <t>acuity</t>
  </si>
  <si>
    <t>तीक्ष्णता (स्त्री.)</t>
  </si>
  <si>
    <t>acyclic generator</t>
  </si>
  <si>
    <t>अचक्रीय जनित्र</t>
  </si>
  <si>
    <t>adaptation</t>
  </si>
  <si>
    <t>अनुकूलन (न.)</t>
  </si>
  <si>
    <t>adapter</t>
  </si>
  <si>
    <t>अनुकूलक (पु.)</t>
  </si>
  <si>
    <t>adapter transformer</t>
  </si>
  <si>
    <t>अनुकूलक परिवर्तित्र</t>
  </si>
  <si>
    <t>Adcock antenna</t>
  </si>
  <si>
    <t>ऍडकॉक आकाशग</t>
  </si>
  <si>
    <t>Adcock direction-finder</t>
  </si>
  <si>
    <t>ऍडकॉक दिशा शोधी</t>
  </si>
  <si>
    <t>adhesion</t>
  </si>
  <si>
    <t>आसंग (पु.), आसंजन (न.)</t>
  </si>
  <si>
    <t>adhesion coefficient</t>
  </si>
  <si>
    <t>आसंजन गुणआंक</t>
  </si>
  <si>
    <t>adhesive tape</t>
  </si>
  <si>
    <t>आसंजी फीत</t>
  </si>
  <si>
    <t>adhesive weight</t>
  </si>
  <si>
    <t>आसंजी भार, आसंजी वजन</t>
  </si>
  <si>
    <t>adjacent</t>
  </si>
  <si>
    <t>सन्निध, निकवर्ती</t>
  </si>
  <si>
    <t>adjacent channel interference</t>
  </si>
  <si>
    <t>सन्निध प्रणाल व्यतिकरण</t>
  </si>
  <si>
    <t>adjacent channel interference ratio</t>
  </si>
  <si>
    <t>सन्निध प्रणाल व्यतिकरण गुणोत्तर</t>
  </si>
  <si>
    <t>adjust</t>
  </si>
  <si>
    <t>अनुयोजन करणे</t>
  </si>
  <si>
    <t>adjustable</t>
  </si>
  <si>
    <t>अनुयोज्य</t>
  </si>
  <si>
    <t>adjustable ratio transformer</t>
  </si>
  <si>
    <t>अनुयोज्य गुणोत्तर परिवर्तित्र</t>
  </si>
  <si>
    <t>adjustable speed motor</t>
  </si>
  <si>
    <t>अनुयोज्य चाल चलित्र</t>
  </si>
  <si>
    <t>adjustable varying speed motor</t>
  </si>
  <si>
    <t>अनुयोज्य परिवर्ती चाल चलित्र</t>
  </si>
  <si>
    <t>adjuster</t>
  </si>
  <si>
    <t>अनुयोजी (पु.)</t>
  </si>
  <si>
    <t>(also adjustor)</t>
  </si>
  <si>
    <t>adjusting</t>
  </si>
  <si>
    <t>अनुयोजी, अनुयोजक-</t>
  </si>
  <si>
    <t>adjusting tool</t>
  </si>
  <si>
    <t>अनुयोजी हत्यार</t>
  </si>
  <si>
    <t>adjustment</t>
  </si>
  <si>
    <t>अनुयोजन (न.)</t>
  </si>
  <si>
    <t>adjustor</t>
  </si>
  <si>
    <t>admittance</t>
  </si>
  <si>
    <t>संवहन (न.)</t>
  </si>
  <si>
    <t>conductance प्रवहन inductance प्रेरितता susceptance प्रतिवहन</t>
  </si>
  <si>
    <t>adpedance</t>
  </si>
  <si>
    <t>संवरोध (पु.) (संवहन+संरोध)</t>
  </si>
  <si>
    <t>(admittance+impedance)</t>
  </si>
  <si>
    <t>advance</t>
  </si>
  <si>
    <t>१ अग्रिम (न.) २ अग्रेसरण (न.)</t>
  </si>
  <si>
    <t>अग्रिम</t>
  </si>
  <si>
    <t>advance wire</t>
  </si>
  <si>
    <t>अग्रिम तार</t>
  </si>
  <si>
    <t>advancer</t>
  </si>
  <si>
    <t>अग्रित्र (न.)</t>
  </si>
  <si>
    <t>aerial</t>
  </si>
  <si>
    <t>आकाशग (पु.), एरिअल (स्त्री.)</t>
  </si>
  <si>
    <t>वायवीय, हवाई</t>
  </si>
  <si>
    <t>aerial cable</t>
  </si>
  <si>
    <t>हवाई केबल</t>
  </si>
  <si>
    <t>aeronautical</t>
  </si>
  <si>
    <t>वैमानिक, विमान-</t>
  </si>
  <si>
    <t>aeronautical fixed station</t>
  </si>
  <si>
    <t>वैमानिक स्थिर स्थानक</t>
  </si>
  <si>
    <t>aeronautical mobilestation</t>
  </si>
  <si>
    <t>वैमानिक फिरते स्थानक</t>
  </si>
  <si>
    <t>aeronautical station</t>
  </si>
  <si>
    <t>वैमानिक स्थानक</t>
  </si>
  <si>
    <t>afterglow</t>
  </si>
  <si>
    <t>पश्चप्रभा (स्त्री.)</t>
  </si>
  <si>
    <t>ageing</t>
  </si>
  <si>
    <t>१ कालप्रभावन (न.) २ कालप्रभाव (पु.)</t>
  </si>
  <si>
    <t>ageing test</t>
  </si>
  <si>
    <t>कालप्रभाव चाचणी</t>
  </si>
  <si>
    <t>air</t>
  </si>
  <si>
    <t>हवा (स्त्री.), वात (पु.)</t>
  </si>
  <si>
    <t>air blast</t>
  </si>
  <si>
    <t>वातझोत (पु.)</t>
  </si>
  <si>
    <t>air brae</t>
  </si>
  <si>
    <t>वात आरोधी</t>
  </si>
  <si>
    <t>air calorimeter test</t>
  </si>
  <si>
    <t>वात कॅलरीमापी चाचणी</t>
  </si>
  <si>
    <t>air circuit breaker</t>
  </si>
  <si>
    <t>वात परिपथ वियोजी</t>
  </si>
  <si>
    <t>air circulating oven</t>
  </si>
  <si>
    <t>वात परिसंचारी आवा, वात परिसंचारी गरम पेटी</t>
  </si>
  <si>
    <t>air circulator</t>
  </si>
  <si>
    <t>वात परिसंचारी</t>
  </si>
  <si>
    <t>air dielectric</t>
  </si>
  <si>
    <t>वात पराविद्युत</t>
  </si>
  <si>
    <t>air duct</t>
  </si>
  <si>
    <t>वात वाहिनी</t>
  </si>
  <si>
    <t>air friction</t>
  </si>
  <si>
    <t>वात घर्षण</t>
  </si>
  <si>
    <t>air handling unit</t>
  </si>
  <si>
    <t>वात व्यवहार संच</t>
  </si>
  <si>
    <t>air horn</t>
  </si>
  <si>
    <t>वात शिंग</t>
  </si>
  <si>
    <t>air leak</t>
  </si>
  <si>
    <t>१ वातगल (पु.) २ वातगलन (न.)</t>
  </si>
  <si>
    <t>air traffic</t>
  </si>
  <si>
    <t>हवाई वाहतूक</t>
  </si>
  <si>
    <t>air traffic control</t>
  </si>
  <si>
    <t>हवाई वाहतूक नियंत्रण</t>
  </si>
  <si>
    <t>air washer</t>
  </si>
  <si>
    <t>वायु वॉशर</t>
  </si>
  <si>
    <t>air-blast circuit breaker</t>
  </si>
  <si>
    <t>वातझोत परिपथ वियोजी, वातझोत स्विच</t>
  </si>
  <si>
    <t>air-blast transformer</t>
  </si>
  <si>
    <t>वातझोत परिवर्तित्र</t>
  </si>
  <si>
    <t>air-break circuit</t>
  </si>
  <si>
    <t>वात वियोजन परिपथ</t>
  </si>
  <si>
    <t>air-break circuit breaker</t>
  </si>
  <si>
    <t>वात वियोजन परिपथ वियोजी, वात वियोजन स्विच</t>
  </si>
  <si>
    <t>- air break switch</t>
  </si>
  <si>
    <t>air-cell</t>
  </si>
  <si>
    <t>वातकोष्ठ (न.)</t>
  </si>
  <si>
    <t>air-condenser</t>
  </si>
  <si>
    <t>वातधारी (पु.)</t>
  </si>
  <si>
    <t>air-conditioning plant</t>
  </si>
  <si>
    <t>वातानुकूलन संयंत्र</t>
  </si>
  <si>
    <t>air-cooled</t>
  </si>
  <si>
    <t>वाताशीतित</t>
  </si>
  <si>
    <t>air-cooled powertube</t>
  </si>
  <si>
    <t>वाताशीतितशक्ति नलिका</t>
  </si>
  <si>
    <t>air-cooling</t>
  </si>
  <si>
    <t>वाताशीतन (न.)</t>
  </si>
  <si>
    <t>air-core</t>
  </si>
  <si>
    <t>वातक्रोड (पु.)</t>
  </si>
  <si>
    <t>air-core choke</t>
  </si>
  <si>
    <t>वातक्रोड चोक</t>
  </si>
  <si>
    <t>air-core coil</t>
  </si>
  <si>
    <t>वातक्रोड कुंडल</t>
  </si>
  <si>
    <t>(also air-cored coil)</t>
  </si>
  <si>
    <t>air-core inductor</t>
  </si>
  <si>
    <t>वातक्रोड प्रेरणी</t>
  </si>
  <si>
    <t>air-core transformer</t>
  </si>
  <si>
    <t>वातक्रोड परिवर्तित्र</t>
  </si>
  <si>
    <t>air-cored coil</t>
  </si>
  <si>
    <t>air-friction damping</t>
  </si>
  <si>
    <t>वातघर्षण अवमंदन</t>
  </si>
  <si>
    <t>air-gap</t>
  </si>
  <si>
    <t>वात-अंतर (न.)</t>
  </si>
  <si>
    <t>air-gap factor</t>
  </si>
  <si>
    <t>वात-अंतर अंक</t>
  </si>
  <si>
    <t>air-gap field</t>
  </si>
  <si>
    <t>वात-अंतर क्षेत्र</t>
  </si>
  <si>
    <t>air-gap line</t>
  </si>
  <si>
    <t>वात-अंतर रेखा</t>
  </si>
  <si>
    <t>air-insulated</t>
  </si>
  <si>
    <t>वातनिरोधित</t>
  </si>
  <si>
    <t>air-insulated switch gear</t>
  </si>
  <si>
    <t>वातनिरोधित स्विच उपस्कर</t>
  </si>
  <si>
    <t>air-pipe</t>
  </si>
  <si>
    <t>वातनलिका (स्त्री.)</t>
  </si>
  <si>
    <t>air-punp</t>
  </si>
  <si>
    <t>हवापंप (पु.)</t>
  </si>
  <si>
    <t>air0cored</t>
  </si>
  <si>
    <t>वातक्रोड-</t>
  </si>
  <si>
    <t>aircraft antenna</t>
  </si>
  <si>
    <t>वायुमान आकाशग</t>
  </si>
  <si>
    <t>airplane effect</t>
  </si>
  <si>
    <t>विमान प्रभाव</t>
  </si>
  <si>
    <t>airport surveillance rader</t>
  </si>
  <si>
    <t>विमानतळ संनिरीक्षण रडार</t>
  </si>
  <si>
    <t>Ajax-Wyatt furnace</t>
  </si>
  <si>
    <t>अजॅक्स-व्यॉट भट्टी</t>
  </si>
  <si>
    <t>alarm</t>
  </si>
  <si>
    <t>१ भयसूचना (स्त्री.) २ गजर (पु.) ३ इशारा (पु.)</t>
  </si>
  <si>
    <t>alarm circuit</t>
  </si>
  <si>
    <t>भयसूचना परिपथ</t>
  </si>
  <si>
    <t>alarm contact</t>
  </si>
  <si>
    <t>भयसूचना संपर्क</t>
  </si>
  <si>
    <t>alarm device</t>
  </si>
  <si>
    <t>भयसूचना साधन</t>
  </si>
  <si>
    <t>alarm equipment rack</t>
  </si>
  <si>
    <t>भयसूचना सामग्री निलय</t>
  </si>
  <si>
    <t>alarm fuse</t>
  </si>
  <si>
    <t>भयसूचना वितळणार</t>
  </si>
  <si>
    <t>alarm lamp</t>
  </si>
  <si>
    <t>भयसूचक दीप</t>
  </si>
  <si>
    <t>alarm system</t>
  </si>
  <si>
    <t>भयसूचना पद्धति</t>
  </si>
  <si>
    <t>Aldrey</t>
  </si>
  <si>
    <t>आल्ड्रे (पु.)(न.)</t>
  </si>
  <si>
    <t>align</t>
  </si>
  <si>
    <t>संरेखन करणे</t>
  </si>
  <si>
    <t>aligning</t>
  </si>
  <si>
    <t>संरेखी</t>
  </si>
  <si>
    <t>aligning condenser</t>
  </si>
  <si>
    <t>संरेखीधारी (पु.), संरेखी संधारित्र</t>
  </si>
  <si>
    <t>aligning tool</t>
  </si>
  <si>
    <t>संरेखी हत्यार</t>
  </si>
  <si>
    <t>alignment</t>
  </si>
  <si>
    <t>संरेखन (न.)</t>
  </si>
  <si>
    <t>alignment of receiver</t>
  </si>
  <si>
    <t>ग्राही संरेखन</t>
  </si>
  <si>
    <t>alive</t>
  </si>
  <si>
    <t>जागृत</t>
  </si>
  <si>
    <t>alkali</t>
  </si>
  <si>
    <t>अल्क (न.)</t>
  </si>
  <si>
    <t>alkali metal</t>
  </si>
  <si>
    <t>अल्क धातु</t>
  </si>
  <si>
    <t>alkaline</t>
  </si>
  <si>
    <t>अल्कधर्मी, अल्क-</t>
  </si>
  <si>
    <t>alkaline accumulator</t>
  </si>
  <si>
    <t>अल्क संचायक, अल्क संचयी</t>
  </si>
  <si>
    <t>alkaline cell</t>
  </si>
  <si>
    <t>अल्क घट</t>
  </si>
  <si>
    <t>all in tariff</t>
  </si>
  <si>
    <t>सर्वंकष प्रशुल्क</t>
  </si>
  <si>
    <t>all-day efficiency</t>
  </si>
  <si>
    <t>पूर्ण-दिन कार्यक्षमता</t>
  </si>
  <si>
    <t>all-electric operation</t>
  </si>
  <si>
    <t>पूर्ण-विद्युत परिकर्म</t>
  </si>
  <si>
    <t>all-electric signalling</t>
  </si>
  <si>
    <t>पूर्ण-विद्युत संकेतन</t>
  </si>
  <si>
    <t>all-insulated switch</t>
  </si>
  <si>
    <t>पूर्ण-निरोधित स्विच</t>
  </si>
  <si>
    <t>all-pass</t>
  </si>
  <si>
    <t>सर्व-पार (पु.)</t>
  </si>
  <si>
    <t>all-pass filter</t>
  </si>
  <si>
    <t>सर्व-पार गाळणी</t>
  </si>
  <si>
    <t>all-pass network</t>
  </si>
  <si>
    <t>सर्व-पार जालव्यूह</t>
  </si>
  <si>
    <t>all-pole function</t>
  </si>
  <si>
    <t>सर्व-धुव फल</t>
  </si>
  <si>
    <t>all-wave receiver</t>
  </si>
  <si>
    <t>सर्व-तरंग ग्राही</t>
  </si>
  <si>
    <t>all-wave tunning coil</t>
  </si>
  <si>
    <t>सर्व-तरंग मेलन कुंडल</t>
  </si>
  <si>
    <t>Allen's loop test</t>
  </si>
  <si>
    <t>ऍलन लूप चाचणी</t>
  </si>
  <si>
    <t>allocation</t>
  </si>
  <si>
    <t>नियतन (न.)</t>
  </si>
  <si>
    <t>allowance</t>
  </si>
  <si>
    <t>मोकळीक (स्त्री.)</t>
  </si>
  <si>
    <t>clearance</t>
  </si>
  <si>
    <t>alloy</t>
  </si>
  <si>
    <t>मिश्रधातु (पु.)</t>
  </si>
  <si>
    <t>Almalec</t>
  </si>
  <si>
    <t>अल्मोलेक (न.)(पु.)</t>
  </si>
  <si>
    <t>alphanumeric field</t>
  </si>
  <si>
    <t>वर्णांक क्षेत्र</t>
  </si>
  <si>
    <t>alteranating current electromagnet</t>
  </si>
  <si>
    <t>प्रत्यावर्ती धारा विद्युतचंउबक</t>
  </si>
  <si>
    <t>alteration of poles and zeroes</t>
  </si>
  <si>
    <t>धुव-शून्यांचे एकांतरण</t>
  </si>
  <si>
    <t>alternate channel interferance</t>
  </si>
  <si>
    <t>एकांतर प्रणाल व्यतिकरण</t>
  </si>
  <si>
    <t>alternating</t>
  </si>
  <si>
    <t>१ प्रत्यावर्ती २ एकांतर-</t>
  </si>
  <si>
    <t>alternating current</t>
  </si>
  <si>
    <t>प्रत्यावर्ती धारा (प्रा.धा.)ए</t>
  </si>
  <si>
    <t>(abbr. a. c.)</t>
  </si>
  <si>
    <t>alternating current bridge</t>
  </si>
  <si>
    <t>प्रत्यावर्ती धारा सेतु</t>
  </si>
  <si>
    <t>alternating current exciter</t>
  </si>
  <si>
    <t>प्रत्यावर्ती धारा उत्तेजित्र</t>
  </si>
  <si>
    <t>alternating current generator</t>
  </si>
  <si>
    <t>प्रत्यावर्ती धारा जनित्र</t>
  </si>
  <si>
    <t>alternating current relay</t>
  </si>
  <si>
    <t>प्रत्यावर्ती धारा रिले</t>
  </si>
  <si>
    <t>alternating current series motor</t>
  </si>
  <si>
    <t>प्रत्यावर्ती धारा श्रेणी चलित्र</t>
  </si>
  <si>
    <t>alternating current transformer</t>
  </si>
  <si>
    <t>प्रत्यावर्ती धारा परिवर्तित्र</t>
  </si>
  <si>
    <t>alternation</t>
  </si>
  <si>
    <t>१ प्रत्यावर्तन (न.) २ एकांतरण (न.)</t>
  </si>
  <si>
    <t>alternator</t>
  </si>
  <si>
    <t>प्रत्यावर्तित्र (न.)</t>
  </si>
  <si>
    <t>altimeter</t>
  </si>
  <si>
    <t>उंचीमापी (पु.)</t>
  </si>
  <si>
    <t>aluminium</t>
  </si>
  <si>
    <t>ऍल्युमिनिअम (न.)</t>
  </si>
  <si>
    <t>(also aluminum)</t>
  </si>
  <si>
    <t>aluminium anode cell</t>
  </si>
  <si>
    <t>ऍल्युमिनिअम अ२नोड घट, ऍल्युमिनिअम धनाग्र घट</t>
  </si>
  <si>
    <t>aluminium arrester</t>
  </si>
  <si>
    <t>ऍल्युमिनिअम प्रग्राही</t>
  </si>
  <si>
    <t>aluminium leaf eectroscope</t>
  </si>
  <si>
    <t>ऍल्युमिनिअम पत्र विद्युतदर्शी</t>
  </si>
  <si>
    <t>aluminium solder</t>
  </si>
  <si>
    <t>ऍल्युमिनिअम झाळ</t>
  </si>
  <si>
    <t>aluminium steel cable</t>
  </si>
  <si>
    <t>ऍल्युमिनिअम पोलाद केबल</t>
  </si>
  <si>
    <t>aluminum</t>
  </si>
  <si>
    <t>amateur</t>
  </si>
  <si>
    <t>अव्यवसायी, अनुरागी</t>
  </si>
  <si>
    <t>amateur call letter</t>
  </si>
  <si>
    <t>अनुरागी संज्ञा अक्षर</t>
  </si>
  <si>
    <t>amateur frequency band</t>
  </si>
  <si>
    <t>अव्यवसायी वारंवारता पट्ट</t>
  </si>
  <si>
    <t>amateur service</t>
  </si>
  <si>
    <t>अव्यवसायी सेवा</t>
  </si>
  <si>
    <t>ambient temeperatur</t>
  </si>
  <si>
    <t>परिवात तापमान</t>
  </si>
  <si>
    <t>ammeter</t>
  </si>
  <si>
    <t>ऍम्पिअरमापी (पु.), ऍमीटर (पु.)</t>
  </si>
  <si>
    <t>(also ampere-meter)</t>
  </si>
  <si>
    <t>ammeter shunt</t>
  </si>
  <si>
    <t>ऍमीटर पार्श्वपथ</t>
  </si>
  <si>
    <t>amperage</t>
  </si>
  <si>
    <t>ऍम्पिअरता (स्त्री.)</t>
  </si>
  <si>
    <t>ampere</t>
  </si>
  <si>
    <t>ऍम्पिअर (न.)</t>
  </si>
  <si>
    <t>ampere arc</t>
  </si>
  <si>
    <t>ऍम्पिअर प्रज्योत</t>
  </si>
  <si>
    <t>Ampere's rule</t>
  </si>
  <si>
    <t>ऍम्पिअरचा नियम</t>
  </si>
  <si>
    <t>Ampere's theory of magnetisation</t>
  </si>
  <si>
    <t>ऍम्पिअरचा चुंबकत्व सिद्धांत</t>
  </si>
  <si>
    <t>ampere-balance</t>
  </si>
  <si>
    <t>ऍम्पिअरतुला (स्त्री.)</t>
  </si>
  <si>
    <t>ampere-conductor</t>
  </si>
  <si>
    <t>ऍम्पिअरवाही (पु.)</t>
  </si>
  <si>
    <t>ampere-foot</t>
  </si>
  <si>
    <t>ऍम्पिअर पाद (पु.)</t>
  </si>
  <si>
    <t>ampere-hour</t>
  </si>
  <si>
    <t>ऍम्पिअर तास (पु.)</t>
  </si>
  <si>
    <t>ampere-hour efficiency</t>
  </si>
  <si>
    <t>ऍम्पिअर तास कार्यक्षमता</t>
  </si>
  <si>
    <t>ampere-hour meter</t>
  </si>
  <si>
    <t>ऍम्पिअर तासमापी</t>
  </si>
  <si>
    <t>(A.H.M.)</t>
  </si>
  <si>
    <t>ampere-meter</t>
  </si>
  <si>
    <t>ampere-minute</t>
  </si>
  <si>
    <t>ऍम्पिअर मिनिट (न.)</t>
  </si>
  <si>
    <t>ampere-second</t>
  </si>
  <si>
    <t>ऍम्पिअर सेकंद (पु.)</t>
  </si>
  <si>
    <t>ampere-turn</t>
  </si>
  <si>
    <t>ऍम्पिअर वेढा (पु.)</t>
  </si>
  <si>
    <t>(A.T.)</t>
  </si>
  <si>
    <t>ampere0hour capacity</t>
  </si>
  <si>
    <t>ऍम्पिअर तास क्षमता</t>
  </si>
  <si>
    <t>amphoteric substance</t>
  </si>
  <si>
    <t>उभयधर्मी पदार्थ</t>
  </si>
  <si>
    <t>amplidyne generator</t>
  </si>
  <si>
    <t>ऍम्प्लिडाइन जनित्र</t>
  </si>
  <si>
    <t>amplifer</t>
  </si>
  <si>
    <t>प्रवर्धी (पु.)</t>
  </si>
  <si>
    <t>cathode-follower amplifier कॅथोड-अनुगामी प्रवर्धी degenerative amplifier अपजनन प्रवर्धी feedback amplifier पश्चप्रदाय प्रवर्धी grounded cathod amplifier भूसंपर्कित कॅथोड प्रवर्धी grounded grid amplifier भूसंपर्कित ग्रिड प्रवर्धी low-frequency amplifier निम्न-वारंवारता प्रवर्धी quiescent push-pull amplifier शांत ढकल ओढ प्रवर्धी stagger-tuned amplifier सांतर-मेलित प्रवर्धी television ampifier दूरचित्रवाणी प्रवर्धी</t>
  </si>
  <si>
    <t>amplification</t>
  </si>
  <si>
    <t>प्रवर्धन (न.)</t>
  </si>
  <si>
    <t>amplification coefficient</t>
  </si>
  <si>
    <t>प्रवर्धन गुणांक, प्रवर्धनांक (पु.)</t>
  </si>
  <si>
    <t>amplifier band-width</t>
  </si>
  <si>
    <t>प्रवर्धी पट्ट-रुंदी</t>
  </si>
  <si>
    <t>amplify</t>
  </si>
  <si>
    <t>१ प्रवर्धित करणे २ प्रवर्धित होणे</t>
  </si>
  <si>
    <t>amplifying</t>
  </si>
  <si>
    <t>प्रवर्धनी, प्रवर्धन-</t>
  </si>
  <si>
    <t>amplifying unit</t>
  </si>
  <si>
    <t>प्रवर्धनी संच, प्रवर्धन संच</t>
  </si>
  <si>
    <t>amplitude</t>
  </si>
  <si>
    <t>आयाम (पु.)</t>
  </si>
  <si>
    <t>amplitude control</t>
  </si>
  <si>
    <t>आयाम नियंत्रण</t>
  </si>
  <si>
    <t>amplitude distortion</t>
  </si>
  <si>
    <t>आयाम विकृति</t>
  </si>
  <si>
    <t>amplitude factor</t>
  </si>
  <si>
    <t>amplitude frequency response characetristic</t>
  </si>
  <si>
    <t>आयाम वारंवारता अनुक्रिया अभिलक्षण</t>
  </si>
  <si>
    <t>amplitude modulated detector</t>
  </si>
  <si>
    <t>आयाम अपरिवर्तित शोधी</t>
  </si>
  <si>
    <t>amplitude modulated noise</t>
  </si>
  <si>
    <t>आयाम अपरिवर्तित कुरव</t>
  </si>
  <si>
    <t>amplitude modulation</t>
  </si>
  <si>
    <t>आयाम आपरिवर्तन </t>
  </si>
  <si>
    <t>(a.m. receiver)</t>
  </si>
  <si>
    <t>amplitude modulation receiver</t>
  </si>
  <si>
    <t>आयाम आपरिवर्तन रेडिओ (आ.आ.रेडिओ)</t>
  </si>
  <si>
    <t>(a.m. radio)</t>
  </si>
  <si>
    <t>amplitude modulus</t>
  </si>
  <si>
    <t>आयाम मापांक</t>
  </si>
  <si>
    <t>amplitude resonance</t>
  </si>
  <si>
    <t>आयाम संस्पंदन</t>
  </si>
  <si>
    <t>amplitude selector</t>
  </si>
  <si>
    <t>आयाम वरणी</t>
  </si>
  <si>
    <t>analogue computor</t>
  </si>
  <si>
    <t>सादृश्य संगणित्र</t>
  </si>
  <si>
    <t>analogue quantity</t>
  </si>
  <si>
    <t>सदृश्य राशी</t>
  </si>
  <si>
    <t>analyse</t>
  </si>
  <si>
    <t>विश्लेषण करणे</t>
  </si>
  <si>
    <t>analyser</t>
  </si>
  <si>
    <t>विश्लेषी (पु.)</t>
  </si>
  <si>
    <t>anchor</t>
  </si>
  <si>
    <t>स्थिरक (पु.)</t>
  </si>
  <si>
    <t>anchor clamp</t>
  </si>
  <si>
    <t>स्थिक पकड</t>
  </si>
  <si>
    <t>anchor ear</t>
  </si>
  <si>
    <t>स्थिरक कर्ण</t>
  </si>
  <si>
    <t>anchor pole</t>
  </si>
  <si>
    <t>स्थिरक खांब</t>
  </si>
  <si>
    <t>anchor tower</t>
  </si>
  <si>
    <t>स्थिरक मनोरा</t>
  </si>
  <si>
    <t>anchoring</t>
  </si>
  <si>
    <t>स्थिरक टाकणे (न.), स्थिरकन (न.)</t>
  </si>
  <si>
    <t>anchoring of conductor rail</t>
  </si>
  <si>
    <t>वाही रुळाचे स्थिरकन</t>
  </si>
  <si>
    <t>AND gate</t>
  </si>
  <si>
    <t>'व' द्वार, ऍन्ड द्वार</t>
  </si>
  <si>
    <t>Anderson's bridge</t>
  </si>
  <si>
    <t>ँडरसन सेतु</t>
  </si>
  <si>
    <t>angle</t>
  </si>
  <si>
    <t>कोन (पु.)</t>
  </si>
  <si>
    <t>angle of helix</t>
  </si>
  <si>
    <t>हेलिक्स कोन</t>
  </si>
  <si>
    <t>angle of incidence</t>
  </si>
  <si>
    <t>आपतन कोन</t>
  </si>
  <si>
    <t>angle of lag</t>
  </si>
  <si>
    <t>पश्चता कोन, पश्च कोन</t>
  </si>
  <si>
    <t>angle of lead</t>
  </si>
  <si>
    <t>अग्रता कोन, अग्र कोन</t>
  </si>
  <si>
    <t>angle of polarisation</t>
  </si>
  <si>
    <t>धुवण कोन</t>
  </si>
  <si>
    <t>angle of torsion</t>
  </si>
  <si>
    <t>मोटन कोन</t>
  </si>
  <si>
    <t>angle support</t>
  </si>
  <si>
    <t>कोन आधार</t>
  </si>
  <si>
    <t>Angstrom unit</t>
  </si>
  <si>
    <t>ँगस्ट्रोम एकक</t>
  </si>
  <si>
    <t>angular</t>
  </si>
  <si>
    <t>कोनीय</t>
  </si>
  <si>
    <t>angular alignment</t>
  </si>
  <si>
    <t>कोनीय संरेखन</t>
  </si>
  <si>
    <t>angular deviation</t>
  </si>
  <si>
    <t>कोनीय विचलन</t>
  </si>
  <si>
    <t>angular difference</t>
  </si>
  <si>
    <t>कोनीय अंतर</t>
  </si>
  <si>
    <t>angular dispersion</t>
  </si>
  <si>
    <t>कोनीय अपस्करण, कोनीय विकिरण</t>
  </si>
  <si>
    <t>angular frequency</t>
  </si>
  <si>
    <t>कानीय वारंवारता</t>
  </si>
  <si>
    <t>angular play</t>
  </si>
  <si>
    <t>कोनीय माया</t>
  </si>
  <si>
    <t>angular velocity</t>
  </si>
  <si>
    <t>कोनीय वेग</t>
  </si>
  <si>
    <t>anion</t>
  </si>
  <si>
    <t>ऍनायन (न.)</t>
  </si>
  <si>
    <t>anisotropic conductivity</t>
  </si>
  <si>
    <t>विषमदिक वाहकता</t>
  </si>
  <si>
    <t>anneal</t>
  </si>
  <si>
    <t>अनुशीतन करणे, अनुशीतन होणे</t>
  </si>
  <si>
    <t>annealed copper</t>
  </si>
  <si>
    <t>अनुशीतित तांबे</t>
  </si>
  <si>
    <t>annealed wire</t>
  </si>
  <si>
    <t>अनुशीतित तार</t>
  </si>
  <si>
    <t>annual load factor</t>
  </si>
  <si>
    <t>वार्षिक भारांक</t>
  </si>
  <si>
    <t>annunciator</t>
  </si>
  <si>
    <t>अभिसूची (पु.)</t>
  </si>
  <si>
    <t>anode</t>
  </si>
  <si>
    <t>ऍनोड (पु.), धनाग्र (न.)</t>
  </si>
  <si>
    <t>anode anode dissipation</t>
  </si>
  <si>
    <t>ऍनोड अपाकरण, धनाग्र अपाकरण</t>
  </si>
  <si>
    <t>anode bend rectification</t>
  </si>
  <si>
    <t>ऍनोड वलन दिष्टिकरण, धनाग्र वलन दिष्टिकरण</t>
  </si>
  <si>
    <t>anode bend rectifier</t>
  </si>
  <si>
    <t>ऍनोड वलन दिष्टकारी, धनाग्र वलन दिष्टकारी</t>
  </si>
  <si>
    <t>anode current</t>
  </si>
  <si>
    <t>ऍनोड धारा, धनाग्र धारा</t>
  </si>
  <si>
    <t>anode effect</t>
  </si>
  <si>
    <t>ऍनोड प्रभाव, ऍनोड परिणाम, धनाग्र प्रभाव, धनाग्र परिणाम</t>
  </si>
  <si>
    <t>anode efficiency</t>
  </si>
  <si>
    <t>ऍनोड कार्यक्षमता, धनाग्र कार्यक्षमता</t>
  </si>
  <si>
    <t>anode feed</t>
  </si>
  <si>
    <t>ऍनोड प्रदाय, धनाग्र प्रदाय</t>
  </si>
  <si>
    <t>anode input power</t>
  </si>
  <si>
    <t>ऍनोड आदान शक्ति, धनाग्र आदान शक्ति</t>
  </si>
  <si>
    <t>(also plate input power)</t>
  </si>
  <si>
    <t>anode load</t>
  </si>
  <si>
    <t>ऍनोड भार, धनाग्र भार</t>
  </si>
  <si>
    <t>anode modulation</t>
  </si>
  <si>
    <t>ऍनोड आपरिवर्तन, धनाग्र आपरिवर्तन</t>
  </si>
  <si>
    <t>(alos plate modulation)</t>
  </si>
  <si>
    <t>anode modulator</t>
  </si>
  <si>
    <t>ऍनोड आपरिवर्ती, धनाग्र आपरिवर्ती</t>
  </si>
  <si>
    <t>anodepower</t>
  </si>
  <si>
    <t>ऍनोड शक्ति, धनाग्र शक्ति</t>
  </si>
  <si>
    <t>anodic etching</t>
  </si>
  <si>
    <t>ऍनोडी खातन, धनाग्र खातन</t>
  </si>
  <si>
    <t>anodic oxidation</t>
  </si>
  <si>
    <t>ऍनोडी ऑक्सिडीकरण, धनाग्र ऑक्सिडीकरण</t>
  </si>
  <si>
    <t>anodic treatment</t>
  </si>
  <si>
    <t>ऍनोडी परिकर्म, धनाग्र परिकर्म</t>
  </si>
  <si>
    <t>anolyte</t>
  </si>
  <si>
    <t>ऍनोलाइट (पु.)</t>
  </si>
  <si>
    <t>anomalous magnetisation</t>
  </si>
  <si>
    <t>असंगत चुंबकीकरण</t>
  </si>
  <si>
    <t>antena</t>
  </si>
  <si>
    <t>आकाशग (पु.), ँटेना (पु.)</t>
  </si>
  <si>
    <t>Adcock antenna ऍडकॉक आकाशग aperiodic antenna अनावर्ती आकाशग artifical antenna कृत्रिम आकाशग, निष्कर्म आकाशग Beverage antenna तरंग आकाशग, बिवरेज आकाशग cage antenna पंजर आकाशग coil antenna कुंडल आकाशग, लूप आकाशग, चौकट आकाशग counterpoise antenna दिशात्मक आकाशग diversity antenna विविधता आकाशग dummy antenna = artifical antenna fan antenna पंखा आकाशग flat-top antenna सपाट माथा आकाशग inverted-L antenna व्यस्त-L आकाशग inverted-V antenna व्यस्त-V आकाशग multiwire antenna बहुतार आकाशग unidirectional antenna एकदिक आकाशग unloaded antenna भारहीन आकाशग wave antenna = Beverage antenna</t>
  </si>
  <si>
    <t>antenna and reflector</t>
  </si>
  <si>
    <t>आकाशग आणि परावर्ती</t>
  </si>
  <si>
    <t>antenna array</t>
  </si>
  <si>
    <t>आकासग विन्यास</t>
  </si>
  <si>
    <t>antenna capacitance</t>
  </si>
  <si>
    <t>आकासग धारिता</t>
  </si>
  <si>
    <t>antenna condenser</t>
  </si>
  <si>
    <t>आकाशग संधारित्र</t>
  </si>
  <si>
    <t>antenna effect</t>
  </si>
  <si>
    <t>आकाशग प्रभाव, आकाशग परिणाम</t>
  </si>
  <si>
    <t>antenna element</t>
  </si>
  <si>
    <t>आकाशग भाग</t>
  </si>
  <si>
    <t>antenna for broadcast frequencies</t>
  </si>
  <si>
    <t>परिक्षेपण वारंवारती आकाशग</t>
  </si>
  <si>
    <t>antenna housing</t>
  </si>
  <si>
    <t>आकाशग निवसन</t>
  </si>
  <si>
    <t>antenna impedance</t>
  </si>
  <si>
    <t>आकाशग संरोध</t>
  </si>
  <si>
    <t>antenna involving parasitic radiators</t>
  </si>
  <si>
    <t>अवांछित प्रारीयुक्त आकाशग</t>
  </si>
  <si>
    <t>antenna lobe</t>
  </si>
  <si>
    <t>आकाशग पालि</t>
  </si>
  <si>
    <t>antenna radiating element</t>
  </si>
  <si>
    <t>आकाशग प्रारण भाग</t>
  </si>
  <si>
    <t>antenna radiation resistance</t>
  </si>
  <si>
    <t>आकाशग प्रारण रोध</t>
  </si>
  <si>
    <t>antenna resistance</t>
  </si>
  <si>
    <t>आकाशग रोध</t>
  </si>
  <si>
    <t>antenna shield</t>
  </si>
  <si>
    <t>आकाशग परिरक्षी</t>
  </si>
  <si>
    <t>antenna system</t>
  </si>
  <si>
    <t>आकाशग संस्था</t>
  </si>
  <si>
    <t>anti-neutrino</t>
  </si>
  <si>
    <t>प्रतिशून्यका (स्त्री.), प्रतिन्यूट्रिनो (पु.)</t>
  </si>
  <si>
    <t>anti-polarising winding</t>
  </si>
  <si>
    <t>१ प्रतिधुवीकरण कुंडलन, प्रतिधुवण कुंडलन २ प्रतिधुवीकरण कुंडल, प्रतिधुवण कुंडल</t>
  </si>
  <si>
    <t>anti-resonance</t>
  </si>
  <si>
    <t>प्रतिसंस्पंदन (न.)</t>
  </si>
  <si>
    <t>anti-sing circuit</t>
  </si>
  <si>
    <t>गानरोधी परिपथ</t>
  </si>
  <si>
    <t>anti-spray film</t>
  </si>
  <si>
    <t>प्रतितषार तवंग</t>
  </si>
  <si>
    <t>anti-vibration device</t>
  </si>
  <si>
    <t>प्रतिकंपन साधन</t>
  </si>
  <si>
    <t>anticlockwise</t>
  </si>
  <si>
    <t>प्रतिगटि, प्रतिघटिवत</t>
  </si>
  <si>
    <t>antifatigue device</t>
  </si>
  <si>
    <t>प्रतिश्रांति सादन</t>
  </si>
  <si>
    <t>antinode</t>
  </si>
  <si>
    <t>प्रतिनिस्पंद (पु.)</t>
  </si>
  <si>
    <t>antiphase</t>
  </si>
  <si>
    <t>प्रतिप्रावस्थी</t>
  </si>
  <si>
    <t>aperiodic</t>
  </si>
  <si>
    <t>अनावर्ती</t>
  </si>
  <si>
    <t>aperiodic antenna</t>
  </si>
  <si>
    <t>अनावर्ती आकाशग</t>
  </si>
  <si>
    <t>aperiodic function</t>
  </si>
  <si>
    <t>अनावर्ती फल</t>
  </si>
  <si>
    <t>aperiodicity</t>
  </si>
  <si>
    <t>अनावर्तिता (स्त्री.)</t>
  </si>
  <si>
    <t>apex</t>
  </si>
  <si>
    <t>१ शिरोबिंदु (पु.) २ शिखाग्र (न.)</t>
  </si>
  <si>
    <t>apex angle</t>
  </si>
  <si>
    <t>शिरोकोन (पु.)</t>
  </si>
  <si>
    <t>apostilb</t>
  </si>
  <si>
    <t>ऍपिस्टिल्ब (न.)</t>
  </si>
  <si>
    <t>apparatus</t>
  </si>
  <si>
    <t>१ उपकरण (न.) २ उपकरण संच (पु.)</t>
  </si>
  <si>
    <t>apparent brightness</t>
  </si>
  <si>
    <t>अभासी द्युति</t>
  </si>
  <si>
    <t>apparent power</t>
  </si>
  <si>
    <t>आभासी शक्ति</t>
  </si>
  <si>
    <t>appliance</t>
  </si>
  <si>
    <t>१ (as, a device) साधन (न.) २ (as, an instrument) साधित्र (न.)</t>
  </si>
  <si>
    <t>applied pressure</t>
  </si>
  <si>
    <t>प्रयुक्त दाब, लावलेला दाब</t>
  </si>
  <si>
    <t>approach zone</t>
  </si>
  <si>
    <t>पोच क्षेत्र</t>
  </si>
  <si>
    <t>apron floodlight</t>
  </si>
  <si>
    <t>तल झोतपदी</t>
  </si>
  <si>
    <t>Aquadag</t>
  </si>
  <si>
    <t>ऍक्वाडाग (न.)</t>
  </si>
  <si>
    <t>Arago's disc</t>
  </si>
  <si>
    <t>ऍरॅगोची चकती</t>
  </si>
  <si>
    <t>arbitrary</t>
  </si>
  <si>
    <t>स्वेच्छ</t>
  </si>
  <si>
    <t>arbitrary constant</t>
  </si>
  <si>
    <t>स्वेच्छ स्थिरांक</t>
  </si>
  <si>
    <t>arc</t>
  </si>
  <si>
    <t>प्रज्योत (स्त्री.)</t>
  </si>
  <si>
    <t>arc brazing</t>
  </si>
  <si>
    <t>प्रज्योत पिझाळण</t>
  </si>
  <si>
    <t>arc control device</t>
  </si>
  <si>
    <t>प्रज्योत नियंत्रण साधन</t>
  </si>
  <si>
    <t>arc crater</t>
  </si>
  <si>
    <t>प्रज्योत खळी</t>
  </si>
  <si>
    <t>arc deflector</t>
  </si>
  <si>
    <t>प्रज्योत विक्षेपक</t>
  </si>
  <si>
    <t>arc discharge</t>
  </si>
  <si>
    <t>प्रज्योत निर्भारण</t>
  </si>
  <si>
    <t>arc duration</t>
  </si>
  <si>
    <t>प्रज्योत अवधि</t>
  </si>
  <si>
    <t>arc extinguisher</t>
  </si>
  <si>
    <t>प्रज्योत शामक</t>
  </si>
  <si>
    <t>arc furnace</t>
  </si>
  <si>
    <t>प्रज्योत भट्टी</t>
  </si>
  <si>
    <t>arc lamp</t>
  </si>
  <si>
    <t>प्रज्योत दीप</t>
  </si>
  <si>
    <t>arc rectifier</t>
  </si>
  <si>
    <t>प्रज्योत दिष्टकारी</t>
  </si>
  <si>
    <t>arc steram voltage</t>
  </si>
  <si>
    <t>प्रज्योत वाह व्होल्टता</t>
  </si>
  <si>
    <t>arc superssion coil</t>
  </si>
  <si>
    <t>प्रज्योत दमन कुंडल</t>
  </si>
  <si>
    <t>arc suppressor</t>
  </si>
  <si>
    <t>प्रज्योत दमनकारी</t>
  </si>
  <si>
    <t>arc tube</t>
  </si>
  <si>
    <t>प्रज्योत नलिका</t>
  </si>
  <si>
    <t>arc voltage</t>
  </si>
  <si>
    <t>प्रज्योत व्होल्टता</t>
  </si>
  <si>
    <t>arc welding</t>
  </si>
  <si>
    <t>प्रज्योत सांधण</t>
  </si>
  <si>
    <t>arc-lighting dynamo</t>
  </si>
  <si>
    <t>प्रज्योत प्रकाश जनित्र</t>
  </si>
  <si>
    <t>arc-over</t>
  </si>
  <si>
    <t>प्रज्योतन (न.)</t>
  </si>
  <si>
    <t>arc-over voltage</t>
  </si>
  <si>
    <t>प्रज्योतन व्होल्टता</t>
  </si>
  <si>
    <t>arcing</t>
  </si>
  <si>
    <t>arcing contact</t>
  </si>
  <si>
    <t>प्रज्योतन संपर्क</t>
  </si>
  <si>
    <t>(also acting tips)</t>
  </si>
  <si>
    <t>arcing ground</t>
  </si>
  <si>
    <t>प्रज्योत भूसंपर्कन</t>
  </si>
  <si>
    <t>arcing horn</t>
  </si>
  <si>
    <t>प्रज्योतन शृंग</t>
  </si>
  <si>
    <t>arcing ring</t>
  </si>
  <si>
    <t>प्रज्योतन वलय</t>
  </si>
  <si>
    <t>arcing shield</t>
  </si>
  <si>
    <t>प्रज्योतन परिरक्षी</t>
  </si>
  <si>
    <t>arcing tips</t>
  </si>
  <si>
    <t>arcing voltage</t>
  </si>
  <si>
    <t>arcing-ground suppressor</t>
  </si>
  <si>
    <t>प्रज्योत भूसंपर्क दमनकारी</t>
  </si>
  <si>
    <t>area</t>
  </si>
  <si>
    <t>क्षेत्र (न.)</t>
  </si>
  <si>
    <t>area of illumination</t>
  </si>
  <si>
    <t>दीपन क्षेत्र</t>
  </si>
  <si>
    <t>Argand diagram</t>
  </si>
  <si>
    <t>आर्गंड आकृति</t>
  </si>
  <si>
    <t>argon glow lamp</t>
  </si>
  <si>
    <t>आर्गन प्रभा दीप</t>
  </si>
  <si>
    <t>argon lamp</t>
  </si>
  <si>
    <t>आर्गन दीप</t>
  </si>
  <si>
    <t>argument of a function</t>
  </si>
  <si>
    <t>१ फलाचा चलनांक २ फलाचा कोनांक</t>
  </si>
  <si>
    <t>arm</t>
  </si>
  <si>
    <t>भुज (पु.)</t>
  </si>
  <si>
    <t>armature</t>
  </si>
  <si>
    <t>आर्मेचर (पु.)</t>
  </si>
  <si>
    <t>armature bands</t>
  </si>
  <si>
    <t>आर्मेचर बंध (पु.अ.व.)</t>
  </si>
  <si>
    <t>armature bars</t>
  </si>
  <si>
    <t>आर्मेचर शलाका (स्त्री.अ.व.)</t>
  </si>
  <si>
    <t>armature circuit</t>
  </si>
  <si>
    <t>आर्मेचर परिपथ</t>
  </si>
  <si>
    <t>armature coil</t>
  </si>
  <si>
    <t>आर्मेचर कुंडल</t>
  </si>
  <si>
    <t>armature conductor</t>
  </si>
  <si>
    <t>आर्मेचर वाही</t>
  </si>
  <si>
    <t>armature core</t>
  </si>
  <si>
    <t>आर्मेचर क्रोड</t>
  </si>
  <si>
    <t>armature core disc</t>
  </si>
  <si>
    <t>आर्मेचर क्रोड चकती</t>
  </si>
  <si>
    <t>armature core field</t>
  </si>
  <si>
    <t>आर्मेचर क्रोड क्षेत्र</t>
  </si>
  <si>
    <t>armature core flux</t>
  </si>
  <si>
    <t>आर्मेचर क्रोड अभिवाह</t>
  </si>
  <si>
    <t>armature core plate</t>
  </si>
  <si>
    <t>आर्मेचर क्रोड पत्री</t>
  </si>
  <si>
    <t>armature ducts</t>
  </si>
  <si>
    <t>आर्मेचर वाहिन्या (स्त्री.अ.व.)</t>
  </si>
  <si>
    <t>armature end connections</t>
  </si>
  <si>
    <t>आर्मेचर अग्र बंध (पु.अ.व.)</t>
  </si>
  <si>
    <t>armature end-plate</t>
  </si>
  <si>
    <t>आर्मेचर अंत्य-पत्री</t>
  </si>
  <si>
    <t>armature field</t>
  </si>
  <si>
    <t>आर्मेचर क्षेत्र</t>
  </si>
  <si>
    <t>armature leakage impedance</t>
  </si>
  <si>
    <t>आर्मेचर गलन संरोध</t>
  </si>
  <si>
    <t>armature leakage reactance</t>
  </si>
  <si>
    <t>आर्मेचर गलन प्रतिरोध</t>
  </si>
  <si>
    <t>armature reactance</t>
  </si>
  <si>
    <t>आर्मेचर प्रतिरोध</t>
  </si>
  <si>
    <t>armature reaction</t>
  </si>
  <si>
    <t>आर्मेचर प्रतिक्रिया</t>
  </si>
  <si>
    <t>armature reaction factor</t>
  </si>
  <si>
    <t>आर्मेचर प्रतिक्रिया अंक</t>
  </si>
  <si>
    <t>armature reaction field</t>
  </si>
  <si>
    <t>आर्मेचर प्रतिक्रिया क्षेत्र</t>
  </si>
  <si>
    <t>armature shaft</t>
  </si>
  <si>
    <t>आर्मेचर दंड</t>
  </si>
  <si>
    <t>armature sleeve</t>
  </si>
  <si>
    <t>आर्मेचर बाही</t>
  </si>
  <si>
    <t>armature slot</t>
  </si>
  <si>
    <t>आर्मेचर खाच</t>
  </si>
  <si>
    <t>armature spider</t>
  </si>
  <si>
    <t>आर्मेचर क्रोडधारी</t>
  </si>
  <si>
    <t>armature spindle</t>
  </si>
  <si>
    <t>आर्मेचर चाती</t>
  </si>
  <si>
    <t>armature stamping</t>
  </si>
  <si>
    <t>आर्मेचर ठसापत्री</t>
  </si>
  <si>
    <t>armature winding</t>
  </si>
  <si>
    <t>१ आर्मेचर कुंडलन २ आर्मेचर कुंडल</t>
  </si>
  <si>
    <t>armature yoke</t>
  </si>
  <si>
    <t>आर्मेचर जू</t>
  </si>
  <si>
    <t>armour</t>
  </si>
  <si>
    <t>कवच (न.)</t>
  </si>
  <si>
    <t>armour clamp</t>
  </si>
  <si>
    <t>कवच पकड</t>
  </si>
  <si>
    <t>armour-clad switch gear</t>
  </si>
  <si>
    <t>कवचित स्विच गिअर</t>
  </si>
  <si>
    <t>armoured cable</t>
  </si>
  <si>
    <t>कवचित केबल</t>
  </si>
  <si>
    <t>Aron meter</t>
  </si>
  <si>
    <t>अरॉन मीटर</t>
  </si>
  <si>
    <t>arrangement</t>
  </si>
  <si>
    <t>विन्यास (पु.), रचना (स्त्री.), मांडणी (स्त्री.)</t>
  </si>
  <si>
    <t>array</t>
  </si>
  <si>
    <t>विन्यास (पु.)</t>
  </si>
  <si>
    <t>arrester</t>
  </si>
  <si>
    <t>प्रग्राही (पु.)</t>
  </si>
  <si>
    <t>(also arrestor)</t>
  </si>
  <si>
    <t>arrester strip</t>
  </si>
  <si>
    <t>प्रग्राही पट्टी</t>
  </si>
  <si>
    <t>articulated train</t>
  </si>
  <si>
    <t>संधिबद्ध गाडी</t>
  </si>
  <si>
    <t>articulation</t>
  </si>
  <si>
    <t>१ उच्चारण (न.) २ संधिबंधन (न.)</t>
  </si>
  <si>
    <t>artifical</t>
  </si>
  <si>
    <t>कृत्रिम</t>
  </si>
  <si>
    <t>artifical antenna</t>
  </si>
  <si>
    <t>कृत्रिम आकाशग, निष्कर्म आकाशग</t>
  </si>
  <si>
    <t>(also dummy antenna)</t>
  </si>
  <si>
    <t>artifical cooling</t>
  </si>
  <si>
    <t>कृत्रिम शीतन</t>
  </si>
  <si>
    <t>artificial daylight</t>
  </si>
  <si>
    <t>कृत्रिम दिनप्रकाश</t>
  </si>
  <si>
    <t>artificial horizon</t>
  </si>
  <si>
    <t>कृत्रिम क्षितिज</t>
  </si>
  <si>
    <t>artificial transmission lines</t>
  </si>
  <si>
    <t>कृत्रिम पारेषण तारमार्ग (पु.अ.व.)</t>
  </si>
  <si>
    <t>aspect ratio</t>
  </si>
  <si>
    <t>दर्शनी गुणोत्तर, दर्शनी अनुपात</t>
  </si>
  <si>
    <t>assay</t>
  </si>
  <si>
    <t>परीक्षण करणे</t>
  </si>
  <si>
    <t>assaying</t>
  </si>
  <si>
    <t>परिक्षण (न.)</t>
  </si>
  <si>
    <t>assemble</t>
  </si>
  <si>
    <t>जुळवणी करणे</t>
  </si>
  <si>
    <t>assembled</t>
  </si>
  <si>
    <t>जुळवलेला</t>
  </si>
  <si>
    <t>assembler</t>
  </si>
  <si>
    <t>जुळवणारा (पु.)</t>
  </si>
  <si>
    <t>assembly</t>
  </si>
  <si>
    <t>१ जुळवणी (स्त्री.) २ समुच्चय (पु.)</t>
  </si>
  <si>
    <t>association</t>
  </si>
  <si>
    <t>१ सहचरण (न.) २ संयुति (स्त्री.)</t>
  </si>
  <si>
    <t>astable multivibrator</t>
  </si>
  <si>
    <t>अस्थायी बहुकंपित्र</t>
  </si>
  <si>
    <t>astatic</t>
  </si>
  <si>
    <t>अस्थितिक</t>
  </si>
  <si>
    <t>astatic galvanometer</t>
  </si>
  <si>
    <t>अस्थितिक गॅल्व्हानोमापी, अस्थितिक गॅल्व्हानोमीटर</t>
  </si>
  <si>
    <t>astatic system</t>
  </si>
  <si>
    <t>अस्थितिक पद्धति</t>
  </si>
  <si>
    <t>astronomy</t>
  </si>
  <si>
    <t>खगोलशास्त्र (न.)</t>
  </si>
  <si>
    <t>asylum switch</t>
  </si>
  <si>
    <t>asymmetric reflaction</t>
  </si>
  <si>
    <t>असममित परावर्तन</t>
  </si>
  <si>
    <t>asymmetric reflactor</t>
  </si>
  <si>
    <t>असममित पारवर्ती</t>
  </si>
  <si>
    <t>asymmetric refletion</t>
  </si>
  <si>
    <t>asymmetric refraction</t>
  </si>
  <si>
    <t>असममित अपवर्तन</t>
  </si>
  <si>
    <t>asymmetric refractor</t>
  </si>
  <si>
    <t>असममित अपवर्ती</t>
  </si>
  <si>
    <t>asymmetric sideband transmission</t>
  </si>
  <si>
    <t>असममित पार्श्वपट्ट पारेषण</t>
  </si>
  <si>
    <t>asymmetrical</t>
  </si>
  <si>
    <t>असममित</t>
  </si>
  <si>
    <t>asymmetrical light distribution</t>
  </si>
  <si>
    <t>असममित प्रकाश वितरण</t>
  </si>
  <si>
    <t>asymmetrical voltage</t>
  </si>
  <si>
    <t>असममित व्होल्टता</t>
  </si>
  <si>
    <t>asymmetricial sideband system</t>
  </si>
  <si>
    <t>असममित पार्श्वपट्ट पद्धति</t>
  </si>
  <si>
    <t>asymmetry</t>
  </si>
  <si>
    <t>असममिति (स्त्री.)</t>
  </si>
  <si>
    <t>asynchronous</t>
  </si>
  <si>
    <t>असंकालिक</t>
  </si>
  <si>
    <t>asynchronous crawling</t>
  </si>
  <si>
    <t>असंकालिक मंदचाल</t>
  </si>
  <si>
    <t>asynchronous generator</t>
  </si>
  <si>
    <t>असंकालिक जनित्र</t>
  </si>
  <si>
    <t>asynchronous machine</t>
  </si>
  <si>
    <t>असंकालिक यंत्र</t>
  </si>
  <si>
    <t>asynchronous motor</t>
  </si>
  <si>
    <t>असंकालिक चलित्र</t>
  </si>
  <si>
    <t>atmosphere</t>
  </si>
  <si>
    <t>वातावरण (न.)</t>
  </si>
  <si>
    <t>climate हवामान weather हवामान, वायुमान</t>
  </si>
  <si>
    <t>atmospheric</t>
  </si>
  <si>
    <t>atmospheric disturbances</t>
  </si>
  <si>
    <t>वातावरणीय विक्षोभ (पु.अ.व.)</t>
  </si>
  <si>
    <t>atmospheric noise</t>
  </si>
  <si>
    <t>वातावरणीय कुरव</t>
  </si>
  <si>
    <t>(also atmospherics)</t>
  </si>
  <si>
    <t>atmospheric noise recorder</t>
  </si>
  <si>
    <t>वातावरणीय कुरव अभिलेखी</t>
  </si>
  <si>
    <t>atmospheric refraction</t>
  </si>
  <si>
    <t>वातावरणीय अपवर्तन</t>
  </si>
  <si>
    <t>atom</t>
  </si>
  <si>
    <t>अणु (पु.)</t>
  </si>
  <si>
    <t>atom smasher</t>
  </si>
  <si>
    <t>अणुभंजी (पु.)</t>
  </si>
  <si>
    <t>atomic</t>
  </si>
  <si>
    <t>अण्विक, अणु-</t>
  </si>
  <si>
    <t>atomic energy</t>
  </si>
  <si>
    <t>अणु ऊर्जा</t>
  </si>
  <si>
    <t>atomic hydrogen arc welding</t>
  </si>
  <si>
    <t>अणु हायड्रोजन सांधण</t>
  </si>
  <si>
    <t>atomic nucleus</t>
  </si>
  <si>
    <t>अणु गर्भ</t>
  </si>
  <si>
    <t>atomic pile</t>
  </si>
  <si>
    <t>अणु चिति</t>
  </si>
  <si>
    <t>atomic reactor</t>
  </si>
  <si>
    <t>अणु भट्टी</t>
  </si>
  <si>
    <t>atomic structure</t>
  </si>
  <si>
    <t>अणु संरचना</t>
  </si>
  <si>
    <t>atomiser</t>
  </si>
  <si>
    <t>कणित्र (न.)</t>
  </si>
  <si>
    <t>attenuation</t>
  </si>
  <si>
    <t>१ क्षीणन (न.) २ क्षीणता (स्त्री.)</t>
  </si>
  <si>
    <t>attenuation band</t>
  </si>
  <si>
    <t>क्षीणन पट्ट</t>
  </si>
  <si>
    <t>attenuation coefficient</t>
  </si>
  <si>
    <t>क्षीणन गुणांक</t>
  </si>
  <si>
    <t>attenuation constant</t>
  </si>
  <si>
    <t>क्षीणन स्थिरांक</t>
  </si>
  <si>
    <t>attenuation correction</t>
  </si>
  <si>
    <t>क्षीणन सुधार</t>
  </si>
  <si>
    <t>attenuation current</t>
  </si>
  <si>
    <t>क्षीणन धारा</t>
  </si>
  <si>
    <t>attenuation distortion</t>
  </si>
  <si>
    <t>क्षीणन विकृति</t>
  </si>
  <si>
    <t>attenuation equaliser</t>
  </si>
  <si>
    <t>क्षीणन समकारी</t>
  </si>
  <si>
    <t>attenuation equalising netork</t>
  </si>
  <si>
    <t>क्षीणन समकारी जालव्यूव्ह</t>
  </si>
  <si>
    <t>attenuation factor</t>
  </si>
  <si>
    <t>क्षीणनांक (पु.)</t>
  </si>
  <si>
    <t>attenuation ratio</t>
  </si>
  <si>
    <t>क्षीणन अनुपात, क्षीणन गुणोत्तर</t>
  </si>
  <si>
    <t>attenuator</t>
  </si>
  <si>
    <t>क्षीणनकारी (पु.)</t>
  </si>
  <si>
    <t>attenuator pad</t>
  </si>
  <si>
    <t>क्षीणनकारी पॅड</t>
  </si>
  <si>
    <t>attracted-disc electrometer</t>
  </si>
  <si>
    <t>आकर्षित-चकती विद्युतमापी</t>
  </si>
  <si>
    <t>attributes of colour sensation</t>
  </si>
  <si>
    <t>वर्णसंवेदन गुणविशेष (पु.अ.व.)</t>
  </si>
  <si>
    <t>audibility</t>
  </si>
  <si>
    <t>श्राव्यता (स्त्री.)</t>
  </si>
  <si>
    <t>audio frequency</t>
  </si>
  <si>
    <t>श्रुति वारंवारता</t>
  </si>
  <si>
    <t>(A.F.)</t>
  </si>
  <si>
    <t>audio frequency amplifier</t>
  </si>
  <si>
    <t>श्रुति-वारंवारता प्रवर्धी</t>
  </si>
  <si>
    <t>audio howler</t>
  </si>
  <si>
    <t>श्रुति कोलाहलित्र</t>
  </si>
  <si>
    <t>audio howling</t>
  </si>
  <si>
    <t>श्रुति कोलाहलन</t>
  </si>
  <si>
    <t>audio volume control</t>
  </si>
  <si>
    <t>१ श्रुति ध्वनिमान नियंत्रण २ श्रुति ध्वनिमान नियंत्री</t>
  </si>
  <si>
    <t>audio-frequency choke</t>
  </si>
  <si>
    <t>श्रुति-वारंवारता चोक</t>
  </si>
  <si>
    <t>audio-frequency transformer</t>
  </si>
  <si>
    <t>श्रुति-वारंवारता परिवर्तित्र</t>
  </si>
  <si>
    <t>audiotype outputt meter</t>
  </si>
  <si>
    <t>श्रुतिप्रकार प्रदान मापी</t>
  </si>
  <si>
    <t>auto-converter</t>
  </si>
  <si>
    <t>स्वयंरूपांतरित्र (न.)</t>
  </si>
  <si>
    <t>auto-correlation detector</t>
  </si>
  <si>
    <t>स्वसहसंबंध शोधी</t>
  </si>
  <si>
    <t>auto-gain control</t>
  </si>
  <si>
    <t>स्वयंलब्धि नियंत्रण</t>
  </si>
  <si>
    <t>(also automatic gain control)</t>
  </si>
  <si>
    <t>auto-reclose circuit-breaker</t>
  </si>
  <si>
    <t>स्वयंपुनर्योजी परिपथवियोजी</t>
  </si>
  <si>
    <t>auto-synchronous motor</t>
  </si>
  <si>
    <t>स्वयंसंकालिक चलित्र</t>
  </si>
  <si>
    <t>auto-synchrosing</t>
  </si>
  <si>
    <t>स्वयंसंकालन (न.)</t>
  </si>
  <si>
    <t>auto-transformer</t>
  </si>
  <si>
    <t>स्वयंपरिवर्तित्र (न.)</t>
  </si>
  <si>
    <t>auto-transformer strater</t>
  </si>
  <si>
    <t>स्वयंपरिवर्तित्र आरंभी</t>
  </si>
  <si>
    <t>auto-voltage regulator</t>
  </si>
  <si>
    <t>स्वयंव्होल्टता नियामी</t>
  </si>
  <si>
    <t>autoalarm</t>
  </si>
  <si>
    <t>स्वयंचलित भयसूचक (पु.)</t>
  </si>
  <si>
    <t>autodyne principles</t>
  </si>
  <si>
    <t>स्वबल तत्त्वे (न.अ.व.)</t>
  </si>
  <si>
    <t>autograph</t>
  </si>
  <si>
    <t>स्वलेख (पु.)</t>
  </si>
  <si>
    <t>automatic arc welding</t>
  </si>
  <si>
    <t>स्वयंचलित प्रज्योत सांधण</t>
  </si>
  <si>
    <t>automatic circuit-breaker</t>
  </si>
  <si>
    <t>स्वयंचलित परिपथवियोजी</t>
  </si>
  <si>
    <t>automatic contact-making device</t>
  </si>
  <si>
    <t>स्वयंचलित संपर्कन साधन</t>
  </si>
  <si>
    <t>automatic direction-finder</t>
  </si>
  <si>
    <t>स्वयंचलित दिशाशोधी, स्वंयचलित दिशान्वेषी</t>
  </si>
  <si>
    <t>automatic disconnection</t>
  </si>
  <si>
    <t>स्वयंचलित विसंधान</t>
  </si>
  <si>
    <t>automatic frequency control</t>
  </si>
  <si>
    <t>१ स्वयंचलित वारंवारता नियंत्रण २ स्वयंचलित वारंवारता नियंत्री</t>
  </si>
  <si>
    <t>(A.F.C.)</t>
  </si>
  <si>
    <t>automatic gain control</t>
  </si>
  <si>
    <t>automatic grid bias</t>
  </si>
  <si>
    <t>स्वयंचलित ग्रिड अभिनति</t>
  </si>
  <si>
    <t>automatic power plant</t>
  </si>
  <si>
    <t>स्वयंचलित शक्ति संयंत्र</t>
  </si>
  <si>
    <t>automatic regulation</t>
  </si>
  <si>
    <t>स्वयंचलित नियमन</t>
  </si>
  <si>
    <t>automatic restarting</t>
  </si>
  <si>
    <t>स्वयंचलित पुनःप्रवर्तन</t>
  </si>
  <si>
    <t>automatic starter</t>
  </si>
  <si>
    <t>स्वयंचलित आरंभी</t>
  </si>
  <si>
    <t>automatic substation</t>
  </si>
  <si>
    <t>स्वयंचलित उपकेंद्रक</t>
  </si>
  <si>
    <t>automatic sugnalling</t>
  </si>
  <si>
    <t>स्वयंचलित संकेतन</t>
  </si>
  <si>
    <t>automatic synchroniser</t>
  </si>
  <si>
    <t>स्वयंचलित संकालक</t>
  </si>
  <si>
    <t>automatic tap-changing equipment</t>
  </si>
  <si>
    <t>स्यंचलित शाखन-बदल सामग्री</t>
  </si>
  <si>
    <t>automatic tone compensation</t>
  </si>
  <si>
    <t>स्वयंचलित स्वर प्रतिपूरण</t>
  </si>
  <si>
    <t>automatic traffic light</t>
  </si>
  <si>
    <t>स्वयंचलित वाहतूक दिवा</t>
  </si>
  <si>
    <t>automatic train stop</t>
  </si>
  <si>
    <t>स्वयंचलित गाडी रोख</t>
  </si>
  <si>
    <t>automatic trolley reveser</t>
  </si>
  <si>
    <t>स्वयंचलित चाकाळी व्युत्क्रमी</t>
  </si>
  <si>
    <t>automatic tuning</t>
  </si>
  <si>
    <t>स्वयंचलित मेलन</t>
  </si>
  <si>
    <t>automatic voltage</t>
  </si>
  <si>
    <t>स्वयंचलित व्होल्टता</t>
  </si>
  <si>
    <t>automatic voltage regulator</t>
  </si>
  <si>
    <t>स्वयंचलित व्होल्टता नियामी</t>
  </si>
  <si>
    <t>automatic volume control</t>
  </si>
  <si>
    <t>१ स्वयंचलित ध्वनिमान नियंत्रण २ स्वयंचलित ध्वनिमान नियंत्री</t>
  </si>
  <si>
    <t>automobile</t>
  </si>
  <si>
    <t>स्वयंचलित्र (न.)</t>
  </si>
  <si>
    <t>automobile antenna</t>
  </si>
  <si>
    <t>स्वयंचलित्र आकाशग</t>
  </si>
  <si>
    <t>automobile headlights</t>
  </si>
  <si>
    <t>स्वयंचलित्र पुरोदीप (पु.अ.व.)</t>
  </si>
  <si>
    <t>autopilot</t>
  </si>
  <si>
    <t>स्वयंअभिदर्शी (पु.)</t>
  </si>
  <si>
    <t>autoset level</t>
  </si>
  <si>
    <t>स्वयंस्थापी समतलमापी</t>
  </si>
  <si>
    <t>Autosyn</t>
  </si>
  <si>
    <t>autovalve</t>
  </si>
  <si>
    <t>स्वयंझडप (स्त्री.)</t>
  </si>
  <si>
    <t>autovalve arrester</t>
  </si>
  <si>
    <t>स्वयंझडप प्रग्राही</t>
  </si>
  <si>
    <t>auxiliary arc</t>
  </si>
  <si>
    <t>साह्यकारी प्रज्योत</t>
  </si>
  <si>
    <t>auxiliary contact</t>
  </si>
  <si>
    <t>साह्यकारी संपर्क</t>
  </si>
  <si>
    <t>auxiliary electrode</t>
  </si>
  <si>
    <t>साह्यकारी इलेक्ट्रोड</t>
  </si>
  <si>
    <t>auxiliary gap</t>
  </si>
  <si>
    <t>साह्यकारी अंतर</t>
  </si>
  <si>
    <t>auxiliary lift-motor</t>
  </si>
  <si>
    <t>साह्यकारी उद्वाहीचलित्र</t>
  </si>
  <si>
    <t>auxiliary plant</t>
  </si>
  <si>
    <t>साह्यकारी संयंत्र</t>
  </si>
  <si>
    <t>auxiliary pole</t>
  </si>
  <si>
    <t>साह्यकारी धुव</t>
  </si>
  <si>
    <t>auxiliary spark gap</t>
  </si>
  <si>
    <t>साह्यकारी स्पुल्लिंग अंतर</t>
  </si>
  <si>
    <t>auxiliary switch</t>
  </si>
  <si>
    <t>साह्यकारी स्विच</t>
  </si>
  <si>
    <t>auxiliary winding</t>
  </si>
  <si>
    <t>साह्यकारी कुंडलन</t>
  </si>
  <si>
    <t>available noise-power</t>
  </si>
  <si>
    <t>उपलब्ध कुरवशक्ति</t>
  </si>
  <si>
    <t>average</t>
  </si>
  <si>
    <t>सरासरी (स्त्री.)</t>
  </si>
  <si>
    <t>average currebt</t>
  </si>
  <si>
    <t>सरासरी धारा</t>
  </si>
  <si>
    <t>average current density</t>
  </si>
  <si>
    <t>सरासरी धारा घनता</t>
  </si>
  <si>
    <t>average illumination</t>
  </si>
  <si>
    <t>सरासरी दीपन</t>
  </si>
  <si>
    <t>average noise factor</t>
  </si>
  <si>
    <t>सरासरी कुरव अंक</t>
  </si>
  <si>
    <t>average noon sunlight</t>
  </si>
  <si>
    <t>सरासरी मध्यान्ह सूर्यप्रकाश</t>
  </si>
  <si>
    <t>axel-mounted motor</t>
  </si>
  <si>
    <t>आस-अधिरोहित चलित्र</t>
  </si>
  <si>
    <t>axial</t>
  </si>
  <si>
    <t>अक्षीय</t>
  </si>
  <si>
    <t>axial alignment</t>
  </si>
  <si>
    <t>अक्षीय संरेखन</t>
  </si>
  <si>
    <t>axial duct</t>
  </si>
  <si>
    <t>अक्षीय वाहिनी</t>
  </si>
  <si>
    <t>axis</t>
  </si>
  <si>
    <t>अक्ष (पु.), आस (पु.)</t>
  </si>
  <si>
    <t>axis of communication</t>
  </si>
  <si>
    <t>संपरिवर्तन अक्ष</t>
  </si>
  <si>
    <t>Ayrton shunt</t>
  </si>
  <si>
    <t>आयर्टन पार्श्वपथ</t>
  </si>
  <si>
    <t>Aytron-Mather galvanometer</t>
  </si>
  <si>
    <t>आयर्टन-मेथर गॅल्व्हानोमापी</t>
  </si>
  <si>
    <t>B-voltage</t>
  </si>
  <si>
    <t>B-व्होल्टता (स्त्री.)</t>
  </si>
  <si>
    <t>B.H.P.</t>
  </si>
  <si>
    <t>आरोध अश्वशक्ति</t>
  </si>
  <si>
    <t>(abbr., for brake horse power)</t>
  </si>
  <si>
    <t>B/H curve</t>
  </si>
  <si>
    <t>बी.एच. वक्र, चुंबकीकरण वक्र, चुंबकन वक्र</t>
  </si>
  <si>
    <t>(also megnetisation curve)</t>
  </si>
  <si>
    <t>Babbitt's metal</t>
  </si>
  <si>
    <t>बॅबिट धातु</t>
  </si>
  <si>
    <t>back pressure</t>
  </si>
  <si>
    <t>प्रतिदाब (पु.)</t>
  </si>
  <si>
    <t>back ampere-turns</t>
  </si>
  <si>
    <t>पश्च-युग्मन (न.)</t>
  </si>
  <si>
    <t>back current</t>
  </si>
  <si>
    <t>पश्च धारा</t>
  </si>
  <si>
    <t>back emission</t>
  </si>
  <si>
    <t>पश्च उत्सर्जन</t>
  </si>
  <si>
    <t>back lightning</t>
  </si>
  <si>
    <t>पश्च दिपन</t>
  </si>
  <si>
    <t>back lobe</t>
  </si>
  <si>
    <t>पश्च पालि</t>
  </si>
  <si>
    <t>back of machine</t>
  </si>
  <si>
    <t>यंत्राची मागील बाजू</t>
  </si>
  <si>
    <t>back oscillation</t>
  </si>
  <si>
    <t>पश्च दोलन</t>
  </si>
  <si>
    <t>back pitch</t>
  </si>
  <si>
    <t>back porch</t>
  </si>
  <si>
    <t>पश्च अलिंद</t>
  </si>
  <si>
    <t>back projection</t>
  </si>
  <si>
    <t>१ पश्च प्रक्षेप २ पश्च प्रक्षेपण</t>
  </si>
  <si>
    <t>back radiation</t>
  </si>
  <si>
    <t>पश्च प्रारण</t>
  </si>
  <si>
    <t>back scatter method of measurement</t>
  </si>
  <si>
    <t>पश्च विकिरण मापन पद्धति</t>
  </si>
  <si>
    <t>back scattering</t>
  </si>
  <si>
    <t>पश्च विकिरण</t>
  </si>
  <si>
    <t>back stop of key</t>
  </si>
  <si>
    <t>कळीचा पश्च सीमक, कळ पश्च सीमक</t>
  </si>
  <si>
    <t>back-electromotive force</t>
  </si>
  <si>
    <t>प्रतिविद्युतगामी बल घट (पु.अ.व.)</t>
  </si>
  <si>
    <t>(back e.m.f.) cells, (also counter-electrootive force cells)</t>
  </si>
  <si>
    <t>back-end of armature</t>
  </si>
  <si>
    <t>आर्मेचरचे मागील टोक</t>
  </si>
  <si>
    <t>back-fire</t>
  </si>
  <si>
    <t>पश्च प्रज्वलन (न.)</t>
  </si>
  <si>
    <t>back-firing</t>
  </si>
  <si>
    <t>back-kick</t>
  </si>
  <si>
    <t>प्रत्याघात (पु.)</t>
  </si>
  <si>
    <t>back-porch effect</t>
  </si>
  <si>
    <t>पश्च-अलिंद प्रभाव</t>
  </si>
  <si>
    <t>back-pressure value</t>
  </si>
  <si>
    <t>प्रतिदाब झडप</t>
  </si>
  <si>
    <t>back-to-back connection</t>
  </si>
  <si>
    <t>विमुख जोडणी</t>
  </si>
  <si>
    <t>back-to-back test</t>
  </si>
  <si>
    <t>विमुख चाचणी</t>
  </si>
  <si>
    <t>background count</t>
  </si>
  <si>
    <t>पृष्ठभूमि गणनांक</t>
  </si>
  <si>
    <t>background noise</t>
  </si>
  <si>
    <t>पृष्ठभूमि कुरव</t>
  </si>
  <si>
    <t>background projection</t>
  </si>
  <si>
    <t>पृष्ठभूमि प्रक्षेपण</t>
  </si>
  <si>
    <t>backheating</t>
  </si>
  <si>
    <t>प्रतिऊष्मन (न.)</t>
  </si>
  <si>
    <t>backlash</t>
  </si>
  <si>
    <t>विगति (स्त्री.)</t>
  </si>
  <si>
    <t>backplate</t>
  </si>
  <si>
    <t>पश्च-पत्री (स्त्री.)</t>
  </si>
  <si>
    <t>backward lead</t>
  </si>
  <si>
    <t>पश्चसृति (स्त्री.)</t>
  </si>
  <si>
    <t>(also backward shift)</t>
  </si>
  <si>
    <t>backward lead of brushes</t>
  </si>
  <si>
    <t>कुंचली पश्चता, कुंचली पश्चसृति</t>
  </si>
  <si>
    <t>backward pitch</t>
  </si>
  <si>
    <t>पश्च अभ्यंतर</t>
  </si>
  <si>
    <t>(also back pitch)</t>
  </si>
  <si>
    <t>backward rotating component</t>
  </si>
  <si>
    <t>पश्च घूर्णी घटक</t>
  </si>
  <si>
    <t>backward shift</t>
  </si>
  <si>
    <t>backward wave</t>
  </si>
  <si>
    <t>पश्च तरंग</t>
  </si>
  <si>
    <t>backward-travelling</t>
  </si>
  <si>
    <t>पश्चगामी</t>
  </si>
  <si>
    <t>backward-wave oscillator</t>
  </si>
  <si>
    <t>पश्चतरंग दोली</t>
  </si>
  <si>
    <t>backward-wave tube</t>
  </si>
  <si>
    <t>पश्चतरंग नलिका</t>
  </si>
  <si>
    <t>bad earth</t>
  </si>
  <si>
    <t>कु-भूसंपर्कन (न.)</t>
  </si>
  <si>
    <t>bad thermal conductor</t>
  </si>
  <si>
    <t>औष्णिक दुर्वाही, तापीय दुर्वाही</t>
  </si>
  <si>
    <t>baffle</t>
  </si>
  <si>
    <t>बाधिका (स्त्री.)</t>
  </si>
  <si>
    <t>Bakelite</t>
  </si>
  <si>
    <t>बॅकेलाइट (न.)</t>
  </si>
  <si>
    <t>balance</t>
  </si>
  <si>
    <t>१ तुला (स्त्री.), तराजू (पु.) २ संतोल (पु.) ३ संतुलन (न.)</t>
  </si>
  <si>
    <t>balance beam meter</t>
  </si>
  <si>
    <t>संतुलन शलाकामापी</t>
  </si>
  <si>
    <t>balance coil</t>
  </si>
  <si>
    <t>संतुलन कुंडल</t>
  </si>
  <si>
    <t>balance control</t>
  </si>
  <si>
    <t>१ संतुलन नियंत्रण २ संतुलन नियंत्री</t>
  </si>
  <si>
    <t>balanced amplifier</t>
  </si>
  <si>
    <t>संतुलित प्रवर्धी</t>
  </si>
  <si>
    <t>balanced circuit</t>
  </si>
  <si>
    <t>संतुलित परिपथ</t>
  </si>
  <si>
    <t>balanced modulator</t>
  </si>
  <si>
    <t>संतुलित आपरिवर्ती</t>
  </si>
  <si>
    <t>balanced oscillator</t>
  </si>
  <si>
    <t>संतुलित दोली</t>
  </si>
  <si>
    <t>balanced polyphase load</t>
  </si>
  <si>
    <t>संतुलित बहुप्रावस्था भार</t>
  </si>
  <si>
    <t>balanced reaction coil</t>
  </si>
  <si>
    <t>संतुलित प्रतिक्रिया कुंडल</t>
  </si>
  <si>
    <t>balanced resistance</t>
  </si>
  <si>
    <t>संतुलित रोध</t>
  </si>
  <si>
    <t>balanced system</t>
  </si>
  <si>
    <t>संतुलित पद्धति</t>
  </si>
  <si>
    <t>balanced three-phase load</t>
  </si>
  <si>
    <t>संतुलित त्रिप्रावस्था भार</t>
  </si>
  <si>
    <t>balanced three-wire system</t>
  </si>
  <si>
    <t>संतुलित त्रितार पद्धति</t>
  </si>
  <si>
    <t>balancer</t>
  </si>
  <si>
    <t>संतोली (पु.)</t>
  </si>
  <si>
    <t>balancing</t>
  </si>
  <si>
    <t>१ संतुलन (पु.) २ अनुरूपण (न.)</t>
  </si>
  <si>
    <t>(also matching)</t>
  </si>
  <si>
    <t>balancing of telegraph-lines</t>
  </si>
  <si>
    <t>दूरलेखन तारमार्ग संतुलन</t>
  </si>
  <si>
    <t>balancing speed</t>
  </si>
  <si>
    <t>१ मुक्तधाव चाल २ संतुलन चाल</t>
  </si>
  <si>
    <t>(also free running speed)</t>
  </si>
  <si>
    <t>balancing thermopile</t>
  </si>
  <si>
    <t>संतुलन तापपंउज</t>
  </si>
  <si>
    <t>balancing transformer</t>
  </si>
  <si>
    <t>संतुलन परिवर्तित्र</t>
  </si>
  <si>
    <t>balata</t>
  </si>
  <si>
    <t>बलाटा (पु.)</t>
  </si>
  <si>
    <t>ball lightning</t>
  </si>
  <si>
    <t>तडितगोल (पु.), विजेचा लोळ</t>
  </si>
  <si>
    <t>ball-and-socket joint</t>
  </si>
  <si>
    <t>उखळी सांधा</t>
  </si>
  <si>
    <t>ballast</t>
  </si>
  <si>
    <t>स्थैर्यभार (पु.)</t>
  </si>
  <si>
    <t>ballast coil</t>
  </si>
  <si>
    <t>स्थैर्यभार कुंडल</t>
  </si>
  <si>
    <t>ballast lamp</t>
  </si>
  <si>
    <t>स्थैर्यभार दीप</t>
  </si>
  <si>
    <t>ballast resistance</t>
  </si>
  <si>
    <t>स्थैर्यभार रोध</t>
  </si>
  <si>
    <t>ballast resistor</t>
  </si>
  <si>
    <t>भाररोधी (पु.), स्थैर्यभाररोधी (पु.), बॅरेटर (पु.)</t>
  </si>
  <si>
    <t>(also barretter)</t>
  </si>
  <si>
    <t>ballast tube</t>
  </si>
  <si>
    <t>स्थैर्यभार नलिका</t>
  </si>
  <si>
    <t>ballistic galvanometer</t>
  </si>
  <si>
    <t>प्रक्षेप गॅल्व्हानोमापी</t>
  </si>
  <si>
    <t>ballistic measurement</t>
  </si>
  <si>
    <t>प्रक्षेप मापन</t>
  </si>
  <si>
    <t>ballistics</t>
  </si>
  <si>
    <t>प्रक्षेपिकी (स्त्री.)</t>
  </si>
  <si>
    <t>balun</t>
  </si>
  <si>
    <t>संतुलनित्र (न.)</t>
  </si>
  <si>
    <t>band</t>
  </si>
  <si>
    <t>पट्टन (न.)</t>
  </si>
  <si>
    <t>band relay</t>
  </si>
  <si>
    <t>पट्ट पुनरावर्ती</t>
  </si>
  <si>
    <t>(also band repeater)</t>
  </si>
  <si>
    <t>band-pass filter</t>
  </si>
  <si>
    <t>पट्ट-पार गाळणी</t>
  </si>
  <si>
    <t>bandspread in receiver</t>
  </si>
  <si>
    <t>ग्राहीतील पट्टप्रसरण</t>
  </si>
  <si>
    <t>bandspread receiver</t>
  </si>
  <si>
    <t>पट्टप्रसरण ग्राही</t>
  </si>
  <si>
    <t>bandwidth</t>
  </si>
  <si>
    <t>पट्टरुंदी (स्त्री.)</t>
  </si>
  <si>
    <t>bang-bang control</t>
  </si>
  <si>
    <t>बँग-बँग नियंत्रण</t>
  </si>
  <si>
    <t>bank cable</t>
  </si>
  <si>
    <t>कोष केबल</t>
  </si>
  <si>
    <t>bank of lamps</t>
  </si>
  <si>
    <t>दीपकोष (पु.)</t>
  </si>
  <si>
    <t>bank of lifts</t>
  </si>
  <si>
    <t>उद्वाही गट</t>
  </si>
  <si>
    <t>bank of transformers</t>
  </si>
  <si>
    <t>परिवर्तित्र कोष</t>
  </si>
  <si>
    <t>banked battery</t>
  </si>
  <si>
    <t>कोषित बॅटरी</t>
  </si>
  <si>
    <t>banked winding</t>
  </si>
  <si>
    <t>कोषित कंउडलन</t>
  </si>
  <si>
    <t>bar</t>
  </si>
  <si>
    <t>१ दंड (पु.) २ पट्टी (स्त्री.) ३ शलाका (स्त्री.) ४ गज (पु.)</t>
  </si>
  <si>
    <t>bar magnet</t>
  </si>
  <si>
    <t>दंड चुंबक</t>
  </si>
  <si>
    <t>bar winding</t>
  </si>
  <si>
    <t>दंड कुंडलन</t>
  </si>
  <si>
    <t>bar-suspended motor</t>
  </si>
  <si>
    <t>शलाकानिलंबित चलित्र</t>
  </si>
  <si>
    <t>bar-suspension</t>
  </si>
  <si>
    <t>शलाकानिलंबन (न.)</t>
  </si>
  <si>
    <t>bar-type current transformer</t>
  </si>
  <si>
    <t>दंडरूप धारा परिवर्तित्र</t>
  </si>
  <si>
    <t>bar-wound armature</t>
  </si>
  <si>
    <t>दंडकुंडलित आर्मेचर</t>
  </si>
  <si>
    <t>bare cable</t>
  </si>
  <si>
    <t>अनावृत केबल</t>
  </si>
  <si>
    <t>bare conductor</t>
  </si>
  <si>
    <t>अनावृत वाही</t>
  </si>
  <si>
    <t>bare electrodes</t>
  </si>
  <si>
    <t>अनावृत इलेक्ट्रोड (पु.अ.व.)</t>
  </si>
  <si>
    <t>Barff's process</t>
  </si>
  <si>
    <t>बार्फ प्रक्रिया</t>
  </si>
  <si>
    <t>Barkhausen-Kurz oscillator</t>
  </si>
  <si>
    <t>बार्कहाऊसेन-कुर्त्स दोली, बार्कहाऊसेन दोली</t>
  </si>
  <si>
    <t>barrel winding</t>
  </si>
  <si>
    <t>टीप कुंडलन</t>
  </si>
  <si>
    <t>barretter</t>
  </si>
  <si>
    <t>barrier</t>
  </si>
  <si>
    <t>बांध (पु.)</t>
  </si>
  <si>
    <t>barrier layer</t>
  </si>
  <si>
    <t>बांध स्तर</t>
  </si>
  <si>
    <t>barrier potential</t>
  </si>
  <si>
    <t>बांध विभव</t>
  </si>
  <si>
    <t>barrier-grid storage</t>
  </si>
  <si>
    <t>बांध-जाळी संचय</t>
  </si>
  <si>
    <t>barrier-layer cell</t>
  </si>
  <si>
    <t>बांधस्तर घट</t>
  </si>
  <si>
    <t>barrier-layer photocell</t>
  </si>
  <si>
    <t>बांधस्तर प्रकाशघट</t>
  </si>
  <si>
    <t>barrier-layer rectifiter</t>
  </si>
  <si>
    <t>बांधस्तर दिष्टकारी</t>
  </si>
  <si>
    <t>barrow reel</t>
  </si>
  <si>
    <t>रीळ गाडी</t>
  </si>
  <si>
    <t>barye</t>
  </si>
  <si>
    <t>बार्य (न.)</t>
  </si>
  <si>
    <t>base</t>
  </si>
  <si>
    <t>१ आधार (पु.) २ पाया (पु.) ३ तल (पु.)</t>
  </si>
  <si>
    <t>base current</t>
  </si>
  <si>
    <t>तल धारा</t>
  </si>
  <si>
    <t>base electrode</t>
  </si>
  <si>
    <t>तल इलेक्ट्रोड</t>
  </si>
  <si>
    <t>base frequencies</t>
  </si>
  <si>
    <t>तल वारंवारता (स्त्री.अ.व.)</t>
  </si>
  <si>
    <t>base line</t>
  </si>
  <si>
    <t>आधार रेषा</t>
  </si>
  <si>
    <t>base plate</t>
  </si>
  <si>
    <t>आधार पट्टिका</t>
  </si>
  <si>
    <t>(aslo bed plate)</t>
  </si>
  <si>
    <t>base region</t>
  </si>
  <si>
    <t>तल क्षेत्र</t>
  </si>
  <si>
    <t>base-loaded antenna</t>
  </si>
  <si>
    <t>तलभारित आकाशग</t>
  </si>
  <si>
    <t>baseband</t>
  </si>
  <si>
    <t>आधारपट्ट (पु.)</t>
  </si>
  <si>
    <t>basic</t>
  </si>
  <si>
    <t>मूल</t>
  </si>
  <si>
    <t>basic circuit</t>
  </si>
  <si>
    <t>मूल परिपथ</t>
  </si>
  <si>
    <t>basic coil</t>
  </si>
  <si>
    <t>करंड कुंडल</t>
  </si>
  <si>
    <t>(also basket-wound coil)</t>
  </si>
  <si>
    <t>basic resistance</t>
  </si>
  <si>
    <t>तल रोध</t>
  </si>
  <si>
    <t>basket-wound coil</t>
  </si>
  <si>
    <t>bass</t>
  </si>
  <si>
    <t>मंद्र (पु.)</t>
  </si>
  <si>
    <t>bass boost</t>
  </si>
  <si>
    <t>नंद्र वर्धन</t>
  </si>
  <si>
    <t>bass compensation</t>
  </si>
  <si>
    <t>मंद्र प्रतिपूरण</t>
  </si>
  <si>
    <t>bass control</t>
  </si>
  <si>
    <t>मंद्र नियंत्रण</t>
  </si>
  <si>
    <t>bass reflex</t>
  </si>
  <si>
    <t>मंद प्रतिवर्त</t>
  </si>
  <si>
    <t>bass response</t>
  </si>
  <si>
    <t>मंद प्रतिसाद</t>
  </si>
  <si>
    <t>bastard winding</t>
  </si>
  <si>
    <t>bath</t>
  </si>
  <si>
    <t>मज्जनी (स्त्री.)</t>
  </si>
  <si>
    <t>batten-lampholder</t>
  </si>
  <si>
    <t>पट्टी-दीपधारी (पु.)</t>
  </si>
  <si>
    <t>battery</t>
  </si>
  <si>
    <t>बॅटरी (स्त्री.), घटसंच (पु.)</t>
  </si>
  <si>
    <t>battery booster</t>
  </si>
  <si>
    <t>बॅटरी वर्धी</t>
  </si>
  <si>
    <t>battery bus-bar</t>
  </si>
  <si>
    <t>बॅटरी महावाही</t>
  </si>
  <si>
    <t>battery capacity</t>
  </si>
  <si>
    <t>बॅटरी क्षमता</t>
  </si>
  <si>
    <t>battery charger</t>
  </si>
  <si>
    <t>बॅटरी प्रभारी</t>
  </si>
  <si>
    <t>battery container</t>
  </si>
  <si>
    <t>बॅटरी पात्र</t>
  </si>
  <si>
    <t>battery cut-out</t>
  </si>
  <si>
    <t>बॅटरी भंजक</t>
  </si>
  <si>
    <t>battery dialing</t>
  </si>
  <si>
    <t>बॅटरी तबकडन</t>
  </si>
  <si>
    <t>battery eliminator</t>
  </si>
  <si>
    <t>बॅटरी विलोपी</t>
  </si>
  <si>
    <t>battery failure alarm</t>
  </si>
  <si>
    <t>बॅटरी बंद गजर</t>
  </si>
  <si>
    <t>battery gauge</t>
  </si>
  <si>
    <t>बॅटरी प्रमापी</t>
  </si>
  <si>
    <t>battery meter</t>
  </si>
  <si>
    <t>बॅटरीमापी (पु.)</t>
  </si>
  <si>
    <t>battery motor</t>
  </si>
  <si>
    <t>बॅटरी चलित्र</t>
  </si>
  <si>
    <t>battery operated</t>
  </si>
  <si>
    <t>बॅटरी चालित</t>
  </si>
  <si>
    <t>battery protector</t>
  </si>
  <si>
    <t>बॅटरी रक्षी</t>
  </si>
  <si>
    <t>battery receiver</t>
  </si>
  <si>
    <t>बॅटरी ग्राही</t>
  </si>
  <si>
    <t>battery regulating switch</t>
  </si>
  <si>
    <t>घटसंच नियामी स्विच</t>
  </si>
  <si>
    <t>battery reversing key</t>
  </si>
  <si>
    <t>बॅटरी व्युत्क्रमी कळ</t>
  </si>
  <si>
    <t>battery reversing switch</t>
  </si>
  <si>
    <t>बॅटरी व्युत्क्रमी स्विच</t>
  </si>
  <si>
    <t>battery room</t>
  </si>
  <si>
    <t>बॅटरी कक्ष</t>
  </si>
  <si>
    <t>battery set</t>
  </si>
  <si>
    <t>बॅटरी रेडिओ</t>
  </si>
  <si>
    <t>battery syringe</t>
  </si>
  <si>
    <t>बॅटरी पिचकारी</t>
  </si>
  <si>
    <t>battery traction</t>
  </si>
  <si>
    <t>बॅटरी संकर्षण</t>
  </si>
  <si>
    <t>battery vehicle</t>
  </si>
  <si>
    <t>बॅटरी वाहन</t>
  </si>
  <si>
    <t>battery voltage</t>
  </si>
  <si>
    <t>बॅटरी व्होल्टता</t>
  </si>
  <si>
    <t>battery voltage for ignition</t>
  </si>
  <si>
    <t>बॅटरी प्रज्वलन व्होल्टता</t>
  </si>
  <si>
    <t>battery zincs</t>
  </si>
  <si>
    <t>बॅटरी जस्तपट्टया (स्त्री.अ.व.)</t>
  </si>
  <si>
    <t>battery-coil ignition</t>
  </si>
  <si>
    <t>बॅटरी-कुंडल प्रज्वलन</t>
  </si>
  <si>
    <t>battery-lamp</t>
  </si>
  <si>
    <t>बॅटरी-दीप (पु.)</t>
  </si>
  <si>
    <t>beacon</t>
  </si>
  <si>
    <t>द्योतक (न.)</t>
  </si>
  <si>
    <t>beacon direaction-finder</t>
  </si>
  <si>
    <t>द्योतक विशाशोधी, द्योतक दिशान्वेषी</t>
  </si>
  <si>
    <t>beacon receiver</t>
  </si>
  <si>
    <t>द्योतक ग्राही</t>
  </si>
  <si>
    <t>bead lightning</t>
  </si>
  <si>
    <t>मणिमाला तडित</t>
  </si>
  <si>
    <t>bead memory</t>
  </si>
  <si>
    <t>मणि स्मृतिका</t>
  </si>
  <si>
    <t>bead thermistor</t>
  </si>
  <si>
    <t>मणि तापरोधी, मणि थर्मिस्टर</t>
  </si>
  <si>
    <t>beam</t>
  </si>
  <si>
    <t>शलाका (स्त्री.)</t>
  </si>
  <si>
    <t>beam antenna</t>
  </si>
  <si>
    <t>शलाका आकाशग</t>
  </si>
  <si>
    <t>beam array</t>
  </si>
  <si>
    <t>शलाका विन्यास</t>
  </si>
  <si>
    <t>beam bending</t>
  </si>
  <si>
    <t>शलाका नमन</t>
  </si>
  <si>
    <t>beam convergence</t>
  </si>
  <si>
    <t>शलाका अभिसरण</t>
  </si>
  <si>
    <t>beam coupling</t>
  </si>
  <si>
    <t>शलाका युग्मन</t>
  </si>
  <si>
    <t>beam coupling coefficient</t>
  </si>
  <si>
    <t>शलाका युग्मन गुणांक</t>
  </si>
  <si>
    <t>beam current</t>
  </si>
  <si>
    <t>शलाका धारा</t>
  </si>
  <si>
    <t>beam loading</t>
  </si>
  <si>
    <t>शलाका भारण</t>
  </si>
  <si>
    <t>beam meter</t>
  </si>
  <si>
    <t>शलाकामापी (पु.)</t>
  </si>
  <si>
    <t>beam modulation</t>
  </si>
  <si>
    <t>शलाका आपरिवर्तन</t>
  </si>
  <si>
    <t>beam scanning</t>
  </si>
  <si>
    <t>शलाका क्रमविक्षण</t>
  </si>
  <si>
    <t>beam spread</t>
  </si>
  <si>
    <t>शलाका प्रसर</t>
  </si>
  <si>
    <t>beam switching tube</t>
  </si>
  <si>
    <t>शलाकास्विचन नलिका</t>
  </si>
  <si>
    <t>beam tetrode</t>
  </si>
  <si>
    <t>शलाका टेट्रोड</t>
  </si>
  <si>
    <t>beam transmission</t>
  </si>
  <si>
    <t>शलाका पारेषण</t>
  </si>
  <si>
    <t>beam valve</t>
  </si>
  <si>
    <t>शलाका झडप</t>
  </si>
  <si>
    <t>beam-deflection mixer value (tube)</t>
  </si>
  <si>
    <t>शलाकाविक्षेपी मिश्रक नलिका</t>
  </si>
  <si>
    <t>beam-forming electrodes</t>
  </si>
  <si>
    <t>शलाकाकारी इलेक्ट्रोड (पु.अ.व.)</t>
  </si>
  <si>
    <t>beam-forming electronic values (tubes)</t>
  </si>
  <si>
    <t>शलाकाकारी इलेक्ट्रॉनी नलिका (स्त्री.अ.व.)</t>
  </si>
  <si>
    <t>beam-power output tube</t>
  </si>
  <si>
    <t>शलाका-शक्ति प्रदान नलिका</t>
  </si>
  <si>
    <t>beam-power tube</t>
  </si>
  <si>
    <t>शलाका-शक्ति नलिका</t>
  </si>
  <si>
    <t>beam-spliting plate</t>
  </si>
  <si>
    <t>शलाका विभाजन पत्री</t>
  </si>
  <si>
    <t>Beard protective system</t>
  </si>
  <si>
    <t>बेअर्ड रक्षम पद्धति</t>
  </si>
  <si>
    <t>Beard-Hunter protective system</t>
  </si>
  <si>
    <t>बेअर्ड-हंटर रक्षण पद्धति</t>
  </si>
  <si>
    <t>bearing sleeve</t>
  </si>
  <si>
    <t>धारवा बाही</t>
  </si>
  <si>
    <t>beat</t>
  </si>
  <si>
    <t>लय (स्त्री.)</t>
  </si>
  <si>
    <t>beat frequency</t>
  </si>
  <si>
    <t>लय वारंवारता</t>
  </si>
  <si>
    <t>beat reception</t>
  </si>
  <si>
    <t>लय ग्रहण</t>
  </si>
  <si>
    <t>beat-frequency oscillator</t>
  </si>
  <si>
    <t>लय वारंवारता दोली</t>
  </si>
  <si>
    <t>bed plate</t>
  </si>
  <si>
    <t>bedding</t>
  </si>
  <si>
    <t>१ संस्तरण (न.)</t>
  </si>
  <si>
    <t>bell</t>
  </si>
  <si>
    <t>घंटी (स्त्री.), घंटा (स्त्री.)</t>
  </si>
  <si>
    <t>bell alarm switch</t>
  </si>
  <si>
    <t>इशारा घंटी स्विच</t>
  </si>
  <si>
    <t>bell armature</t>
  </si>
  <si>
    <t>घंटी आर्मेचर</t>
  </si>
  <si>
    <t>bell circuit</t>
  </si>
  <si>
    <t>घंटी परिपथ</t>
  </si>
  <si>
    <t>bell push</t>
  </si>
  <si>
    <t>विद्युत घंटी दाबस्विच</t>
  </si>
  <si>
    <t>bell switch</t>
  </si>
  <si>
    <t>घंटी स्विच</t>
  </si>
  <si>
    <t>bell transformer</t>
  </si>
  <si>
    <t>bell-ringing transformer</t>
  </si>
  <si>
    <t>घंटी परिवर्तित्र</t>
  </si>
  <si>
    <t>(also bell transformer)</t>
  </si>
  <si>
    <t>bell-shaped magnet</t>
  </si>
  <si>
    <t>घंटाकृति चुंबक</t>
  </si>
  <si>
    <t>Bellini-Tosi direction-finder</t>
  </si>
  <si>
    <t>बेलिनी-टोसी दिशाशोधी</t>
  </si>
  <si>
    <t>belt drive</t>
  </si>
  <si>
    <t>पट्टा चालन</t>
  </si>
  <si>
    <t>belted-type cable</t>
  </si>
  <si>
    <t>पट्टाबद्ध केबल</t>
  </si>
  <si>
    <t>bend</t>
  </si>
  <si>
    <t>वक्र (पु.), बाक (पु.), वाक (पु.), वंकण (न.), वाकण (न.), वाकविणे (न.)</t>
  </si>
  <si>
    <t>Berry transformer</t>
  </si>
  <si>
    <t>बेरी परिवर्तित्र</t>
  </si>
  <si>
    <t>Beverage antenna</t>
  </si>
  <si>
    <t>तरंग आकाशग, बिवरेज आकाशग</t>
  </si>
  <si>
    <t>(also wave antenna)</t>
  </si>
  <si>
    <t>bias</t>
  </si>
  <si>
    <t>अभिनति (स्त्री.)</t>
  </si>
  <si>
    <t>bias cell</t>
  </si>
  <si>
    <t>अभिनति घट, ्भिनति सेल</t>
  </si>
  <si>
    <t>bias control</t>
  </si>
  <si>
    <t>अभिनति नियंत्रण</t>
  </si>
  <si>
    <t>bias detector</t>
  </si>
  <si>
    <t>अबिनति शोधी</t>
  </si>
  <si>
    <t>bias distortion</t>
  </si>
  <si>
    <t>अभिनति विकृति</t>
  </si>
  <si>
    <t>bias of relay tongue</t>
  </si>
  <si>
    <t>रिले जिहृआ अभिनति</t>
  </si>
  <si>
    <t>bias resistance</t>
  </si>
  <si>
    <t>अभिनति रोध</t>
  </si>
  <si>
    <t>bias resistor</t>
  </si>
  <si>
    <t>bias voltage</t>
  </si>
  <si>
    <t>अभिनति व्होल्टता</t>
  </si>
  <si>
    <t>bias winding</t>
  </si>
  <si>
    <t>१ अभिनति कुंडलन २ अभिनति कुंडल</t>
  </si>
  <si>
    <t>biased differentialprotective system</t>
  </si>
  <si>
    <t>अभिनत भेददर्शी रक्षण पद्धति</t>
  </si>
  <si>
    <t>biased line protection</t>
  </si>
  <si>
    <t>अभिनत तारमार्ग रक्षण</t>
  </si>
  <si>
    <t>biased protective system</t>
  </si>
  <si>
    <t>अभिनत रक्षम पद्धति</t>
  </si>
  <si>
    <t>biasing resistor</t>
  </si>
  <si>
    <t>अभिनति रोधी</t>
  </si>
  <si>
    <t>(also bias resistor)</t>
  </si>
  <si>
    <t>biconical</t>
  </si>
  <si>
    <t>द्विशांकव</t>
  </si>
  <si>
    <t>bidirectional</t>
  </si>
  <si>
    <t>द्विदिशिक, उभयदिक</t>
  </si>
  <si>
    <t>bidirectional current</t>
  </si>
  <si>
    <t>उभयदिक धारा</t>
  </si>
  <si>
    <t>bidirectional pulse</t>
  </si>
  <si>
    <t>उभयदिक स्पंद</t>
  </si>
  <si>
    <t>bifilar control of galvanometer needle</t>
  </si>
  <si>
    <t>गॅल्व्हानोमापी सूचीचे द्वितंतुक नियंत्रण</t>
  </si>
  <si>
    <t>bifilar suspension</t>
  </si>
  <si>
    <t>द्वितंतुक निलंब</t>
  </si>
  <si>
    <t>bifilar winding</t>
  </si>
  <si>
    <t>१ द्वितंतुक कुंडल २ द्वितंतुक कुंडलन</t>
  </si>
  <si>
    <t>bifurcating box</t>
  </si>
  <si>
    <t>द्विशाखन पेटी</t>
  </si>
  <si>
    <t>bight</t>
  </si>
  <si>
    <t>वेटोळे (न.)</t>
  </si>
  <si>
    <t>bilateral</t>
  </si>
  <si>
    <t>उभयमार्गी</t>
  </si>
  <si>
    <t>bilinear transformation</t>
  </si>
  <si>
    <t>द्विरेषीय रूपांतरण</t>
  </si>
  <si>
    <t>billi-condenser</t>
  </si>
  <si>
    <t>बिली-संधारित्र (न.)</t>
  </si>
  <si>
    <t>bimetal-fuse</t>
  </si>
  <si>
    <t>द्विधातु-वितळतार (स्त्री.)</t>
  </si>
  <si>
    <t>bimetallic therometer</t>
  </si>
  <si>
    <t>द्विधातुक तापमानमापी, द्विधातुक तापमापी</t>
  </si>
  <si>
    <t>bimetallic wire</t>
  </si>
  <si>
    <t>द्विधातुक तार</t>
  </si>
  <si>
    <t>bimorph cell</t>
  </si>
  <si>
    <t>द्विआकारी घट, द्विआकारी सेल, पीड घट</t>
  </si>
  <si>
    <t>binary</t>
  </si>
  <si>
    <t>१ द्विवर्णी २ द्विअंकी</t>
  </si>
  <si>
    <t>binary cell</t>
  </si>
  <si>
    <t>द्विअंकी घट, द्विअंकी सेल</t>
  </si>
  <si>
    <t>binary code</t>
  </si>
  <si>
    <t>द्विअंकी संकेत</t>
  </si>
  <si>
    <t>binary notation</t>
  </si>
  <si>
    <t>द्विअंकी लेखन</t>
  </si>
  <si>
    <t>binaural hearing</t>
  </si>
  <si>
    <t>द्विकर्णी श्रवण</t>
  </si>
  <si>
    <t>binaural intensity effect</t>
  </si>
  <si>
    <t>द्विकर्णी तीव्रता प्रभाव</t>
  </si>
  <si>
    <t>binaural phase effect</t>
  </si>
  <si>
    <t>द्विकर्णी प्रावस्था प्रभाव</t>
  </si>
  <si>
    <t>binding coils</t>
  </si>
  <si>
    <t>बंधन कुंडले (न.अ.व.)</t>
  </si>
  <si>
    <t>binding wire</t>
  </si>
  <si>
    <t>बंधतार (स्त्री.)</t>
  </si>
  <si>
    <t>(also tie wire)</t>
  </si>
  <si>
    <t>binocular judgement</t>
  </si>
  <si>
    <t>द्विनेत्री अनुमान</t>
  </si>
  <si>
    <t>binode</t>
  </si>
  <si>
    <t>जोडद्विअग्री (पु.), जोडडायोड (पु.)</t>
  </si>
  <si>
    <t>(also double-diode)</t>
  </si>
  <si>
    <t>bioscopy</t>
  </si>
  <si>
    <t>जैवदर्शिकी (स्त्री.)</t>
  </si>
  <si>
    <t>biphase</t>
  </si>
  <si>
    <t>द्विप्रावस्थी</t>
  </si>
  <si>
    <t>(also diphase or double phase)</t>
  </si>
  <si>
    <t>bipolar</t>
  </si>
  <si>
    <t>द्विधुवीय, द्विधुव-</t>
  </si>
  <si>
    <t>(also dipolar)</t>
  </si>
  <si>
    <t>bipolar armature winding</t>
  </si>
  <si>
    <t>१ द्विधुवीय आर्मेचर कुंडल २ द्विधुवीय आर्मेचर कुंडलन</t>
  </si>
  <si>
    <t>bipolar drum armature</t>
  </si>
  <si>
    <t>द्विधुवीय विरंभ आर्मेचर, द्विधुव ड्रम आर्मेचर</t>
  </si>
  <si>
    <t>bipolar junction transistor</t>
  </si>
  <si>
    <t>द्विधुवीय संयोग ट्रान्झिस्टर</t>
  </si>
  <si>
    <t>bipolar receiver</t>
  </si>
  <si>
    <t>द्विधुवीय ग्राही</t>
  </si>
  <si>
    <t>(also double-pole receiver)</t>
  </si>
  <si>
    <t>bipolar transistor</t>
  </si>
  <si>
    <t>द्विधुवीय ट्रान्झिस्टर</t>
  </si>
  <si>
    <t>Birmingham Wire Gauge</t>
  </si>
  <si>
    <t>१ बर्मिगहॅम तार प्रमापी २ बर्मिगहॅम तार प्रमाप</t>
  </si>
  <si>
    <t>bisection theorem</t>
  </si>
  <si>
    <t>अर्धन सिद्धांत</t>
  </si>
  <si>
    <t>bistable multivibrator</t>
  </si>
  <si>
    <t>द्विस्थायी बहुकंपित्र</t>
  </si>
  <si>
    <t>biult-in lighting</t>
  </si>
  <si>
    <t>अंगस्थ दीपन</t>
  </si>
  <si>
    <t>black</t>
  </si>
  <si>
    <t>काजळी (स्त्री.)</t>
  </si>
  <si>
    <t>black body radiator</t>
  </si>
  <si>
    <t>कृष्णिका प्रारी</t>
  </si>
  <si>
    <t>black-level</t>
  </si>
  <si>
    <t>कृष्णपातळी (स्त्री.)</t>
  </si>
  <si>
    <t>blacker-than-black region</t>
  </si>
  <si>
    <t>काळ्याहून काळा प्रदेश</t>
  </si>
  <si>
    <t>Blake transmitter</t>
  </si>
  <si>
    <t>ब्लेकचे पारेषित्र</t>
  </si>
  <si>
    <t>blank crystal</t>
  </si>
  <si>
    <t>कोरा स्फटिक</t>
  </si>
  <si>
    <t>blanking</t>
  </si>
  <si>
    <t>विलोपन (न.)</t>
  </si>
  <si>
    <t>blanking pulse</t>
  </si>
  <si>
    <t>विलोपन स्पंद</t>
  </si>
  <si>
    <t>Blanttnerphone</t>
  </si>
  <si>
    <t>ब्लटनर ध्वनियंत्र (न.)</t>
  </si>
  <si>
    <t>blast</t>
  </si>
  <si>
    <t>झोत (पु.)</t>
  </si>
  <si>
    <t>bleeder</t>
  </si>
  <si>
    <t>स्त्रावी (पु.)</t>
  </si>
  <si>
    <t>bleeder resistor</t>
  </si>
  <si>
    <t>स्त्रावी रोधी</t>
  </si>
  <si>
    <t>blemish</t>
  </si>
  <si>
    <t>कलंक (पु.)</t>
  </si>
  <si>
    <t>blended colour</t>
  </si>
  <si>
    <t>सुमिश्रित वर्ण</t>
  </si>
  <si>
    <t>blending of fluorescent materials</t>
  </si>
  <si>
    <t>स्फुरदीप्ति द्रव्यांचे सुमिश्रण</t>
  </si>
  <si>
    <t>blind landing</t>
  </si>
  <si>
    <t>अंध अवतारण</t>
  </si>
  <si>
    <t>blind spot</t>
  </si>
  <si>
    <t>अंधबिंदु (पु.)</t>
  </si>
  <si>
    <t>blinf-landing system</t>
  </si>
  <si>
    <t>अंध-अवतारण पद्धति</t>
  </si>
  <si>
    <t>blinking rate</t>
  </si>
  <si>
    <t>निमेषमान (न.)</t>
  </si>
  <si>
    <t>block</t>
  </si>
  <si>
    <t>१ ठोकळा (पु.) २ ब्लॉक (पु.), गट (पु.)</t>
  </si>
  <si>
    <t>double block दुहेरी ब्लॉक round block गोल ब्लॉक single block एकेरी ब्लॉक</t>
  </si>
  <si>
    <t>block oscillator</t>
  </si>
  <si>
    <t>अवरोधी दोली</t>
  </si>
  <si>
    <t>block signal</t>
  </si>
  <si>
    <t>गट संकेत</t>
  </si>
  <si>
    <t>block system</t>
  </si>
  <si>
    <t>गट पद्धति</t>
  </si>
  <si>
    <t>block tariff</t>
  </si>
  <si>
    <t>गट प्रशुल्क</t>
  </si>
  <si>
    <t>blocked impedance</t>
  </si>
  <si>
    <t>अवरुद्ध संरोध</t>
  </si>
  <si>
    <t>blocking</t>
  </si>
  <si>
    <t>अवरोधन (न.)</t>
  </si>
  <si>
    <t>blocking capacitor</t>
  </si>
  <si>
    <t>अवरोधी धारी, अवरोधी संधारित्र</t>
  </si>
  <si>
    <t>blow-out magnet</t>
  </si>
  <si>
    <t>निर्धमन चुंबक</t>
  </si>
  <si>
    <t>blower</t>
  </si>
  <si>
    <t>१ फुंकारी (पु.) २ संधमनित्र (न.)</t>
  </si>
  <si>
    <t>blower motor</t>
  </si>
  <si>
    <t>फुंक चलित्र</t>
  </si>
  <si>
    <t>blowing current</t>
  </si>
  <si>
    <t>संधमन धारा</t>
  </si>
  <si>
    <t>blowlamp</t>
  </si>
  <si>
    <t>फुंकदिवा (पु.)</t>
  </si>
  <si>
    <t>blue pole of magnet</t>
  </si>
  <si>
    <t>चुंबक नीलधुव, दक्षिण धुव</t>
  </si>
  <si>
    <t>bluestone cell</t>
  </si>
  <si>
    <t>मोरचूद घट, मोरचूद सेल</t>
  </si>
  <si>
    <t>board</t>
  </si>
  <si>
    <t>फलक (पु.)</t>
  </si>
  <si>
    <t>(also panel or panel board)</t>
  </si>
  <si>
    <t>bobbin winding</t>
  </si>
  <si>
    <t>१ रीळ कुंडलन २ रीळ कुंडल</t>
  </si>
  <si>
    <t>Bode diagram</t>
  </si>
  <si>
    <t>बोडे आकृति</t>
  </si>
  <si>
    <t>Bode plot</t>
  </si>
  <si>
    <t>बोडे आलेख</t>
  </si>
  <si>
    <t>body capacitance</t>
  </si>
  <si>
    <t>वस्तु धारिता</t>
  </si>
  <si>
    <t>body capacity</t>
  </si>
  <si>
    <t>वस्तु धारकता</t>
  </si>
  <si>
    <t>body protector</t>
  </si>
  <si>
    <t>काया रक्षी</t>
  </si>
  <si>
    <t>bogie</t>
  </si>
  <si>
    <t>शकट (पु.)</t>
  </si>
  <si>
    <t>Bolithocircuit</t>
  </si>
  <si>
    <t>बोलिथो परिपथ</t>
  </si>
  <si>
    <t>bolometer</t>
  </si>
  <si>
    <t>बोलोमीटर (पु.)</t>
  </si>
  <si>
    <t>Boltzmann's constant</t>
  </si>
  <si>
    <t>बोल्त्समान स्थिरांक</t>
  </si>
  <si>
    <t>bond</t>
  </si>
  <si>
    <t>बंध (पु.)</t>
  </si>
  <si>
    <t>bonded-barrier transistor</t>
  </si>
  <si>
    <t>बंधित-बांध ट्रान्झिस्टर</t>
  </si>
  <si>
    <t>bony current</t>
  </si>
  <si>
    <t>अस्थि धारा</t>
  </si>
  <si>
    <t>book capacitor</t>
  </si>
  <si>
    <t>पुस्त धारी, पुस्त संधारित्र</t>
  </si>
  <si>
    <t>boost</t>
  </si>
  <si>
    <t>वर्धन (न.)</t>
  </si>
  <si>
    <t>booster</t>
  </si>
  <si>
    <t>वर्धी</t>
  </si>
  <si>
    <t>booster amplifier</t>
  </si>
  <si>
    <t>वर्धन प्रवर्धी</t>
  </si>
  <si>
    <t>booster coil</t>
  </si>
  <si>
    <t>वर्धन कुंडल</t>
  </si>
  <si>
    <t>booster diode</t>
  </si>
  <si>
    <t>वर्धन डायोड</t>
  </si>
  <si>
    <t>booster system</t>
  </si>
  <si>
    <t>वर्धन पद्धति</t>
  </si>
  <si>
    <t>booster transformer</t>
  </si>
  <si>
    <t>वर्धन परिवर्तित्र, वर्धी परिवर्तित्र</t>
  </si>
  <si>
    <t>booster voltage</t>
  </si>
  <si>
    <t>वर्धन व्होल्टता</t>
  </si>
  <si>
    <t>Bootstrap amplifier</t>
  </si>
  <si>
    <t>बूटस्ट्रँप प्रवर्धी</t>
  </si>
  <si>
    <t>bottom sheet</t>
  </si>
  <si>
    <t>तळ पत्रा</t>
  </si>
  <si>
    <t>bound charge</t>
  </si>
  <si>
    <t>वद्ध प्रभार</t>
  </si>
  <si>
    <t>boundary wavelength</t>
  </si>
  <si>
    <t>सीमा तरंगलांबी</t>
  </si>
  <si>
    <t>bow collector</t>
  </si>
  <si>
    <t>धनु संग्राही</t>
  </si>
  <si>
    <t>box</t>
  </si>
  <si>
    <t>पेटी (स्त्री.)</t>
  </si>
  <si>
    <t>box-type baffle</t>
  </si>
  <si>
    <t>पेटी बाधिका</t>
  </si>
  <si>
    <t>bracket</t>
  </si>
  <si>
    <t>बॅकेट (पु.), माकडी (स्त्री.)</t>
  </si>
  <si>
    <t>braid</t>
  </si>
  <si>
    <t>वेणी (स्त्री.), गुंफण (स्त्री.)</t>
  </si>
  <si>
    <t>braided cable</t>
  </si>
  <si>
    <t>गुंफित केबल</t>
  </si>
  <si>
    <t>braided wire</t>
  </si>
  <si>
    <t>गुंफित तार</t>
  </si>
  <si>
    <t>braiding</t>
  </si>
  <si>
    <t>गुंफण (स्त्री.)</t>
  </si>
  <si>
    <t>brake</t>
  </si>
  <si>
    <t>आरोधी (पु.), बेक (पु.)</t>
  </si>
  <si>
    <t>brake adjustment</t>
  </si>
  <si>
    <t>आरोध अनुयोजन</t>
  </si>
  <si>
    <t>brake horse-power</t>
  </si>
  <si>
    <t>(B.H.P.)</t>
  </si>
  <si>
    <t>braking</t>
  </si>
  <si>
    <t>आरोधन (न.)</t>
  </si>
  <si>
    <t>braking retardation</t>
  </si>
  <si>
    <t>अवरोध अवत्वरण</t>
  </si>
  <si>
    <t>branch</t>
  </si>
  <si>
    <t>शाखा (स्त्री.)</t>
  </si>
  <si>
    <t>branch battery</t>
  </si>
  <si>
    <t>शाखा बॅटरी</t>
  </si>
  <si>
    <t>branch point</t>
  </si>
  <si>
    <t>शाखा बिंदु</t>
  </si>
  <si>
    <t>branch point of a network</t>
  </si>
  <si>
    <t>जालव्यूव्ह शाखा बिंदु</t>
  </si>
  <si>
    <t>branch switch</t>
  </si>
  <si>
    <t>शाखा स्विच</t>
  </si>
  <si>
    <t>brassing</t>
  </si>
  <si>
    <t>पितळन (न.)</t>
  </si>
  <si>
    <t>braze</t>
  </si>
  <si>
    <t>पिझाळणे (पितळ + झाळणे)</t>
  </si>
  <si>
    <t>brazing</t>
  </si>
  <si>
    <t>पिझाळण (न.)</t>
  </si>
  <si>
    <t>soldering</t>
  </si>
  <si>
    <t>brazing arc</t>
  </si>
  <si>
    <t>पिझाळण प्रज्योत</t>
  </si>
  <si>
    <t>brazing metal</t>
  </si>
  <si>
    <t>पिझाळम धातु</t>
  </si>
  <si>
    <t>brazing solder</t>
  </si>
  <si>
    <t>पिझाळण टाका</t>
  </si>
  <si>
    <t>break</t>
  </si>
  <si>
    <t>वियोजन (न.)</t>
  </si>
  <si>
    <t>break-point</t>
  </si>
  <si>
    <t>वियोजनबिंदु (पु.)</t>
  </si>
  <si>
    <t>breakdown</t>
  </si>
  <si>
    <t>विभंग (पु.)</t>
  </si>
  <si>
    <t>breakdown gradient</t>
  </si>
  <si>
    <t>विभंग प्रवणता</t>
  </si>
  <si>
    <t>breakdown signal</t>
  </si>
  <si>
    <t>विभंग संकेत</t>
  </si>
  <si>
    <t>breakdown stress</t>
  </si>
  <si>
    <t>विभंग प्रतिबल</t>
  </si>
  <si>
    <t>breakdown test</t>
  </si>
  <si>
    <t>विभंग चाचणी</t>
  </si>
  <si>
    <t>breakdown voltage</t>
  </si>
  <si>
    <t>विभंग व्होल्टता</t>
  </si>
  <si>
    <t>breaker</t>
  </si>
  <si>
    <t>वियोजक (पु.), वियोजी (पु.)</t>
  </si>
  <si>
    <t>breaking capacity</t>
  </si>
  <si>
    <t>भंजन क्षमता</t>
  </si>
  <si>
    <t>(also rupturing capacity)</t>
  </si>
  <si>
    <t>breaking current</t>
  </si>
  <si>
    <t>भंजन धारा</t>
  </si>
  <si>
    <t>breaking load</t>
  </si>
  <si>
    <t>वियोजन भार</t>
  </si>
  <si>
    <t>Brewster angle</t>
  </si>
  <si>
    <t>बूस्टर कोन</t>
  </si>
  <si>
    <t>bridge</t>
  </si>
  <si>
    <t>सेतु (पु.)</t>
  </si>
  <si>
    <t>bridge amplifier</t>
  </si>
  <si>
    <t>सेतु प्रवर्धी</t>
  </si>
  <si>
    <t>bridge motor</t>
  </si>
  <si>
    <t>सेतुचलित्र (न.)</t>
  </si>
  <si>
    <t>bridge network</t>
  </si>
  <si>
    <t>सेतु जाल</t>
  </si>
  <si>
    <t>bridge rectifier</t>
  </si>
  <si>
    <t>सेतु दिष्टकारी</t>
  </si>
  <si>
    <t>bridge transition</t>
  </si>
  <si>
    <t>सेतु संक्रमण</t>
  </si>
  <si>
    <t>bridge-megger</t>
  </si>
  <si>
    <t>सेतुमेगर (न.)</t>
  </si>
  <si>
    <t>bridged -T network</t>
  </si>
  <si>
    <t>सेतुबद्ध-T जाल</t>
  </si>
  <si>
    <t>bridged network</t>
  </si>
  <si>
    <t>सेतुबद्ध जाल</t>
  </si>
  <si>
    <t>bridging</t>
  </si>
  <si>
    <t>सेतुबंधन (न.)</t>
  </si>
  <si>
    <t>bridging amplifier</t>
  </si>
  <si>
    <t>सैतव प्रवर्धी</t>
  </si>
  <si>
    <t>bright and dark lamp method of synchronising</t>
  </si>
  <si>
    <t>प्रदीप्तादीप्त संकलान पद्धति</t>
  </si>
  <si>
    <t>bright emitting cathode</t>
  </si>
  <si>
    <t>दीप्ति उत्सर्जक कॅथोड</t>
  </si>
  <si>
    <t>bright lamp method of synchronising</t>
  </si>
  <si>
    <t>प्रदीप्त संकालन पद्धति</t>
  </si>
  <si>
    <t>brightness</t>
  </si>
  <si>
    <t>द्युति (स्त्री.)</t>
  </si>
  <si>
    <t>luminance</t>
  </si>
  <si>
    <t>brightness control</t>
  </si>
  <si>
    <t>१ द्युति नियंत्रण २ द्युति नियंत्री</t>
  </si>
  <si>
    <t>(also brillance control)</t>
  </si>
  <si>
    <t>brillance</t>
  </si>
  <si>
    <t>चमक (स्त्री.), द्युति (स्त्री.)</t>
  </si>
  <si>
    <t>brillance control</t>
  </si>
  <si>
    <t>Britannia joint</t>
  </si>
  <si>
    <t>बिटानिया जोड</t>
  </si>
  <si>
    <t>British Thermal Unit</t>
  </si>
  <si>
    <t>बिटिश तापीय एकक</t>
  </si>
  <si>
    <t>broad band</t>
  </si>
  <si>
    <t>विस्तृत पट्ट</t>
  </si>
  <si>
    <t>broad tuning</t>
  </si>
  <si>
    <t>broad-band amplifier</t>
  </si>
  <si>
    <t>विस्तृतपट्ट प्रवर्धी</t>
  </si>
  <si>
    <t>broad-base tower</t>
  </si>
  <si>
    <t>रुंद-तल मनोरा</t>
  </si>
  <si>
    <t>broadcast transmitter</t>
  </si>
  <si>
    <t>परिक्षेपण पारेषित्र</t>
  </si>
  <si>
    <t>broadcast band</t>
  </si>
  <si>
    <t>परिक्षेण पट्ट</t>
  </si>
  <si>
    <t>broadcast coverage</t>
  </si>
  <si>
    <t>परिक्षेपण व्याप्ति</t>
  </si>
  <si>
    <t>broadcast receiver</t>
  </si>
  <si>
    <t>परिक्षेपण ग्राही</t>
  </si>
  <si>
    <t>broadcast service</t>
  </si>
  <si>
    <t>परिक्षेपण सेवा</t>
  </si>
  <si>
    <t>broadcast waves</t>
  </si>
  <si>
    <t>परिक्षेपण तरंग (पु.अ.व.)</t>
  </si>
  <si>
    <t>broadcasting</t>
  </si>
  <si>
    <t>परिक्षेपण (न.)</t>
  </si>
  <si>
    <t>broadcasting service</t>
  </si>
  <si>
    <t>broadcasting station</t>
  </si>
  <si>
    <t>परिक्षेपण केंद्र</t>
  </si>
  <si>
    <t>broadside antenna</t>
  </si>
  <si>
    <t>अनुप्रस्थ आकाशग</t>
  </si>
  <si>
    <t>broadside antenna array</t>
  </si>
  <si>
    <t>अनुप्रस्थ आकाशग विन्यास</t>
  </si>
  <si>
    <t>Brown loudspeker</t>
  </si>
  <si>
    <t>बाऊन ध्वनिवर्धी</t>
  </si>
  <si>
    <t>brush</t>
  </si>
  <si>
    <t>कुंचा (पु.), कंउचला (पु.), कुंचली (स्त्री.), कुंची (स्त्री.)</t>
  </si>
  <si>
    <t>brush arm</t>
  </si>
  <si>
    <t>कुंचला भुजा</t>
  </si>
  <si>
    <t>brush contact resistance</t>
  </si>
  <si>
    <t>कुंचला संपर्क शोध</t>
  </si>
  <si>
    <t>brush gear</t>
  </si>
  <si>
    <t>कुंचला गिअर</t>
  </si>
  <si>
    <t>brush lead</t>
  </si>
  <si>
    <t>brush shift</t>
  </si>
  <si>
    <t>कुंचला सृति</t>
  </si>
  <si>
    <t>(also brush lead)</t>
  </si>
  <si>
    <t>brush spindle</t>
  </si>
  <si>
    <t>कुंचला चाती</t>
  </si>
  <si>
    <t>brush stud</t>
  </si>
  <si>
    <t>कुंचला बाहु</t>
  </si>
  <si>
    <t>brush yoke</t>
  </si>
  <si>
    <t>कुंचला जू</t>
  </si>
  <si>
    <t>brush-holder</t>
  </si>
  <si>
    <t>कुंचलाधारक (पु.)</t>
  </si>
  <si>
    <t>brushless</t>
  </si>
  <si>
    <t>कुंचलारहित प्र.धा. (प्रत्यावर्ती धारा) जनित्र</t>
  </si>
  <si>
    <t>a.c. (alternating current) generator</t>
  </si>
  <si>
    <t>brushless excitation</t>
  </si>
  <si>
    <t>कुंचलारहित उत्तेजन</t>
  </si>
  <si>
    <t>buck</t>
  </si>
  <si>
    <t>अपवर्धन करणे</t>
  </si>
  <si>
    <t>buck and boost method</t>
  </si>
  <si>
    <t>अपवर्धन व वर्धन पद्धति</t>
  </si>
  <si>
    <t>bucking</t>
  </si>
  <si>
    <t>अपवर्धी</t>
  </si>
  <si>
    <t>अपवर्धन (न.)</t>
  </si>
  <si>
    <t>bucking coil</t>
  </si>
  <si>
    <t>अपवर्धन कुंडल, अपवर्धा कुंडल</t>
  </si>
  <si>
    <t>buckling</t>
  </si>
  <si>
    <t>वाक (पु.)</t>
  </si>
  <si>
    <t>buffer condenser</t>
  </si>
  <si>
    <t>उभयरोधी संधारित्र, बफर संधारित्र</t>
  </si>
  <si>
    <t>build-up time</t>
  </si>
  <si>
    <t>चयनकाल (पु.)</t>
  </si>
  <si>
    <t>built-in</t>
  </si>
  <si>
    <t>अंतस्थित, अंगस्थ</t>
  </si>
  <si>
    <t>built-in thermal cut-out</t>
  </si>
  <si>
    <t>अंतस्थित तापीय भंजक</t>
  </si>
  <si>
    <t>bulb</t>
  </si>
  <si>
    <t>बल्ब (पु.), फुगा (पु.)</t>
  </si>
  <si>
    <t>bunched filaments</t>
  </si>
  <si>
    <t>गुच्छित तंतू (पु.अ.व.)</t>
  </si>
  <si>
    <t>buncher</t>
  </si>
  <si>
    <t>गुच्छकारी (पु.)</t>
  </si>
  <si>
    <t>burning</t>
  </si>
  <si>
    <t>ज्वलन (न.)</t>
  </si>
  <si>
    <t>bus-bar</t>
  </si>
  <si>
    <t>बसबार (पु.), महावाही (पु.)</t>
  </si>
  <si>
    <t>bus-bar arrangement</t>
  </si>
  <si>
    <t>बसबार विन्यास</t>
  </si>
  <si>
    <t>bus-line</t>
  </si>
  <si>
    <t>महातार (स्त्री.)</t>
  </si>
  <si>
    <t>bushing</t>
  </si>
  <si>
    <t>बुशिंग (न.)</t>
  </si>
  <si>
    <t>busy flash signal</t>
  </si>
  <si>
    <t>व्यग्र क्षमिक संकेत</t>
  </si>
  <si>
    <t>busy signal</t>
  </si>
  <si>
    <t>व्यग्र संकेत</t>
  </si>
  <si>
    <t>butt</t>
  </si>
  <si>
    <t>अग्र (न.)</t>
  </si>
  <si>
    <t>butt joint</t>
  </si>
  <si>
    <t>अग्र संधि</t>
  </si>
  <si>
    <t>butt welding</t>
  </si>
  <si>
    <t>अग्र सांधम</t>
  </si>
  <si>
    <t>butterfly tuner</t>
  </si>
  <si>
    <t>पाकोळी मेलनी</t>
  </si>
  <si>
    <t>button</t>
  </si>
  <si>
    <t>बटन (न.)</t>
  </si>
  <si>
    <t>button switch</t>
  </si>
  <si>
    <t>बटन स्विच</t>
  </si>
  <si>
    <t>buzzer</t>
  </si>
  <si>
    <t>बझर (पु.), गुंजक (पु.)</t>
  </si>
  <si>
    <t>by-pass</t>
  </si>
  <si>
    <t>उत्पत (पु.)</t>
  </si>
  <si>
    <t>by-passing</t>
  </si>
  <si>
    <t>उत्पथन (न.)</t>
  </si>
  <si>
    <t>C-battery</t>
  </si>
  <si>
    <t>C-बॅटरी (स्त्री.), सी-बॅटरी (स्त्री.)</t>
  </si>
  <si>
    <t>(central battery)</t>
  </si>
  <si>
    <t>C-core</t>
  </si>
  <si>
    <t>C-क्रोड (न.)</t>
  </si>
  <si>
    <t>C.B. exchenge</t>
  </si>
  <si>
    <t>सी-बॅटरी विनिमय</t>
  </si>
  <si>
    <t>C.B. multiple board</t>
  </si>
  <si>
    <t>C-बॅटरी बहुल फलक</t>
  </si>
  <si>
    <t>C.B. non-multiple board</t>
  </si>
  <si>
    <t>सी-बॅटरी अ-बहुल फलक</t>
  </si>
  <si>
    <t>C.B. System</t>
  </si>
  <si>
    <t>सी-बॅटरी पद्धति</t>
  </si>
  <si>
    <t>C.B. telephone</t>
  </si>
  <si>
    <t>सी-बॅटरी दूरध्वनी</t>
  </si>
  <si>
    <t>c.w. telegraphy</t>
  </si>
  <si>
    <t>स. त. दूरलेखन (सतत तरंग दूरलेखन)</t>
  </si>
  <si>
    <t>(continuous wave telegraphy)</t>
  </si>
  <si>
    <t>cable</t>
  </si>
  <si>
    <t>केबल (स्त्री.)</t>
  </si>
  <si>
    <t>cable box</t>
  </si>
  <si>
    <t>केबल पेटी</t>
  </si>
  <si>
    <t>cable chamber</t>
  </si>
  <si>
    <t>केबल कक्ष</t>
  </si>
  <si>
    <t>cable duct</t>
  </si>
  <si>
    <t>केबल वाहिनी</t>
  </si>
  <si>
    <t>cable joint</t>
  </si>
  <si>
    <t>केबल जोड</t>
  </si>
  <si>
    <t>cable rack</t>
  </si>
  <si>
    <t>केबल रॅक</t>
  </si>
  <si>
    <t>cable spacing</t>
  </si>
  <si>
    <t>केबल अंतराल</t>
  </si>
  <si>
    <t>cabling</t>
  </si>
  <si>
    <t>केबल संग्रह (पु.)</t>
  </si>
  <si>
    <t>cadence</t>
  </si>
  <si>
    <t>श्रव्य संकेत (पु.)</t>
  </si>
  <si>
    <t>cadmium cell</t>
  </si>
  <si>
    <t>कॅडमिअम सेल, कॅडमिअम घट</t>
  </si>
  <si>
    <t>cadmium test</t>
  </si>
  <si>
    <t>कॅडमिअम चाचणी</t>
  </si>
  <si>
    <t>caesium</t>
  </si>
  <si>
    <t>सिझिअम (न.)</t>
  </si>
  <si>
    <t>caesium cell</t>
  </si>
  <si>
    <t>सिझिअम सेल, सिझिअम घट</t>
  </si>
  <si>
    <t>caesium photocell</t>
  </si>
  <si>
    <t>सिझिअम प्रकाशघट</t>
  </si>
  <si>
    <t>cage</t>
  </si>
  <si>
    <t>पंजर (पु.)</t>
  </si>
  <si>
    <t>cage antenna</t>
  </si>
  <si>
    <t>पंजर आकाशग</t>
  </si>
  <si>
    <t>cage rotor</t>
  </si>
  <si>
    <t>पंजर भ्रमिता</t>
  </si>
  <si>
    <t>(also squirrel-cage rotor)</t>
  </si>
  <si>
    <t>cahin reaction</t>
  </si>
  <si>
    <t>शृखंला अभिक्रिया</t>
  </si>
  <si>
    <t>calcium</t>
  </si>
  <si>
    <t>कॅल्शिअम (न.)</t>
  </si>
  <si>
    <t>calculator</t>
  </si>
  <si>
    <t>गणित्र (न.)</t>
  </si>
  <si>
    <t>calibrating coil</t>
  </si>
  <si>
    <t>अंशशोधन कुंडल</t>
  </si>
  <si>
    <t>calibration</t>
  </si>
  <si>
    <t>अंशन (न.), अंशशोधन (न.)</t>
  </si>
  <si>
    <t>calibration of direction-finder</t>
  </si>
  <si>
    <t>दिशासोधीचे अंशन</t>
  </si>
  <si>
    <t>call</t>
  </si>
  <si>
    <t>पाचारण (न.)</t>
  </si>
  <si>
    <t>call letters</t>
  </si>
  <si>
    <t>संज्ञा अक्षरे (न.अ.व.)</t>
  </si>
  <si>
    <t>call number</t>
  </si>
  <si>
    <t>पाचारण अंक</t>
  </si>
  <si>
    <t>call wire system</t>
  </si>
  <si>
    <t>पाचारण तार पद्धति</t>
  </si>
  <si>
    <t>call word</t>
  </si>
  <si>
    <t>पाचारण शब्द</t>
  </si>
  <si>
    <t>call-in</t>
  </si>
  <si>
    <t>call-indicator</t>
  </si>
  <si>
    <t>पाचारणसूचक (पु.), पाचारणदर्शी (पु.)</t>
  </si>
  <si>
    <t>call-indicator position</t>
  </si>
  <si>
    <t>पाचारणसूचक स्थिति</t>
  </si>
  <si>
    <t>call-indicator woring</t>
  </si>
  <si>
    <t>पाचारणसूचक कार्य</t>
  </si>
  <si>
    <t>Callan cell</t>
  </si>
  <si>
    <t>कालन सेल, कालन घट</t>
  </si>
  <si>
    <t>called party</t>
  </si>
  <si>
    <t>पाचारित पक्ष, पाचारित व्यक्ति</t>
  </si>
  <si>
    <t>called subscriber</t>
  </si>
  <si>
    <t>पाचारित वर्गणीदार</t>
  </si>
  <si>
    <t>calling circuit</t>
  </si>
  <si>
    <t>पाचारण परिपथ</t>
  </si>
  <si>
    <t>calling device</t>
  </si>
  <si>
    <t>पाचारण साधन</t>
  </si>
  <si>
    <t>calling rate</t>
  </si>
  <si>
    <t>पाचारण दर</t>
  </si>
  <si>
    <t>calling subscriber</t>
  </si>
  <si>
    <t>पाचारक वर्गणीदार</t>
  </si>
  <si>
    <t>calomel electrode system</t>
  </si>
  <si>
    <t>कॅलोमेल इलेक्ट्रोड पद्धति</t>
  </si>
  <si>
    <t>calorie</t>
  </si>
  <si>
    <t>कॅलरी (स्त्री.)</t>
  </si>
  <si>
    <t>calorimeter</t>
  </si>
  <si>
    <t>कॅलरीमापी (पु.)</t>
  </si>
  <si>
    <t>calorimetric measurement of power</t>
  </si>
  <si>
    <t>कॅलरीमितीय शक्तिमापन</t>
  </si>
  <si>
    <t>cam-type safety gear</t>
  </si>
  <si>
    <t>गाम सुरक्षा सामग्री</t>
  </si>
  <si>
    <t>camera</t>
  </si>
  <si>
    <t>कॅमेरा (पु.)</t>
  </si>
  <si>
    <t>camera signal</t>
  </si>
  <si>
    <t>कॅमेरा संकेत</t>
  </si>
  <si>
    <t>camera tube</t>
  </si>
  <si>
    <t>कॅमेरा नळी, कॅमेरा नलिका</t>
  </si>
  <si>
    <t>Campbell controller</t>
  </si>
  <si>
    <t>गामदंड नियंत्री</t>
  </si>
  <si>
    <t>canal rays</t>
  </si>
  <si>
    <t>कालवा किरण (पु.अ.व.)</t>
  </si>
  <si>
    <t>candela</t>
  </si>
  <si>
    <t>कँडेला (स्त्री.)</t>
  </si>
  <si>
    <t>candle</t>
  </si>
  <si>
    <t>कँडल (स्त्री.), मेणबत्ती (स्त्री.)</t>
  </si>
  <si>
    <t>candle-power</t>
  </si>
  <si>
    <t>कँडलशक्ति (स्त्री.)</t>
  </si>
  <si>
    <t>canoncial form</t>
  </si>
  <si>
    <t>प्राणभूत रूप</t>
  </si>
  <si>
    <t>canopy switch</t>
  </si>
  <si>
    <t>छत्र स्विच</t>
  </si>
  <si>
    <t>caorimetry</t>
  </si>
  <si>
    <t>कॅलरीमापन (न.)</t>
  </si>
  <si>
    <t>capacitance</t>
  </si>
  <si>
    <t>धारिता (स्त्री.)</t>
  </si>
  <si>
    <t>direct capacitance सरळ धारिता, प्रत्यक्ष धारिता distributed capacitance वितरित धारिता effective capacitance प्रभावी धारिता geometric capacitance भौमितिक धारिता,भूमितीय धारिता ground capacitance भूप्रत धारिता imperfect capacitance = leaky capacitance = lossy capacitance अपूर्ण धारिता, सदोष धारिता mutual capacitance अन्योन्य धारिता pure capacitance शुद्ध धारिता residual capacitance शेष धारिता resultant capacitance परिणामी धारिता self-capacitance स्वयंधारिता stray capacitance आगंतुक धारिता total capacitance एकूण धारिता</t>
  </si>
  <si>
    <t>capacitance altimeter</t>
  </si>
  <si>
    <t>धारिता उंचमापी</t>
  </si>
  <si>
    <t>capacitance bridge</t>
  </si>
  <si>
    <t>धारिता सेतु</t>
  </si>
  <si>
    <t>capacitance coefficient</t>
  </si>
  <si>
    <t>धारिता गुणांक</t>
  </si>
  <si>
    <t>capacitance coupling</t>
  </si>
  <si>
    <t>धारिता युग्मन</t>
  </si>
  <si>
    <t>capacitance earth</t>
  </si>
  <si>
    <t>धारित भूसंपर्कन</t>
  </si>
  <si>
    <t>capacitance integrator</t>
  </si>
  <si>
    <t>धारिता संकलन</t>
  </si>
  <si>
    <t>capacitance relay</t>
  </si>
  <si>
    <t>धारिता रिले, धारिता पुनरेषी</t>
  </si>
  <si>
    <t>capacitive</t>
  </si>
  <si>
    <t>धारीय</t>
  </si>
  <si>
    <t>capacitive feedback</t>
  </si>
  <si>
    <t>धारीय पश्चप्रदाय</t>
  </si>
  <si>
    <t>capacitive load</t>
  </si>
  <si>
    <t>धारीय भार</t>
  </si>
  <si>
    <t>capacitive reactance</t>
  </si>
  <si>
    <t>धारीय प्रतिरोध</t>
  </si>
  <si>
    <t>capacitive tuning</t>
  </si>
  <si>
    <t>धारीय मेलन</t>
  </si>
  <si>
    <t>capacitor</t>
  </si>
  <si>
    <t>धारित्र (न.) संधारित्र (न.)</t>
  </si>
  <si>
    <t>capacitor antenna</t>
  </si>
  <si>
    <t>धारित्र आकाशग</t>
  </si>
  <si>
    <t>capacitor bank</t>
  </si>
  <si>
    <t>धारित्र समूह, धारी कोष</t>
  </si>
  <si>
    <t>capacitor checker</t>
  </si>
  <si>
    <t>धारित्र अवेक्षी</t>
  </si>
  <si>
    <t>capacitor motor</t>
  </si>
  <si>
    <t>धारित्र मोटर, धारित्र चलित्र</t>
  </si>
  <si>
    <t>capacity</t>
  </si>
  <si>
    <t>१ धारकता (स्त्री.), धारिता (स्त्री.) २ क्षमता (स्त्री.)</t>
  </si>
  <si>
    <t>capacity balance of duplex system</t>
  </si>
  <si>
    <t>द्विपथ पद्धति धारिता संतुलन</t>
  </si>
  <si>
    <t>capacity effect</t>
  </si>
  <si>
    <t>धारिता परिणाम</t>
  </si>
  <si>
    <t>capacity pressure</t>
  </si>
  <si>
    <t>धारिता दाब</t>
  </si>
  <si>
    <t>capacity reactance</t>
  </si>
  <si>
    <t>धारिता प्रतिरोध</t>
  </si>
  <si>
    <t>capacity standard</t>
  </si>
  <si>
    <t>धारिता मानक</t>
  </si>
  <si>
    <t>capcitron</t>
  </si>
  <si>
    <t>कॅपिसिट्रॉन (स्त्री.)</t>
  </si>
  <si>
    <t>capillary electromoter</t>
  </si>
  <si>
    <t>केशिका विद्युतमापी</t>
  </si>
  <si>
    <t>capture effect</t>
  </si>
  <si>
    <t>प्रग्रहण प्रभाव, प्रग्रहण परिणाम</t>
  </si>
  <si>
    <t>car apron</t>
  </si>
  <si>
    <t>यान रक्षापट</t>
  </si>
  <si>
    <t>carbon</t>
  </si>
  <si>
    <t>कार्बन (पु.), कर्ब (पु.)</t>
  </si>
  <si>
    <t>carbon anode</t>
  </si>
  <si>
    <t>कार्बन ऍनोड</t>
  </si>
  <si>
    <t>carbon arc</t>
  </si>
  <si>
    <t>कार्बन प्रज्योत</t>
  </si>
  <si>
    <t>carbon brush</t>
  </si>
  <si>
    <t>कार्बन कुंचला, कार्बन बश, कार्बन कुंची</t>
  </si>
  <si>
    <t>carbon button</t>
  </si>
  <si>
    <t>कार्बन बटन</t>
  </si>
  <si>
    <t>carbon contact</t>
  </si>
  <si>
    <t>कार्बन संपर्क</t>
  </si>
  <si>
    <t>carbon filament</t>
  </si>
  <si>
    <t>कार्बन तंतु</t>
  </si>
  <si>
    <t>carbon film resistor</t>
  </si>
  <si>
    <t>कार्बन तवंग रोधी</t>
  </si>
  <si>
    <t>carbon holder</t>
  </si>
  <si>
    <t>कार्बन धारक</t>
  </si>
  <si>
    <t>carbon lamp</t>
  </si>
  <si>
    <t>carbon microphone</t>
  </si>
  <si>
    <t>कार्बन सूक्ष्मध्वनि, कार्बन ध्वनिग्राही</t>
  </si>
  <si>
    <t>carbon pies</t>
  </si>
  <si>
    <t>कार्बन राशी (स्त्री.अ.व.)</t>
  </si>
  <si>
    <t>carbon pile regulator</t>
  </si>
  <si>
    <t>कार्बन राशि नियामी</t>
  </si>
  <si>
    <t>carbon resistance</t>
  </si>
  <si>
    <t>कार्बन रोध</t>
  </si>
  <si>
    <t>carbon resistor</t>
  </si>
  <si>
    <t>कार्बनी रोधी, संघटन रोधी</t>
  </si>
  <si>
    <t>(also composition resistor)</t>
  </si>
  <si>
    <t>carbon rheostat</t>
  </si>
  <si>
    <t>कार्बन चलरोधी</t>
  </si>
  <si>
    <t>carbon track potentiometer</t>
  </si>
  <si>
    <t>कार्बन मार्ग विभवमापी</t>
  </si>
  <si>
    <t>carbon-arc lamp</t>
  </si>
  <si>
    <t>कार्बन-प्रज्योत दीप</t>
  </si>
  <si>
    <t>carbon-arc welding</t>
  </si>
  <si>
    <t>कार्बन-प्रज्योत सांधण</t>
  </si>
  <si>
    <t>carbon-filament lamp</t>
  </si>
  <si>
    <t>कार्बन तंतु दीप, कार्बन तंतु दिवा</t>
  </si>
  <si>
    <t>(also carbon lamp)</t>
  </si>
  <si>
    <t>carbonisation</t>
  </si>
  <si>
    <t>१ कार्बनीकरण (न.) २ कार्बनीभवन (न.)</t>
  </si>
  <si>
    <t>carbonised anode</t>
  </si>
  <si>
    <t>१ कार्बनीकृत ऍनोड २ कार्बनीभूत ऍनोड</t>
  </si>
  <si>
    <t>carbonised filament</t>
  </si>
  <si>
    <t>कार्बनित तंतु</t>
  </si>
  <si>
    <t>carbonising</t>
  </si>
  <si>
    <t>Carborundum</t>
  </si>
  <si>
    <t>कार्बोरंडम (न.)</t>
  </si>
  <si>
    <t>carburising</t>
  </si>
  <si>
    <t>कार्बनभरण (न.)</t>
  </si>
  <si>
    <t>carcinotron</t>
  </si>
  <si>
    <t>कार्सिनोट्रोन (पु.)</t>
  </si>
  <si>
    <t>card feed</t>
  </si>
  <si>
    <t>कार्ड प्रदायी</t>
  </si>
  <si>
    <t>card punch</t>
  </si>
  <si>
    <t>कार्ड छद्री</t>
  </si>
  <si>
    <t>card reader</t>
  </si>
  <si>
    <t>कार्ड वाची, कार्ड वाचक</t>
  </si>
  <si>
    <t>cardiogram</t>
  </si>
  <si>
    <t>हृत्स्पंदालेख (पु.)</t>
  </si>
  <si>
    <t>cardioid microphone</t>
  </si>
  <si>
    <t>हृदयाभ सूक्ष्मध्वनि, हृदयाभ ध्वनिग्राही</t>
  </si>
  <si>
    <t>cardiotachometer</t>
  </si>
  <si>
    <t>हृदयचालमापी (पु.)</t>
  </si>
  <si>
    <t>cardiotron</t>
  </si>
  <si>
    <t>कर्डिओट्रॉन (पु.)</t>
  </si>
  <si>
    <t>Carey-Foster bridge</t>
  </si>
  <si>
    <t>केरी-फॉस्टर सेतु</t>
  </si>
  <si>
    <t>carriage control of a printer</t>
  </si>
  <si>
    <t>मुद्रवाहिका नियंत्रण</t>
  </si>
  <si>
    <t>carrier</t>
  </si>
  <si>
    <t>वाहनिक (न.), वाहन (न.)</t>
  </si>
  <si>
    <t>carrier amplifier</t>
  </si>
  <si>
    <t>वाहनिक प्रवर्धी</t>
  </si>
  <si>
    <t>carrier amplitude regulation</t>
  </si>
  <si>
    <t>वाहनिय आयाम नियमन</t>
  </si>
  <si>
    <t>carrier beat</t>
  </si>
  <si>
    <t>वाहनिक लय</t>
  </si>
  <si>
    <t>carrier cable</t>
  </si>
  <si>
    <t>वाहनिक केबल</t>
  </si>
  <si>
    <t>carrier colour signal</t>
  </si>
  <si>
    <t>वाहनिक रंग संकेत</t>
  </si>
  <si>
    <t>carrier current</t>
  </si>
  <si>
    <t>वाहनिक धारा</t>
  </si>
  <si>
    <t>carrier density</t>
  </si>
  <si>
    <t>वाहनिक घनता</t>
  </si>
  <si>
    <t>carrier frequency</t>
  </si>
  <si>
    <t>वाहनिक वारंवारता</t>
  </si>
  <si>
    <t>carrier mobility</t>
  </si>
  <si>
    <t>वाहनिक चलनशीलता</t>
  </si>
  <si>
    <t>carrier modulation</t>
  </si>
  <si>
    <t>वाहनिक आपरिवर्तन</t>
  </si>
  <si>
    <t>carrier relaying</t>
  </si>
  <si>
    <t>वाहनिक पुनरेषण</t>
  </si>
  <si>
    <t>carrier suppression</t>
  </si>
  <si>
    <t>वाहनिक दमन</t>
  </si>
  <si>
    <t>carrier system</t>
  </si>
  <si>
    <t>वाहनिक पद्धति</t>
  </si>
  <si>
    <t>carrier telegraphy</t>
  </si>
  <si>
    <t>वाहनिक दूरलेखन</t>
  </si>
  <si>
    <t>carrier telephony</t>
  </si>
  <si>
    <t>वाहनिक दूरध्वनन</t>
  </si>
  <si>
    <t>carrier transmission</t>
  </si>
  <si>
    <t>वाहनिक पारेषण</t>
  </si>
  <si>
    <t>carrier wave</t>
  </si>
  <si>
    <t>वाहनिक तरंग</t>
  </si>
  <si>
    <t>carrier-to-noise ratio</t>
  </si>
  <si>
    <t>वाहनिक-कुरव गुणोत्तर</t>
  </si>
  <si>
    <t>carrying capacity</t>
  </si>
  <si>
    <t>वहन क्षमता</t>
  </si>
  <si>
    <t>cartesian cordinates</t>
  </si>
  <si>
    <t>कार्टेशी सहनिर्देशांक (पु.अ.व.)</t>
  </si>
  <si>
    <t>cartridge</t>
  </si>
  <si>
    <t>काडतूस (न.)</t>
  </si>
  <si>
    <t>cartridge fuse</t>
  </si>
  <si>
    <t>काडतूस वितळतार</t>
  </si>
  <si>
    <t>cartridge-type brush-holder</t>
  </si>
  <si>
    <t>काडतूस-सदृश कुंचला-धारक</t>
  </si>
  <si>
    <t>cascade</t>
  </si>
  <si>
    <t>सोपानी</t>
  </si>
  <si>
    <t>सोपान (पु.)</t>
  </si>
  <si>
    <t>cascade amplification</t>
  </si>
  <si>
    <t>सोपानी प्रवर्धन</t>
  </si>
  <si>
    <t>cascade amplifier</t>
  </si>
  <si>
    <t>सोपानी प्रवर्धी</t>
  </si>
  <si>
    <t>cascade connection</t>
  </si>
  <si>
    <t>सोपानी जोडणी</t>
  </si>
  <si>
    <t>cascade control</t>
  </si>
  <si>
    <t>१ सोपानी नियंत्रण २ सोपानी नियंत्री</t>
  </si>
  <si>
    <t>cascade induction motor</t>
  </si>
  <si>
    <t>सोपानी प्रेरण चलित्र</t>
  </si>
  <si>
    <t>cascade shower</t>
  </si>
  <si>
    <t>सोपानी वर्षाव</t>
  </si>
  <si>
    <t>cascade speed</t>
  </si>
  <si>
    <t>सोपान चाल</t>
  </si>
  <si>
    <t>cascade system</t>
  </si>
  <si>
    <t>सोपानी पद्धति</t>
  </si>
  <si>
    <t>cascade-connected</t>
  </si>
  <si>
    <t>सोपानबद्ध</t>
  </si>
  <si>
    <t>cat's whisker</t>
  </si>
  <si>
    <t>मांजर-मिशी (स्त्री.)</t>
  </si>
  <si>
    <t>catalysis</t>
  </si>
  <si>
    <t>उत्प्रेरण (न.)</t>
  </si>
  <si>
    <t>cataphoresis</t>
  </si>
  <si>
    <t>अधिऋणाग्र संचलन (न.)</t>
  </si>
  <si>
    <t>catcher</t>
  </si>
  <si>
    <t>ग्राभाग्र (न.), पकडाग्र (न.)</t>
  </si>
  <si>
    <t>catching diode</t>
  </si>
  <si>
    <t>सीमक डायोड, पकड डायोड</t>
  </si>
  <si>
    <t>(also clamping diode)</t>
  </si>
  <si>
    <t>catenary</t>
  </si>
  <si>
    <t>रज्जुका (स्त्री.), कॅटेनरी (स्त्री.)</t>
  </si>
  <si>
    <t>catenary wire</t>
  </si>
  <si>
    <t>रज्जुका तार, कॅटेनरी तार</t>
  </si>
  <si>
    <t>cathamplifier</t>
  </si>
  <si>
    <t>ऋप्रवर्धी (पु.), ऋणाग्र प्रवर्धी (पु.)</t>
  </si>
  <si>
    <t>cathetron</t>
  </si>
  <si>
    <t>कॅथेटॉन (पु.)</t>
  </si>
  <si>
    <t>cathode</t>
  </si>
  <si>
    <t>कॅथोड (पु.), ऋणाग्र (न.)</t>
  </si>
  <si>
    <t>cathode bias</t>
  </si>
  <si>
    <t>कॅथोड अभिनति</t>
  </si>
  <si>
    <t>cathode current</t>
  </si>
  <si>
    <t>कॅथोड धारा</t>
  </si>
  <si>
    <t>cathode dark-space</t>
  </si>
  <si>
    <t>कॅथोड अदीप्त-प्रदेश</t>
  </si>
  <si>
    <t>cathode disintegration</t>
  </si>
  <si>
    <t>कॅथोड विघटन</t>
  </si>
  <si>
    <t>cathode drop (fall)</t>
  </si>
  <si>
    <t>कॅथोड पात</t>
  </si>
  <si>
    <t>cathode follower</t>
  </si>
  <si>
    <t>कॅथोड अनुगामी</t>
  </si>
  <si>
    <t>cathode glow</t>
  </si>
  <si>
    <t>कॅथोड प्रभा</t>
  </si>
  <si>
    <t>cathode grid</t>
  </si>
  <si>
    <t>कॅथोड ग्रिड</t>
  </si>
  <si>
    <t>cathode heating time</t>
  </si>
  <si>
    <t>कॅथोड ऊष्मन अवधि</t>
  </si>
  <si>
    <t>cathode interface impedance</t>
  </si>
  <si>
    <t>कॅथोड अंतरृष्ठसंरोध</t>
  </si>
  <si>
    <t>cathode keying</t>
  </si>
  <si>
    <t>कॅथोड कळचालन</t>
  </si>
  <si>
    <t>cathode lead inductance</t>
  </si>
  <si>
    <t>कॅथोड तार प्रेरण</t>
  </si>
  <si>
    <t>cathode luminescence</t>
  </si>
  <si>
    <t>कॅथोड अनुदीप्ति</t>
  </si>
  <si>
    <t>cathode luminous sensitivity</t>
  </si>
  <si>
    <t>कॅथोड दीप्त संवेदनता</t>
  </si>
  <si>
    <t>cathode modulation</t>
  </si>
  <si>
    <t>कॅथोड अपरिवर्तन</t>
  </si>
  <si>
    <t>cathode posioning</t>
  </si>
  <si>
    <t>कॅथोड दूषीकरण</t>
  </si>
  <si>
    <t>cathode ray</t>
  </si>
  <si>
    <t>कॅथोड किरण</t>
  </si>
  <si>
    <t>cathode resistor</t>
  </si>
  <si>
    <t>कॅथोड रोधी</t>
  </si>
  <si>
    <t>cathode sheath</t>
  </si>
  <si>
    <t>कॅथोड कोष</t>
  </si>
  <si>
    <t>cathode spot</t>
  </si>
  <si>
    <t>कॅथोड ठिपका, कॅथोड बिंदु</t>
  </si>
  <si>
    <t>cathode sputtering</t>
  </si>
  <si>
    <t>कॅथोड स्फुरंजन</t>
  </si>
  <si>
    <t>cathode-bias arrangement</t>
  </si>
  <si>
    <t>कॅथोड-अभिनति विन्यास</t>
  </si>
  <si>
    <t>cathode-coupled amplifier</t>
  </si>
  <si>
    <t>कॅथोडयुग्मित प्रवर्धी</t>
  </si>
  <si>
    <t>cathode-coupled multivibrator</t>
  </si>
  <si>
    <t>कॅथोडयुग्मित बहुकंपित्र</t>
  </si>
  <si>
    <t>cathode-follower amplifier</t>
  </si>
  <si>
    <t>कॅथोड-अनुगामी प्रवर्धी</t>
  </si>
  <si>
    <t>cathode-ray direction-finder</t>
  </si>
  <si>
    <t>कॅथोड-किरण दिशाशोधी</t>
  </si>
  <si>
    <t>cathode-ray furnace</t>
  </si>
  <si>
    <t>कॅथोड-किरण भट्टी</t>
  </si>
  <si>
    <t>cathode-ray lamp</t>
  </si>
  <si>
    <t>कॅथोड-किरण दिवा, कॅथोड-किरण दीप</t>
  </si>
  <si>
    <t>cathode-ray oscilloscope</t>
  </si>
  <si>
    <t>कॅथोड-किरण दोलनदर्शी</t>
  </si>
  <si>
    <t>cathode-ray tube</t>
  </si>
  <si>
    <t>कॅथोड-किरण नलिका</t>
  </si>
  <si>
    <t>cathode-ray tuning indicator</t>
  </si>
  <si>
    <t>कॅथोड-किरण मेलन सूची</t>
  </si>
  <si>
    <t>cathodophosphorescence</t>
  </si>
  <si>
    <t>कॅथोड स्फुरदीप्ति (स्त्री.)</t>
  </si>
  <si>
    <t>cation</t>
  </si>
  <si>
    <t>कॅटायन (न.), ऋणायन (न.)</t>
  </si>
  <si>
    <t>cationic current</t>
  </si>
  <si>
    <t>ऋणायनी धारा</t>
  </si>
  <si>
    <t>catkin value</t>
  </si>
  <si>
    <t>कॅटकिन झडप, मांजरी झडप</t>
  </si>
  <si>
    <t>catwalk</t>
  </si>
  <si>
    <t>मांजरवाट (स्त्री.)</t>
  </si>
  <si>
    <t>cavitation</t>
  </si>
  <si>
    <t>गुहिकाकरण (न.), कोटरण (न.)</t>
  </si>
  <si>
    <t>cavity magnetron</t>
  </si>
  <si>
    <t>गुहिका मॅग्नेट्रॉन</t>
  </si>
  <si>
    <t>cavity resonator</t>
  </si>
  <si>
    <t>गुहिका संस्पंदी</t>
  </si>
  <si>
    <t>ceiling fan</t>
  </si>
  <si>
    <t>छत पंखा</t>
  </si>
  <si>
    <t>ceiling rose</t>
  </si>
  <si>
    <t>छत कटोरी, छत वाटी</t>
  </si>
  <si>
    <t>ceiling switch</t>
  </si>
  <si>
    <t>छत स्विच</t>
  </si>
  <si>
    <t>cell</t>
  </si>
  <si>
    <t>१ कोष्ठिका (स्त्री.), कोष्ठ (पु.) २ घट (पु.), सेल (पु.)</t>
  </si>
  <si>
    <t>cell connector</t>
  </si>
  <si>
    <t>घट योजी</t>
  </si>
  <si>
    <t>cell tester</t>
  </si>
  <si>
    <t>घट परीक्षी</t>
  </si>
  <si>
    <t>cell testing voltmeter</t>
  </si>
  <si>
    <t>घटपरीक्षी व्होल्टमापी</t>
  </si>
  <si>
    <t>cell type tube</t>
  </si>
  <si>
    <t>घटसदृश्य नलिका</t>
  </si>
  <si>
    <t>cell vent</t>
  </si>
  <si>
    <t>घट निर्गम</t>
  </si>
  <si>
    <t>cellular-type switchboard</t>
  </si>
  <si>
    <t>कप्पेदार स्विचफलक</t>
  </si>
  <si>
    <t>celluloid</t>
  </si>
  <si>
    <t>सेल्युलॉइड (न.)</t>
  </si>
  <si>
    <t>cemented cap-type insulator</t>
  </si>
  <si>
    <t>संहति टोप निरोधी</t>
  </si>
  <si>
    <t>center</t>
  </si>
  <si>
    <t>centimetre-gramme-second</t>
  </si>
  <si>
    <t>सेंटिमीटर-ग्रॅम-सेकंद एकक</t>
  </si>
  <si>
    <t>(abbr. c.g.s.) unit</t>
  </si>
  <si>
    <t>centimetric waves</t>
  </si>
  <si>
    <t>सेंटिमीटर तरंग (पु.अ.व.)</t>
  </si>
  <si>
    <t>central battery</t>
  </si>
  <si>
    <t>केंद्रीय बॅटरी</t>
  </si>
  <si>
    <t>central battery signalling</t>
  </si>
  <si>
    <t>केंद्रीय बॅटरी संकेतन</t>
  </si>
  <si>
    <t>central plant</t>
  </si>
  <si>
    <t>केंद्रीय संयंत्र</t>
  </si>
  <si>
    <t>central signalling</t>
  </si>
  <si>
    <t>केंद्रीय संकेतन</t>
  </si>
  <si>
    <t>central station</t>
  </si>
  <si>
    <t>केंद्रीय स्थानक</t>
  </si>
  <si>
    <t>centralised traffic control</t>
  </si>
  <si>
    <t>केंद्रीकृत वाहतूक नियंत्रण</t>
  </si>
  <si>
    <t>centre</t>
  </si>
  <si>
    <t>केंद्र (न.)</t>
  </si>
  <si>
    <t>(also center)</t>
  </si>
  <si>
    <t>centre tap</t>
  </si>
  <si>
    <t>मध्यन शाखानबिंदु</t>
  </si>
  <si>
    <t>centre-contact holder</t>
  </si>
  <si>
    <t>मध्य-संपर्क धारक</t>
  </si>
  <si>
    <t>centre-tapped reactor</t>
  </si>
  <si>
    <t>मध्यशाखित प्रतिरोधी</t>
  </si>
  <si>
    <t>centrifugal force</t>
  </si>
  <si>
    <t>अपकेंद्र बल</t>
  </si>
  <si>
    <t>centrifugal spark advance</t>
  </si>
  <si>
    <t>अपकेंद्री स्फुल्लिंग अग्रेसरण</t>
  </si>
  <si>
    <t>centrifugal switch</t>
  </si>
  <si>
    <t>अपकेंद्र स्विच</t>
  </si>
  <si>
    <t>ceramic capacitor</t>
  </si>
  <si>
    <t>भाजमाती धारी</t>
  </si>
  <si>
    <t>ceramic ferromagnetic materials</t>
  </si>
  <si>
    <t>भाजमाती लोहचुंबकीय पदार्थ (पु.अ.व.)</t>
  </si>
  <si>
    <t>ceramic valve</t>
  </si>
  <si>
    <t>भाजमाती झडप (नळी)</t>
  </si>
  <si>
    <t>(tube)</t>
  </si>
  <si>
    <t>ceramics</t>
  </si>
  <si>
    <t>भाजमातीकाम (न.)</t>
  </si>
  <si>
    <t>ceraunograph</t>
  </si>
  <si>
    <t>तडितपातआलेखी (पु.)</t>
  </si>
  <si>
    <t>cerium</t>
  </si>
  <si>
    <t>सिरिअम (न.)</t>
  </si>
  <si>
    <t>cermet</t>
  </si>
  <si>
    <t>सिरधातु (पु.)</t>
  </si>
  <si>
    <t>chamber</t>
  </si>
  <si>
    <t>कक्ष (पु.)</t>
  </si>
  <si>
    <t>change-over switch</t>
  </si>
  <si>
    <t>बदल स्विच</t>
  </si>
  <si>
    <t>changer</t>
  </si>
  <si>
    <t>बदलकारी (पु.)</t>
  </si>
  <si>
    <t>channel</t>
  </si>
  <si>
    <t>प्रणाल (पु.), वाहिनी (स्त्री.)</t>
  </si>
  <si>
    <t>channel capacity</t>
  </si>
  <si>
    <t>प्रणाल क्षमता</t>
  </si>
  <si>
    <t>channel effect</t>
  </si>
  <si>
    <t>प्रणाल प्रभाव</t>
  </si>
  <si>
    <t>channel frequency</t>
  </si>
  <si>
    <t>प्रणाल वारंवारता</t>
  </si>
  <si>
    <t>channel selection</t>
  </si>
  <si>
    <t>प्रणाल निवड</t>
  </si>
  <si>
    <t>chaperon resistor</t>
  </si>
  <si>
    <t>द्वितंतु रोधी</t>
  </si>
  <si>
    <t>chapman reion</t>
  </si>
  <si>
    <t>चॅपमन प्रदेश</t>
  </si>
  <si>
    <t>charactron</t>
  </si>
  <si>
    <t>कॅरेक्ट्रॉन (स्त्री.)</t>
  </si>
  <si>
    <t>(cathode-ray tube)</t>
  </si>
  <si>
    <t>charge</t>
  </si>
  <si>
    <t>१ प्रभार (पु.) २ आकार (पु.)</t>
  </si>
  <si>
    <t>1(the load of power, fuel, etc.) 2 (as, a duty)</t>
  </si>
  <si>
    <t>charge carrier</t>
  </si>
  <si>
    <t>प्रभार वाहनिक</t>
  </si>
  <si>
    <t>charge conjugation</t>
  </si>
  <si>
    <t>प्रभार संयुग्मन</t>
  </si>
  <si>
    <t>charge density</t>
  </si>
  <si>
    <t>प्रभार घनता</t>
  </si>
  <si>
    <t>charge image</t>
  </si>
  <si>
    <t>प्रभार प्रतिमा</t>
  </si>
  <si>
    <t>charge-indicator</t>
  </si>
  <si>
    <t>प्रभारदर्शी (पु.)</t>
  </si>
  <si>
    <t>charge-storage tube</t>
  </si>
  <si>
    <t>उप्रभार-संचय नलिका</t>
  </si>
  <si>
    <t>charged</t>
  </si>
  <si>
    <t>प्रभारित</t>
  </si>
  <si>
    <t>charged cell</t>
  </si>
  <si>
    <t>प्रभारित घट</t>
  </si>
  <si>
    <t>charger</t>
  </si>
  <si>
    <t>प्रभारी (पु.)</t>
  </si>
  <si>
    <t>charging</t>
  </si>
  <si>
    <t>विद्युतप्रभारण (न.), प्रभारण (न.)</t>
  </si>
  <si>
    <t>charging board</t>
  </si>
  <si>
    <t>प्रभारण फलक</t>
  </si>
  <si>
    <t>charging current</t>
  </si>
  <si>
    <t>प्रभारण धारा</t>
  </si>
  <si>
    <t>charging rate</t>
  </si>
  <si>
    <t>प्रभारण दर</t>
  </si>
  <si>
    <t>charging resistor</t>
  </si>
  <si>
    <t>प्रभारण रोधी</t>
  </si>
  <si>
    <t>chart</t>
  </si>
  <si>
    <t>तक्ता (पु.)</t>
  </si>
  <si>
    <t>chart-recording instrument</t>
  </si>
  <si>
    <t>तक्ता-अभिलेखी उपकरण</t>
  </si>
  <si>
    <t>chassis</t>
  </si>
  <si>
    <t>न्याधार (पु.), साटा (पु.)</t>
  </si>
  <si>
    <t>check</t>
  </si>
  <si>
    <t>पडताळा (पु.) (as in electrical check विद्युत पडताळा)</t>
  </si>
  <si>
    <t>check digit</t>
  </si>
  <si>
    <t>अवक्षेणांक (पु.)</t>
  </si>
  <si>
    <t>check problem</t>
  </si>
  <si>
    <t>पडताळा पश्न, पडताळा परिपाठ</t>
  </si>
  <si>
    <t>checker</t>
  </si>
  <si>
    <t>अवेक्षी (पु.), पडताळी (पु.)</t>
  </si>
  <si>
    <t>chees aerial</t>
  </si>
  <si>
    <t>चीझ आकाशग</t>
  </si>
  <si>
    <t>chemical action</t>
  </si>
  <si>
    <t>रासायनिक क्रिया</t>
  </si>
  <si>
    <t>chemical battery</t>
  </si>
  <si>
    <t>रासायनिक बॅटरी</t>
  </si>
  <si>
    <t>chemical bond</t>
  </si>
  <si>
    <t>रासायनिक बंध</t>
  </si>
  <si>
    <t>chemical composition</t>
  </si>
  <si>
    <t>रासायनिक संघटन</t>
  </si>
  <si>
    <t>chemical enegry</t>
  </si>
  <si>
    <t>रासायनिक ऊर्जा</t>
  </si>
  <si>
    <t>chilled water system</t>
  </si>
  <si>
    <t>अभिशीतित जल पद्धति</t>
  </si>
  <si>
    <t>chlorine</t>
  </si>
  <si>
    <t>क्लोरीन (न.)</t>
  </si>
  <si>
    <t>choke</t>
  </si>
  <si>
    <t>चोक (पु.)</t>
  </si>
  <si>
    <t>choke capacitance coupling</t>
  </si>
  <si>
    <t>चोक धारिता युग्मन</t>
  </si>
  <si>
    <t>choke coil</t>
  </si>
  <si>
    <t>चोक कुंडल</t>
  </si>
  <si>
    <t>choke control</t>
  </si>
  <si>
    <t>१ चोक नियंत्रण २ चोक नियंत्री</t>
  </si>
  <si>
    <t>choke coupled</t>
  </si>
  <si>
    <t>चोक युग्मित</t>
  </si>
  <si>
    <t>choke coupling</t>
  </si>
  <si>
    <t>चोक युग्मन</t>
  </si>
  <si>
    <t>choke joint</t>
  </si>
  <si>
    <t>चोक जोड</t>
  </si>
  <si>
    <t>choke modulation</t>
  </si>
  <si>
    <t>चोक अपरिवर्तन</t>
  </si>
  <si>
    <t>choke modulator</t>
  </si>
  <si>
    <t>चोक अपरिवर्ती</t>
  </si>
  <si>
    <t>chopped impulse voltage</t>
  </si>
  <si>
    <t>खंडित विस्पंद व्होल्टता</t>
  </si>
  <si>
    <t>chopper</t>
  </si>
  <si>
    <t>खंडकारी (पु.)</t>
  </si>
  <si>
    <t>chopper amplifier</t>
  </si>
  <si>
    <t>खंडकारी प्रवर्धी</t>
  </si>
  <si>
    <t>chord</t>
  </si>
  <si>
    <t>जीवा (स्त्री.)</t>
  </si>
  <si>
    <t>chracteristic</t>
  </si>
  <si>
    <t>अबिलाक्षणिक</t>
  </si>
  <si>
    <t>अभिलक्षण (न.)</t>
  </si>
  <si>
    <t>chracteristic curve</t>
  </si>
  <si>
    <t>अभिलाक्षमिक वक्र</t>
  </si>
  <si>
    <t>chracteristic impedance</t>
  </si>
  <si>
    <t>अभिलाक्षणिक संरोध</t>
  </si>
  <si>
    <t>chracteristic X-ray</t>
  </si>
  <si>
    <t>अभिलाक्षणिक क्ष-किरण, अभिलाक्षणिक X-किरण</t>
  </si>
  <si>
    <t>chroma control</t>
  </si>
  <si>
    <t>वर्ण नियंत्रण</t>
  </si>
  <si>
    <t>chromatic aberration</t>
  </si>
  <si>
    <t>वर्णीय विपथन</t>
  </si>
  <si>
    <t>chromatic sensation</t>
  </si>
  <si>
    <t>वर्णीय संवेदन</t>
  </si>
  <si>
    <t>chromaticity chart</t>
  </si>
  <si>
    <t>वर्णीयता तक्ता</t>
  </si>
  <si>
    <t>chromaticity coordinate</t>
  </si>
  <si>
    <t>वर्णीय सहनिर्देशांक</t>
  </si>
  <si>
    <t>chromation</t>
  </si>
  <si>
    <t>वर्णीकरण (न.)</t>
  </si>
  <si>
    <t>chromatron</t>
  </si>
  <si>
    <t>क्रोमाट्रॉन (पु.)</t>
  </si>
  <si>
    <t>chrominance channel</t>
  </si>
  <si>
    <t>वर्णछटा प्रणाल</t>
  </si>
  <si>
    <t>chrominance subcarrier</t>
  </si>
  <si>
    <t>वर्णछटा उपवाहनिक</t>
  </si>
  <si>
    <t>chromophoric electron</t>
  </si>
  <si>
    <t>वर्णशोषी इलेक्ट्रॉन</t>
  </si>
  <si>
    <t>chronograph</t>
  </si>
  <si>
    <t>समयलेखी (पु.)</t>
  </si>
  <si>
    <t>chronometer</t>
  </si>
  <si>
    <t>समयमापी (पु.)</t>
  </si>
  <si>
    <t>chronopher</t>
  </si>
  <si>
    <t>क्रोनोफर (पु.)</t>
  </si>
  <si>
    <t>chronopotentiometry</t>
  </si>
  <si>
    <t>समयविभवमिति (स्त्री.)</t>
  </si>
  <si>
    <t>cinematograph projector</t>
  </si>
  <si>
    <t>चलचित्र प्रक्षेपी</t>
  </si>
  <si>
    <t>circle digram</t>
  </si>
  <si>
    <t>वृत्ताकृति आलेख</t>
  </si>
  <si>
    <t>circle-dot mode</t>
  </si>
  <si>
    <t>वृत्त-टिंब रीत</t>
  </si>
  <si>
    <t>circuit</t>
  </si>
  <si>
    <t>परिपथ (पु.)</t>
  </si>
  <si>
    <t>circuit analyser</t>
  </si>
  <si>
    <t>परिपथ विश्लेषी</t>
  </si>
  <si>
    <t>circuit analysis</t>
  </si>
  <si>
    <t>परिपथ विश्लेषण</t>
  </si>
  <si>
    <t>circuit breaker</t>
  </si>
  <si>
    <t>परिपथ वियोजी, परिपथ वियोजक</t>
  </si>
  <si>
    <t>circuit diagram</t>
  </si>
  <si>
    <t>परिपथाकृति (स्त्री.)</t>
  </si>
  <si>
    <t>circuit efficiency</t>
  </si>
  <si>
    <t>परिपथ कार्यक्षमता</t>
  </si>
  <si>
    <t>circuit element</t>
  </si>
  <si>
    <t>परिपथ अवयव, परिपथ घटक</t>
  </si>
  <si>
    <t>circuit magnification</t>
  </si>
  <si>
    <t>परिपथ विशालन</t>
  </si>
  <si>
    <t>circuit parameter</t>
  </si>
  <si>
    <t>परिपथ प्राचल</t>
  </si>
  <si>
    <t>circuit ringing</t>
  </si>
  <si>
    <t>पारिपथ नादन</t>
  </si>
  <si>
    <t>circuit terminal</t>
  </si>
  <si>
    <t>परिपथ टोक</t>
  </si>
  <si>
    <t>circular</t>
  </si>
  <si>
    <t>वृत्तीय, वृत्ताकृति</t>
  </si>
  <si>
    <t>circular angle</t>
  </si>
  <si>
    <t>वृत्तीय कोन</t>
  </si>
  <si>
    <t>circular band source</t>
  </si>
  <si>
    <t>वृत्तीय चकती प्रभव</t>
  </si>
  <si>
    <t>circular electric wave</t>
  </si>
  <si>
    <t>वृत्ताकृति विद्युत तरंग</t>
  </si>
  <si>
    <t>circular loom</t>
  </si>
  <si>
    <t>वृत्तीय आवरण</t>
  </si>
  <si>
    <t>circular magnetic wave</t>
  </si>
  <si>
    <t>वृत्ताकृति चंउबकीय तरंग</t>
  </si>
  <si>
    <t>circular mill</t>
  </si>
  <si>
    <t>वृत्तीय मिल</t>
  </si>
  <si>
    <t>circular mill foot</t>
  </si>
  <si>
    <t>वृत्तीय मिल फूट</t>
  </si>
  <si>
    <t>circular polarisation</t>
  </si>
  <si>
    <t>वृत्तीय धुवण</t>
  </si>
  <si>
    <t>circular rotating field</t>
  </si>
  <si>
    <t>वृत्तीय धूर्णन क्षेत्र</t>
  </si>
  <si>
    <t>circular scanning</t>
  </si>
  <si>
    <t>वृत्तीय क्रमवीक्षण</t>
  </si>
  <si>
    <t>circular sweep</t>
  </si>
  <si>
    <t>वृत्तीय झेप, वृत्तीय प्रसर्प</t>
  </si>
  <si>
    <t>circular trace</t>
  </si>
  <si>
    <t>वृत्तीय अनुरेख</t>
  </si>
  <si>
    <t>circularly polarized wave</t>
  </si>
  <si>
    <t>वृत्तधुवित तरंग</t>
  </si>
  <si>
    <t>circulating</t>
  </si>
  <si>
    <t>परिसंचारी</t>
  </si>
  <si>
    <t>circulating current</t>
  </si>
  <si>
    <t>परिसंचारी धारा</t>
  </si>
  <si>
    <t>circulating memory</t>
  </si>
  <si>
    <t>परिसंचारी स्मृति</t>
  </si>
  <si>
    <t>circulation</t>
  </si>
  <si>
    <t>परिसंचरण (न.)</t>
  </si>
  <si>
    <t>circulator</t>
  </si>
  <si>
    <t>परिसंचारी (पु.), परिसंचारक (पु.)</t>
  </si>
  <si>
    <t>clamp</t>
  </si>
  <si>
    <t>पकड (स्त्री.), चाप (पु.)</t>
  </si>
  <si>
    <t>clamp pulse generator</t>
  </si>
  <si>
    <t>पकड स्पंद जनित्र</t>
  </si>
  <si>
    <t>clamping</t>
  </si>
  <si>
    <t>पकड-</t>
  </si>
  <si>
    <t>clamping circuit</t>
  </si>
  <si>
    <t>पकड परिपथ</t>
  </si>
  <si>
    <t>clamping diode</t>
  </si>
  <si>
    <t>clamping screw</t>
  </si>
  <si>
    <t>पकड पेच</t>
  </si>
  <si>
    <t>Clark cell</t>
  </si>
  <si>
    <t>क्लार्क घट, क्लार्क सेल</t>
  </si>
  <si>
    <t>class- C amplification</t>
  </si>
  <si>
    <t>वर्ग-C प्रवर्धन</t>
  </si>
  <si>
    <t>class-A amplification</t>
  </si>
  <si>
    <t>वर्ग-A प्रवर्धन</t>
  </si>
  <si>
    <t>class-A amplifier</t>
  </si>
  <si>
    <t>वर्ग-A प्रवर्धी</t>
  </si>
  <si>
    <t>class-AB amplifier</t>
  </si>
  <si>
    <t>वर्ग-AB प्रवर्धी</t>
  </si>
  <si>
    <t>class-ABC amplifier</t>
  </si>
  <si>
    <t>वर्ग-ABC प्रवर्धी</t>
  </si>
  <si>
    <t>class-B amplifier</t>
  </si>
  <si>
    <t>वर्ग-B प्रवर्धी</t>
  </si>
  <si>
    <t>class-B modulation</t>
  </si>
  <si>
    <t>वर्ग-B आपरिवर्तन</t>
  </si>
  <si>
    <t>class-B modulator</t>
  </si>
  <si>
    <t>वर्ग-B अपरिवर्ती</t>
  </si>
  <si>
    <t>class-C amplifier</t>
  </si>
  <si>
    <t>वर्ग-C प्रवर्धी</t>
  </si>
  <si>
    <t>classification</t>
  </si>
  <si>
    <t>वर्गीकरण (न.)</t>
  </si>
  <si>
    <t>clear signal</t>
  </si>
  <si>
    <t>अव्यग्र संकेत</t>
  </si>
  <si>
    <t>मुक्तांतर (न.)</t>
  </si>
  <si>
    <t>allowance मोकळीक gap अंतर, विस्तृति permissible distance सूट अंतर space अवकाश tolerance सह्यांतर</t>
  </si>
  <si>
    <t>clearing field</t>
  </si>
  <si>
    <t>निष्कासन क्षेत्र</t>
  </si>
  <si>
    <t>clearing signal</t>
  </si>
  <si>
    <t>निष्कासन संकेत</t>
  </si>
  <si>
    <t>climate</t>
  </si>
  <si>
    <t>हवामान (न.)</t>
  </si>
  <si>
    <t>clipped return loop</t>
  </si>
  <si>
    <t>चाप बसवलेला प्रत्यागामी लूप</t>
  </si>
  <si>
    <t>clipper</t>
  </si>
  <si>
    <t>कातर (स्त्री.), कर्तक (पु.)</t>
  </si>
  <si>
    <t>clipping</t>
  </si>
  <si>
    <t>कर्तन-</t>
  </si>
  <si>
    <t>छाट (पु.), कर्तन (न.),</t>
  </si>
  <si>
    <t>clipping circuit</t>
  </si>
  <si>
    <t>कर्तन परिपथ</t>
  </si>
  <si>
    <t>clipping time</t>
  </si>
  <si>
    <t>कर्तन समय</t>
  </si>
  <si>
    <t>clock frequency</t>
  </si>
  <si>
    <t>घटि वारंवारता</t>
  </si>
  <si>
    <t>clock pulse</t>
  </si>
  <si>
    <t>घटि स्पंद</t>
  </si>
  <si>
    <t>clockspring core</t>
  </si>
  <si>
    <t>घटिस्कंद क्रोड</t>
  </si>
  <si>
    <t>clockwise</t>
  </si>
  <si>
    <t>घटिवत, अनुघटि</t>
  </si>
  <si>
    <t>close coupling</t>
  </si>
  <si>
    <t>गाढ युग्मन</t>
  </si>
  <si>
    <t>closed circuit</t>
  </si>
  <si>
    <t>बंद परिपथ</t>
  </si>
  <si>
    <t>closed circuit television system</t>
  </si>
  <si>
    <t>बंद परिपथ दूरदर्शन पद्धति</t>
  </si>
  <si>
    <t>closed circuit working</t>
  </si>
  <si>
    <t>बंद परिपथ कार्य</t>
  </si>
  <si>
    <t>closed magnetic circuit</t>
  </si>
  <si>
    <t>बंद चुंबकीय परिपथ</t>
  </si>
  <si>
    <t>closed subroutiner</t>
  </si>
  <si>
    <t>बंदिस्त उपपरिपाठी</t>
  </si>
  <si>
    <t>cloud chamber</t>
  </si>
  <si>
    <t>अभ्र कक्ष</t>
  </si>
  <si>
    <t>cluster</t>
  </si>
  <si>
    <t>गुच्छ (पु.)</t>
  </si>
  <si>
    <t>co-activator</t>
  </si>
  <si>
    <t>सहसक्रियक (पु.)</t>
  </si>
  <si>
    <t>co-tree</t>
  </si>
  <si>
    <t>अनुवृक्ष (पु.)</t>
  </si>
  <si>
    <t>co-valence</t>
  </si>
  <si>
    <t>सहसंयुजा (स्त्री.)</t>
  </si>
  <si>
    <t>co-valent</t>
  </si>
  <si>
    <t>सहसंयुज</t>
  </si>
  <si>
    <t>coacting signal</t>
  </si>
  <si>
    <t>सहकर्मी संकेत</t>
  </si>
  <si>
    <t>coagulation</t>
  </si>
  <si>
    <t>किलाटन (न.)</t>
  </si>
  <si>
    <t>coarse control</t>
  </si>
  <si>
    <t>१ स्थूल नियंत्रण २ स्थूल नियंत्री</t>
  </si>
  <si>
    <t>coasting</t>
  </si>
  <si>
    <t>निसर्पण (न.)</t>
  </si>
  <si>
    <t>coasting period</t>
  </si>
  <si>
    <t>निसर्पण अवधि</t>
  </si>
  <si>
    <t>coasting retardation</t>
  </si>
  <si>
    <t>निसर्पण अवत्वरण</t>
  </si>
  <si>
    <t>coated cathode</t>
  </si>
  <si>
    <t>लेपित कॅथोड</t>
  </si>
  <si>
    <t>coating</t>
  </si>
  <si>
    <t>लेपन (न.)</t>
  </si>
  <si>
    <t>coaxial cable</t>
  </si>
  <si>
    <t>समाक्ष केबल</t>
  </si>
  <si>
    <t>coaxial-cylinder magnetron</t>
  </si>
  <si>
    <t>समाक्ष दंडगोल मॅग्नेट्रॉन</t>
  </si>
  <si>
    <t>code</t>
  </si>
  <si>
    <t>सांकेतिक, कूटित, संकेत-</t>
  </si>
  <si>
    <t>१ संकेत (पु.) २ कूट (न.)</t>
  </si>
  <si>
    <t>code beacon</t>
  </si>
  <si>
    <t>संकेत द्योतक</t>
  </si>
  <si>
    <t>code book</t>
  </si>
  <si>
    <t>संकेत पुस्तक, कूट पुस्तक</t>
  </si>
  <si>
    <t>code of lighting</t>
  </si>
  <si>
    <t>दीपन संहिता</t>
  </si>
  <si>
    <t>code receiver</t>
  </si>
  <si>
    <t>संकेत ग्राही</t>
  </si>
  <si>
    <t>code transmitter</t>
  </si>
  <si>
    <t>कूट पारेषित्र</t>
  </si>
  <si>
    <t>coded call</t>
  </si>
  <si>
    <t>कूट पाचारण</t>
  </si>
  <si>
    <t>coded call indicator</t>
  </si>
  <si>
    <t>कूटबद्ध पाचारण सूचक</t>
  </si>
  <si>
    <t>coded call indicator working</t>
  </si>
  <si>
    <t>कूटबद्ध पाचारण सूचक कार्य</t>
  </si>
  <si>
    <t>coded selector</t>
  </si>
  <si>
    <t>कूट संवरी</t>
  </si>
  <si>
    <t>coded track circuit</t>
  </si>
  <si>
    <t>कूटबद्ध कर्ष परिपथ</t>
  </si>
  <si>
    <t>coefficient</t>
  </si>
  <si>
    <t>१ गुणांक (पु.) २ गुणक (पु.)</t>
  </si>
  <si>
    <t>coefficient of coupling</t>
  </si>
  <si>
    <t>युग्मन गुणांक</t>
  </si>
  <si>
    <t>coefficient of fringing</t>
  </si>
  <si>
    <t>सीमावृद्धि गुणांक</t>
  </si>
  <si>
    <t>coefficient of mutual induction</t>
  </si>
  <si>
    <t>परस्पर प्रेरण गुणांक</t>
  </si>
  <si>
    <t>coefficient of performance</t>
  </si>
  <si>
    <t>कार्य गुणांक</t>
  </si>
  <si>
    <t>coefficient of self-induction</t>
  </si>
  <si>
    <t>स्वप्रेरण गुणांक</t>
  </si>
  <si>
    <t>coefficient of utilisation</t>
  </si>
  <si>
    <t>उपयोगिता गुणांक</t>
  </si>
  <si>
    <t>coercive force</t>
  </si>
  <si>
    <t>विचुंबकन बल</t>
  </si>
  <si>
    <t>coercivity</t>
  </si>
  <si>
    <t>विचुंबकता (स्त्री.)</t>
  </si>
  <si>
    <t>cogging</t>
  </si>
  <si>
    <t>coherer</t>
  </si>
  <si>
    <t>संसंजक (पु.)</t>
  </si>
  <si>
    <t>coil</t>
  </si>
  <si>
    <t>कुंडल (न.)</t>
  </si>
  <si>
    <t>coil aerial</t>
  </si>
  <si>
    <t>कुंडल आकाशग</t>
  </si>
  <si>
    <t>coil antenna</t>
  </si>
  <si>
    <t>कुंडल आकाशग, लूप आकाशग, चौकट आकाशग</t>
  </si>
  <si>
    <t>(also frame antenna, loop antenna)</t>
  </si>
  <si>
    <t>coil core</t>
  </si>
  <si>
    <t>कुंडल क्रोड</t>
  </si>
  <si>
    <t>coil loading</t>
  </si>
  <si>
    <t>कुंडल भारण</t>
  </si>
  <si>
    <t>coil span</t>
  </si>
  <si>
    <t>कुंडल प्रांतर</t>
  </si>
  <si>
    <t>coiled coil filament</t>
  </si>
  <si>
    <t>कुंडलित कुंडल तंतु</t>
  </si>
  <si>
    <t>coiled coil lamp</t>
  </si>
  <si>
    <t>कुंडलित कुंडल दीप</t>
  </si>
  <si>
    <t>coiled filament</t>
  </si>
  <si>
    <t>कुंडलित तंतु</t>
  </si>
  <si>
    <t>cold cathode</t>
  </si>
  <si>
    <t>शीत कॅथोड</t>
  </si>
  <si>
    <t>cold emission</t>
  </si>
  <si>
    <t>शीत उत्सर्जन</t>
  </si>
  <si>
    <t>cold start mercury lamp</t>
  </si>
  <si>
    <t>शीत आरंभ पारा दीप</t>
  </si>
  <si>
    <t>cold-cathode diode</t>
  </si>
  <si>
    <t>शीत-कॅथोड डायोड</t>
  </si>
  <si>
    <t>cold-cathode gaseous rectifier</t>
  </si>
  <si>
    <t>शीत-कॅथोड वायु दिष्टाकारी</t>
  </si>
  <si>
    <t>cold-cathode lamp</t>
  </si>
  <si>
    <t>शीत-कॅथोड दीप</t>
  </si>
  <si>
    <t>cold-cathode tube</t>
  </si>
  <si>
    <t>शीत-कॅथोड नलिका</t>
  </si>
  <si>
    <t>collar</t>
  </si>
  <si>
    <t>कंठा (पु.)</t>
  </si>
  <si>
    <t>collective drive</t>
  </si>
  <si>
    <t>सामूहिक चालन</t>
  </si>
  <si>
    <t>collector</t>
  </si>
  <si>
    <t>संग्राही (पु.)</t>
  </si>
  <si>
    <t>collector gear</t>
  </si>
  <si>
    <t>संग्राही उपस्कर</t>
  </si>
  <si>
    <t>collector resistance</t>
  </si>
  <si>
    <t>संग्राही रोध</t>
  </si>
  <si>
    <t>collector ring</t>
  </si>
  <si>
    <t>संग्राही वलय</t>
  </si>
  <si>
    <t>collector shoe</t>
  </si>
  <si>
    <t>संग्राही पाद</t>
  </si>
  <si>
    <t>collector voltage cut-off</t>
  </si>
  <si>
    <t>संग्राही व्होल्टता तोडी</t>
  </si>
  <si>
    <t>collector voltage saturation</t>
  </si>
  <si>
    <t>संग्राही व्होल्टता संपृक्ति</t>
  </si>
  <si>
    <t>collector-current cut-off</t>
  </si>
  <si>
    <t>संग्राही-धारा तोडी</t>
  </si>
  <si>
    <t>collector-current saturation</t>
  </si>
  <si>
    <t>संग्राही-धारा संपृक्ति</t>
  </si>
  <si>
    <t>collinear</t>
  </si>
  <si>
    <t>एकरेखीय</t>
  </si>
  <si>
    <t>collinear antenna</t>
  </si>
  <si>
    <t>एकरेखीय आकाशग</t>
  </si>
  <si>
    <t>collision</t>
  </si>
  <si>
    <t>टक्कर (स्त्री.), समाघात (पु.)</t>
  </si>
  <si>
    <t>collision process</t>
  </si>
  <si>
    <t>समाघात प्रक्रिया</t>
  </si>
  <si>
    <t>colloidal state</t>
  </si>
  <si>
    <t>कोलाइडी अवस्था</t>
  </si>
  <si>
    <t>colorimetric purity</t>
  </si>
  <si>
    <t>वर्णमितीय शुद्धता</t>
  </si>
  <si>
    <t>colour code</t>
  </si>
  <si>
    <t>वर्णकूट (न.)</t>
  </si>
  <si>
    <t>colour control</t>
  </si>
  <si>
    <t>१ वर्ण नियंत्रण २ वर्ण नियंत्री</t>
  </si>
  <si>
    <t>colour decoding</t>
  </si>
  <si>
    <t>वर्णविकूटन (न.)</t>
  </si>
  <si>
    <t>colour difference signal</t>
  </si>
  <si>
    <t>रंगभेद संकेत</t>
  </si>
  <si>
    <t>colour fringe</t>
  </si>
  <si>
    <t>रंगकिनार (स्त्री.)</t>
  </si>
  <si>
    <t>colour fringing</t>
  </si>
  <si>
    <t>रंगसीमावृद्धि (स्त्री.)</t>
  </si>
  <si>
    <t>colour intensity control</t>
  </si>
  <si>
    <t>१ वर्ण तीव्रता नियंत्रण २ वर्म तीव्रता नियंत्री</t>
  </si>
  <si>
    <t>colour matching</t>
  </si>
  <si>
    <t>वर्ण अनुरूपण</t>
  </si>
  <si>
    <t>colour sprayed</t>
  </si>
  <si>
    <t>वर्ण तुषारित</t>
  </si>
  <si>
    <t>colour television</t>
  </si>
  <si>
    <t>रंगीत दूरचित्र</t>
  </si>
  <si>
    <t>colour temprature</t>
  </si>
  <si>
    <t>वर्ण तापमान</t>
  </si>
  <si>
    <t>Colpitt's circuit</t>
  </si>
  <si>
    <t>कॉलपिट परिपथ</t>
  </si>
  <si>
    <t>Colpitt's oscillator</t>
  </si>
  <si>
    <t>कॉलपिट दोली</t>
  </si>
  <si>
    <t>coma</t>
  </si>
  <si>
    <t>बिंदुशाखा (स्त्री.), कोमा (पु.)</t>
  </si>
  <si>
    <t>comb</t>
  </si>
  <si>
    <t>कंगवा (पु.), कंकत (पु.)</t>
  </si>
  <si>
    <t>combination</t>
  </si>
  <si>
    <t>१ संयोग (पु.) २ संयोगीकरम (न.), संयोजन (न.)</t>
  </si>
  <si>
    <t>combination of leneses</t>
  </si>
  <si>
    <t>भिंग संयोजन</t>
  </si>
  <si>
    <t>combination switch</t>
  </si>
  <si>
    <t>संयोजन स्विच</t>
  </si>
  <si>
    <t>combination tone</t>
  </si>
  <si>
    <t>संयोजन स्वर</t>
  </si>
  <si>
    <t>combustion</t>
  </si>
  <si>
    <t>दहन (न.)</t>
  </si>
  <si>
    <t>command</t>
  </si>
  <si>
    <t>समादेश (पु.)</t>
  </si>
  <si>
    <t>comment card</t>
  </si>
  <si>
    <t>टिपणपत्र (न.)</t>
  </si>
  <si>
    <t>commercial</t>
  </si>
  <si>
    <t>व्यावहारिक</t>
  </si>
  <si>
    <t>commercial efficiency</t>
  </si>
  <si>
    <t>व्यावहारिक कार्यक्षमता</t>
  </si>
  <si>
    <t>(also net efficiency)</t>
  </si>
  <si>
    <t>commercial efficiency of dynamo</t>
  </si>
  <si>
    <t>जनित्राची व्यावहारिक कार्यक्षमता</t>
  </si>
  <si>
    <t>commercial efficiency of motor</t>
  </si>
  <si>
    <t>चलित्राची व्यावहारिक कार्यक्षमता</t>
  </si>
  <si>
    <t>commercial frequencies</t>
  </si>
  <si>
    <t>व्यावहारिक वारंवारता (स्त्री.अ.व.)</t>
  </si>
  <si>
    <t>commercial lightning arrester</t>
  </si>
  <si>
    <t>व्यावहारिक तडित प्रग्राही</t>
  </si>
  <si>
    <t>comminute</t>
  </si>
  <si>
    <t>विचूर्णन करणे</t>
  </si>
  <si>
    <t>common branch</t>
  </si>
  <si>
    <t>सामाईक शाखा</t>
  </si>
  <si>
    <t>common channel interference</t>
  </si>
  <si>
    <t>सामाईक प्रणाल व्यतिकरण</t>
  </si>
  <si>
    <t>common emitter</t>
  </si>
  <si>
    <t>सामाईक उत्सर्जी</t>
  </si>
  <si>
    <t>common source connection</t>
  </si>
  <si>
    <t>सामाईक-प्रभाव जोडणी</t>
  </si>
  <si>
    <t>common-base</t>
  </si>
  <si>
    <t>सामाईक-तल (प्रवर्धी) (पु.)</t>
  </si>
  <si>
    <t>(amplifier)</t>
  </si>
  <si>
    <t>common-collector amplifier</t>
  </si>
  <si>
    <t>एकसंग्राही प्रवर्धी</t>
  </si>
  <si>
    <t>common-drain connection</t>
  </si>
  <si>
    <t>सामाईक-निचरा जोडणी</t>
  </si>
  <si>
    <t>common-emitter aplifier</t>
  </si>
  <si>
    <t>सामाईक उत्सर्जी प्रवर्धी</t>
  </si>
  <si>
    <t>communicating field</t>
  </si>
  <si>
    <t>संपरिवर्ती क्षेत्र</t>
  </si>
  <si>
    <t>communicating machine</t>
  </si>
  <si>
    <t>संपरिवर्ती यंत्र</t>
  </si>
  <si>
    <t>communicating pole</t>
  </si>
  <si>
    <t>संपरिवर्ती धुव</t>
  </si>
  <si>
    <t>communicating pole flux</t>
  </si>
  <si>
    <t>संपरिवर्ती धुव अभिवाह</t>
  </si>
  <si>
    <t>communicating reactance</t>
  </si>
  <si>
    <t>संपरिवर्ती प्रतिरोध</t>
  </si>
  <si>
    <t>communicating zone</t>
  </si>
  <si>
    <t>संपरिवर्ती कटिबंध, संपरिवर्ती क्षेत्र</t>
  </si>
  <si>
    <t>communication</t>
  </si>
  <si>
    <t>संपरिवर्तन (न.)</t>
  </si>
  <si>
    <t>communication chart</t>
  </si>
  <si>
    <t>संचारण तक्ता</t>
  </si>
  <si>
    <t>communication receiver</t>
  </si>
  <si>
    <t>संचारम ग्राही</t>
  </si>
  <si>
    <t>commuta tor</t>
  </si>
  <si>
    <t>संपरिवर्तित्र (न.)</t>
  </si>
  <si>
    <t>commutator shell</t>
  </si>
  <si>
    <t>commutator bar</t>
  </si>
  <si>
    <t>संपरिवर्तित्र पट्टी</t>
  </si>
  <si>
    <t>commutator bush</t>
  </si>
  <si>
    <t>संपरिवर्तित्र नाभि, संपरिवर्तित्र कवच, सं-परिवर्तित्र बाही</t>
  </si>
  <si>
    <t>सं-परिवर्तित्र लग</t>
  </si>
  <si>
    <t>commutator spider</t>
  </si>
  <si>
    <t>संपरिवर्तित्र क्रोडधारी</t>
  </si>
  <si>
    <t>commutator surface</t>
  </si>
  <si>
    <t>संपरिवर्तित्र पृष्ठ</t>
  </si>
  <si>
    <t>compact source</t>
  </si>
  <si>
    <t>सघन प्रभव</t>
  </si>
  <si>
    <t>companding</t>
  </si>
  <si>
    <t>संपीस्तारण (न.), संपीडनविस्तारण (न.)</t>
  </si>
  <si>
    <t>compandor circuit</t>
  </si>
  <si>
    <t>संपीस्तारी परिपथ</t>
  </si>
  <si>
    <t>comparision surface</t>
  </si>
  <si>
    <t>तुलना पृष्ठ</t>
  </si>
  <si>
    <t>comparison</t>
  </si>
  <si>
    <t>तुलना (स्त्री.)</t>
  </si>
  <si>
    <t>comparison lamp</t>
  </si>
  <si>
    <t>तुलना दीप</t>
  </si>
  <si>
    <t>compass</t>
  </si>
  <si>
    <t>कंपास (पु.), दिक्सूचक (पु.), होकायंत्र (न.)</t>
  </si>
  <si>
    <t>compatible</t>
  </si>
  <si>
    <t>संगत</t>
  </si>
  <si>
    <t>compensated coil</t>
  </si>
  <si>
    <t>प्रतिपूरी कुंडल</t>
  </si>
  <si>
    <t>compensated loop direction-finder</t>
  </si>
  <si>
    <t>प्रतिपूरित लूप दिशाशोधी</t>
  </si>
  <si>
    <t>compensated volume control</t>
  </si>
  <si>
    <t>compensated wattmeter</t>
  </si>
  <si>
    <t>प्रतिपूरित वॉटमापी</t>
  </si>
  <si>
    <t>compensating winding</t>
  </si>
  <si>
    <t>compensation</t>
  </si>
  <si>
    <t>प्रतिपूरण (न.)</t>
  </si>
  <si>
    <t>compensation theorem</t>
  </si>
  <si>
    <t>प्रतिपूरण प्रमेय</t>
  </si>
  <si>
    <t>compensator</t>
  </si>
  <si>
    <t>प्रतिपूरक (पु.), प्रतिपूरी (पु.)</t>
  </si>
  <si>
    <t>compiler</t>
  </si>
  <si>
    <t>संकलक (पु.)</t>
  </si>
  <si>
    <t>complementary symmetry</t>
  </si>
  <si>
    <t>प्रतिपूरक सममिति</t>
  </si>
  <si>
    <t>complete circuit</t>
  </si>
  <si>
    <t>पूर्ण परिपथ</t>
  </si>
  <si>
    <t>complex ion</t>
  </si>
  <si>
    <t>संमिश्र आयन</t>
  </si>
  <si>
    <t>complexor</t>
  </si>
  <si>
    <t>संमिदिश (पु.)</t>
  </si>
  <si>
    <t>vector</t>
  </si>
  <si>
    <t>component</t>
  </si>
  <si>
    <t>घटक (पु.)</t>
  </si>
  <si>
    <t>composite cable</t>
  </si>
  <si>
    <t>मिश्र केबल</t>
  </si>
  <si>
    <t>composite system</t>
  </si>
  <si>
    <t>मिश्र पद्धति</t>
  </si>
  <si>
    <t>composition</t>
  </si>
  <si>
    <t>संघटन (न.)</t>
  </si>
  <si>
    <t>composition resistor</t>
  </si>
  <si>
    <t>compound</t>
  </si>
  <si>
    <t>संयुग (न.)</t>
  </si>
  <si>
    <t>१ मिश्र २ संयुक्त ३ बहुस्तर</t>
  </si>
  <si>
    <t>compound brush</t>
  </si>
  <si>
    <t>बहुस्तर कुंचला</t>
  </si>
  <si>
    <t>compound dynamo</t>
  </si>
  <si>
    <t>मिश्र जनित्र</t>
  </si>
  <si>
    <t>compound generator</t>
  </si>
  <si>
    <t>संयुक्त जनित्र, मिश्र जनित्र</t>
  </si>
  <si>
    <t>compound motor</t>
  </si>
  <si>
    <t>संयुक्त चलित्र, मिश्र चलित्र</t>
  </si>
  <si>
    <t>compound signal</t>
  </si>
  <si>
    <t>मिश्र संकेत</t>
  </si>
  <si>
    <t>compound winding</t>
  </si>
  <si>
    <t>संयुक्त कुंडलन</t>
  </si>
  <si>
    <t>compound wound</t>
  </si>
  <si>
    <t>संयुक्त कुंडलित, मिश्र कुंडलित</t>
  </si>
  <si>
    <t>compound-wound continuous current dynamo</t>
  </si>
  <si>
    <t>संयुक्त-कुंडलित एकदिक धारा जनित्र</t>
  </si>
  <si>
    <t>compound-wound machine</t>
  </si>
  <si>
    <t>संयुक्त कुंडलित यंत्र</t>
  </si>
  <si>
    <t>compound-wound motor</t>
  </si>
  <si>
    <t>संयुक्त कुंडलित चलित्र</t>
  </si>
  <si>
    <t>compressor</t>
  </si>
  <si>
    <t>संपीडक (पु.)</t>
  </si>
  <si>
    <t>Compton effect</t>
  </si>
  <si>
    <t>कॉम्टन शोध, कॉम्टन परिणाम</t>
  </si>
  <si>
    <t>computer</t>
  </si>
  <si>
    <t>संगणित्र (न.)</t>
  </si>
  <si>
    <t>concatentation</t>
  </si>
  <si>
    <t>सोपानीकरण (न.)</t>
  </si>
  <si>
    <t>concave lens</t>
  </si>
  <si>
    <t>अंतर्वक्र भिंग</t>
  </si>
  <si>
    <t>concealed wring</t>
  </si>
  <si>
    <t>छुपी ताररचना</t>
  </si>
  <si>
    <t>concentrated gas arc</t>
  </si>
  <si>
    <t>संकेंद्रित वायु प्रज्योत</t>
  </si>
  <si>
    <t>concentrating reflactor</t>
  </si>
  <si>
    <t>सकेंद्री परावर्ती</t>
  </si>
  <si>
    <t>concentric cable</t>
  </si>
  <si>
    <t>सकेंद्री केबल</t>
  </si>
  <si>
    <t>concentric winding</t>
  </si>
  <si>
    <t>सकेंद्री कुंडलन</t>
  </si>
  <si>
    <t>condenser</t>
  </si>
  <si>
    <t>१ संधारित्र (न.), धारित्र (न.), धारी (पु.) २ संघनित्र (न.)</t>
  </si>
  <si>
    <t>condenser capacity</t>
  </si>
  <si>
    <t>संधारित्र धारिता</t>
  </si>
  <si>
    <t>condenser dielectric</t>
  </si>
  <si>
    <t>संधारित्र पराविद्युत</t>
  </si>
  <si>
    <t>condenser microphone</t>
  </si>
  <si>
    <t>संधारित्र सूक्ष्मध्वनि</t>
  </si>
  <si>
    <t>condenser pick-up</t>
  </si>
  <si>
    <t>संधारित्र उद्ग्राही</t>
  </si>
  <si>
    <t>condenser plate</t>
  </si>
  <si>
    <t>संधारित्र पत्री</t>
  </si>
  <si>
    <t>condensing electroscope</t>
  </si>
  <si>
    <t>संधारी विद्युतदर्शी</t>
  </si>
  <si>
    <t>conditional transfer statement</t>
  </si>
  <si>
    <t>सशर्त प्रेषण विधान</t>
  </si>
  <si>
    <t>conductance</t>
  </si>
  <si>
    <t>प्रवहन (न.)</t>
  </si>
  <si>
    <t>conduction</t>
  </si>
  <si>
    <t>वहन (न.)</t>
  </si>
  <si>
    <t>conductive</t>
  </si>
  <si>
    <t>वाही, वाहीय</t>
  </si>
  <si>
    <t>conductive coupling</t>
  </si>
  <si>
    <t>वाहीय युग्मन</t>
  </si>
  <si>
    <t>conductivity</t>
  </si>
  <si>
    <t>वाहकता (स्त्री.)</t>
  </si>
  <si>
    <t>conductivity modulation</t>
  </si>
  <si>
    <t>वाहकता अपरिवर्तन</t>
  </si>
  <si>
    <t>conductor</t>
  </si>
  <si>
    <t>वाही</t>
  </si>
  <si>
    <t>conductor load</t>
  </si>
  <si>
    <t>वाही भार</t>
  </si>
  <si>
    <t>conductor spacing</t>
  </si>
  <si>
    <t>वाही अंतराल</t>
  </si>
  <si>
    <t>conductor-rail insulator</t>
  </si>
  <si>
    <t>वाही-रूळ निरोधी</t>
  </si>
  <si>
    <t>conductor-rail system</t>
  </si>
  <si>
    <t>वाही-रूळ पद्धति</t>
  </si>
  <si>
    <t>conduit</t>
  </si>
  <si>
    <t>१ नळी (स्त्री.) २ वाहनळी (स्त्री.)</t>
  </si>
  <si>
    <t>conduit box</t>
  </si>
  <si>
    <t>नळी पेटी</t>
  </si>
  <si>
    <t>conduit bushing</t>
  </si>
  <si>
    <t>वाहनळी बुशिंग</t>
  </si>
  <si>
    <t>conduit coupling</t>
  </si>
  <si>
    <t>नळी युग्मन</t>
  </si>
  <si>
    <t>conduit pipe</t>
  </si>
  <si>
    <t>वाहनळी (स्त्री.)</t>
  </si>
  <si>
    <t>conduit system</t>
  </si>
  <si>
    <t>वाहनळी पद्धति</t>
  </si>
  <si>
    <t>conduit wiring</t>
  </si>
  <si>
    <t>वाहनतळी ताररचना</t>
  </si>
  <si>
    <t>cone</t>
  </si>
  <si>
    <t>शंकु (पु.)</t>
  </si>
  <si>
    <t>cone antenna</t>
  </si>
  <si>
    <t>शंकु आकाशग</t>
  </si>
  <si>
    <t>cone loudspeaker</t>
  </si>
  <si>
    <t>शंकु ध्वनिक्षेपी</t>
  </si>
  <si>
    <t>cone of scilence</t>
  </si>
  <si>
    <t>मूक शंकु</t>
  </si>
  <si>
    <t>cone receptor</t>
  </si>
  <si>
    <t>शंकु ग्राही</t>
  </si>
  <si>
    <t>cone speaker</t>
  </si>
  <si>
    <t>शंकु ध्वनीक्षेपी</t>
  </si>
  <si>
    <t>cones of retina</t>
  </si>
  <si>
    <t>दृक्पटल शंकू (पु.अ.व.)</t>
  </si>
  <si>
    <t>configuration</t>
  </si>
  <si>
    <t>१ आविन्यास (पु.) २ संरूपण (न.)</t>
  </si>
  <si>
    <t>conical</t>
  </si>
  <si>
    <t>शंक्वाकार</t>
  </si>
  <si>
    <t>conical antenna</t>
  </si>
  <si>
    <t>शांक्व आकाशग</t>
  </si>
  <si>
    <t>conical horn antenna</t>
  </si>
  <si>
    <t>शांक्व शृंग आकाशग</t>
  </si>
  <si>
    <t>conjugate</t>
  </si>
  <si>
    <t>संयुग्मी</t>
  </si>
  <si>
    <t>conjugate impedance</t>
  </si>
  <si>
    <t>संयुग्मी संरोध</t>
  </si>
  <si>
    <t>connected</t>
  </si>
  <si>
    <t>बद्ध, युक्त, जोडलेला</t>
  </si>
  <si>
    <t>connected graph</t>
  </si>
  <si>
    <t>बद्ध आलेख</t>
  </si>
  <si>
    <t>connected load</t>
  </si>
  <si>
    <t>जोडलेला भार, युक्त भार</t>
  </si>
  <si>
    <t>connection</t>
  </si>
  <si>
    <t>१ जोडणी (स्त्री.) २ बंध (पु.) ३ संधान (न.) ४ संपर्क (पु.)</t>
  </si>
  <si>
    <t>delta connection जोडणी, डेल्टा जोडणी delta Y connection Yजोडणी, डेल्टा Y जोडणी mesh connection जलाक्ष जोडणी, मेश जोडणी Pi-connection जोडणी star connection तारका जोडणी, स्टार जोडणी T-connection T-जोडणी V-connection V-जोडणी Y-connection Y-जोडणी Z-connection Z-जोडणी</t>
  </si>
  <si>
    <t>connector</t>
  </si>
  <si>
    <t>योजी (पु.), संधानी (पु.)</t>
  </si>
  <si>
    <t>fastener बंधी tightener कर्षी</t>
  </si>
  <si>
    <t>console</t>
  </si>
  <si>
    <t>कॉन्सोल (न.)</t>
  </si>
  <si>
    <t>consonance</t>
  </si>
  <si>
    <t>संवादिता (स्त्री.)</t>
  </si>
  <si>
    <t>conspicuity</t>
  </si>
  <si>
    <t>ठळकपणा (पु.)</t>
  </si>
  <si>
    <t>constant</t>
  </si>
  <si>
    <t>स्थिरांक (पु.)</t>
  </si>
  <si>
    <t>स्थिर</t>
  </si>
  <si>
    <t>constant current</t>
  </si>
  <si>
    <t>स्थिर धारा</t>
  </si>
  <si>
    <t>constant deviation spectrometer</t>
  </si>
  <si>
    <t>स्थिर विचलन पंक्तिमापी, स्थिर विचलन पिसारा मापी</t>
  </si>
  <si>
    <t>constant potential</t>
  </si>
  <si>
    <t>स्थिर विभव</t>
  </si>
  <si>
    <t>constant speed motor</t>
  </si>
  <si>
    <t>स्थिर चाल चलित्र, स्थिर चाल मोटार</t>
  </si>
  <si>
    <t>constant time-lag</t>
  </si>
  <si>
    <t>१ स्थिर कालपश्चता, अचल कालपश्चता २ निश्चित कालपश्चता ३ स्वतंत्र कालपश्चता</t>
  </si>
  <si>
    <t>(also definate time-lag or fixed time-lag or independent time-lag)</t>
  </si>
  <si>
    <t>constant-current circuit</t>
  </si>
  <si>
    <t>स्थिर धारा परिपथ</t>
  </si>
  <si>
    <t>constant-current generator</t>
  </si>
  <si>
    <t>स्थिर धारा जनित्र</t>
  </si>
  <si>
    <t>constant-current transformer</t>
  </si>
  <si>
    <t>स्थिर धारा परिवर्तित्र</t>
  </si>
  <si>
    <t>constant-delay circuit</t>
  </si>
  <si>
    <t>स्थिर-विलंब परिपथ</t>
  </si>
  <si>
    <t>constant-K-filter</t>
  </si>
  <si>
    <t>स्थिर-K चाळणी</t>
  </si>
  <si>
    <t>constant-voltage generator</t>
  </si>
  <si>
    <t>स्थिर व्होल्टता जनित्र</t>
  </si>
  <si>
    <t>constant-voltage transformer</t>
  </si>
  <si>
    <t>स्थिर व्होल्टता परिवर्तित्र</t>
  </si>
  <si>
    <t>constant-voltage welding set</t>
  </si>
  <si>
    <t>स्थिर व्होल्टता सांधण सट</t>
  </si>
  <si>
    <t>construction</t>
  </si>
  <si>
    <t>संरचना (स्त्री.)</t>
  </si>
  <si>
    <t>consumption</t>
  </si>
  <si>
    <t>वापर (पु.), उपभोग (पु.)</t>
  </si>
  <si>
    <t>contact</t>
  </si>
  <si>
    <t>संपर्क (पु.)</t>
  </si>
  <si>
    <t>contact area</t>
  </si>
  <si>
    <t>संपर्क क्षेत्र</t>
  </si>
  <si>
    <t>contact assembly</t>
  </si>
  <si>
    <t>संपर्क समुच्चय</t>
  </si>
  <si>
    <t>contact lens</t>
  </si>
  <si>
    <t>संपर्क भिंग</t>
  </si>
  <si>
    <t>contact potential difference</t>
  </si>
  <si>
    <t>संपर्क विभवांतर</t>
  </si>
  <si>
    <t>contact separation</t>
  </si>
  <si>
    <t>संपर्क विलगन</t>
  </si>
  <si>
    <t>contact-breaker</t>
  </si>
  <si>
    <t>संपर्कवियोजी (पु.)</t>
  </si>
  <si>
    <t>contact-jaw</t>
  </si>
  <si>
    <t>संपर्क-जंभ (पु.)</t>
  </si>
  <si>
    <t>contact-point</t>
  </si>
  <si>
    <t>संपर्क-बिंदु (पु.)</t>
  </si>
  <si>
    <t>contact-point insert</t>
  </si>
  <si>
    <t>संपर्क-बिंदु अंतःसारित</t>
  </si>
  <si>
    <t>contactor</t>
  </si>
  <si>
    <t>संपर्कित्र (न.), संपर्की (पु.)</t>
  </si>
  <si>
    <t>container</t>
  </si>
  <si>
    <t>पात्र (न.)</t>
  </si>
  <si>
    <t>continental code</t>
  </si>
  <si>
    <t>यूरोपीय कूट</t>
  </si>
  <si>
    <t>continued fraction</t>
  </si>
  <si>
    <t>वितत अपूर्णांक</t>
  </si>
  <si>
    <t>continuity tester</t>
  </si>
  <si>
    <t>सातत्य परीक्षी</t>
  </si>
  <si>
    <t>continuous</t>
  </si>
  <si>
    <t>१ सतत, अविराम, अखंड २ सलग ३ एकदिक्</t>
  </si>
  <si>
    <t>continuous duty</t>
  </si>
  <si>
    <t>सतत सेवा</t>
  </si>
  <si>
    <t>continuous earth wire</t>
  </si>
  <si>
    <t>अखंड भू-तार</t>
  </si>
  <si>
    <t>continuous load</t>
  </si>
  <si>
    <t>सतत भार</t>
  </si>
  <si>
    <t>continuous loading</t>
  </si>
  <si>
    <t>सतत भारण</t>
  </si>
  <si>
    <t>continuous maximum rating</t>
  </si>
  <si>
    <t>सतत महत्तम निर्धारण</t>
  </si>
  <si>
    <t>continuous mesh catenary</t>
  </si>
  <si>
    <t>सलग जालाक्ष रज्जुका</t>
  </si>
  <si>
    <t>continuous oscillations</t>
  </si>
  <si>
    <t>सतत दोलने (न.अ.व.)</t>
  </si>
  <si>
    <t>continuous ringing bell</t>
  </si>
  <si>
    <t>सतत नाद घंटी</t>
  </si>
  <si>
    <t>continuous spectrum</t>
  </si>
  <si>
    <t>अखंड वर्णपंक्ति</t>
  </si>
  <si>
    <t>continuous wave</t>
  </si>
  <si>
    <t>सतत तरंग</t>
  </si>
  <si>
    <t>continuous wave telegraphy</t>
  </si>
  <si>
    <t>सतत तरंग दूरलेखन</t>
  </si>
  <si>
    <t>(short C.W. telegraphy)</t>
  </si>
  <si>
    <t>continuous winding</t>
  </si>
  <si>
    <t>१ अखंड कुंडलन २ अखंड कुंडल</t>
  </si>
  <si>
    <t>contour in the 's' plane 's'</t>
  </si>
  <si>
    <t>समतलातील परिघ</t>
  </si>
  <si>
    <t>contractor coil</t>
  </si>
  <si>
    <t>संपर्कित्र कुंडल</t>
  </si>
  <si>
    <t>contractor starter</t>
  </si>
  <si>
    <t>संपर्कित्र आरंभी</t>
  </si>
  <si>
    <t>contractor switching strater</t>
  </si>
  <si>
    <t>संपर्कित्र स्विचन आरंभी</t>
  </si>
  <si>
    <t>contrast</t>
  </si>
  <si>
    <t>वैधम्र्य (न.)</t>
  </si>
  <si>
    <t>contrast control</t>
  </si>
  <si>
    <t>वैधम्र्य नियंत्रण</t>
  </si>
  <si>
    <t>contrast sensitivity</t>
  </si>
  <si>
    <t>वैधम्र्य संवेदनता</t>
  </si>
  <si>
    <t>control</t>
  </si>
  <si>
    <t>नियंत्रण (न.)</t>
  </si>
  <si>
    <t>control board</t>
  </si>
  <si>
    <t>नियंत्रण फलक</t>
  </si>
  <si>
    <t>control characteristic</t>
  </si>
  <si>
    <t>नियंत्रण अभिलक्षण</t>
  </si>
  <si>
    <t>control circuit</t>
  </si>
  <si>
    <t>नियंत्रण परिपथ</t>
  </si>
  <si>
    <t>control circuit transformer</t>
  </si>
  <si>
    <t>नियंत्रण परिपथ परिवर्तित्र</t>
  </si>
  <si>
    <t>control coloumn</t>
  </si>
  <si>
    <t>नियंत्रण स्तंभ</t>
  </si>
  <si>
    <t>control electrode</t>
  </si>
  <si>
    <t>नियंत्रण इलेक्ट्रोड</t>
  </si>
  <si>
    <t>control equipment</t>
  </si>
  <si>
    <t>नियंत्रण सामग्री</t>
  </si>
  <si>
    <t>control grid</t>
  </si>
  <si>
    <t>नियंत्रण जाळी, नियंत्रण ग्रिड</t>
  </si>
  <si>
    <t>control hysteresis</t>
  </si>
  <si>
    <t>नियंत्रण पश्चशीलता</t>
  </si>
  <si>
    <t>control knob</t>
  </si>
  <si>
    <t>नियंत्रण मूठ</t>
  </si>
  <si>
    <t>control limit</t>
  </si>
  <si>
    <t>नियंत्रण सीमा</t>
  </si>
  <si>
    <t>control ratio</t>
  </si>
  <si>
    <t>नियंत्रण गुणोत्तर</t>
  </si>
  <si>
    <t>control winding</t>
  </si>
  <si>
    <t>नियंत्रण कुंडल</t>
  </si>
  <si>
    <t>control-limit switch</t>
  </si>
  <si>
    <t>नियंत्रण सीमा-स्विच</t>
  </si>
  <si>
    <t>control-line</t>
  </si>
  <si>
    <t>नियंत्रण-तार (स्त्री.)</t>
  </si>
  <si>
    <t>controllable selectivity</t>
  </si>
  <si>
    <t>नियंत्रणीय वरणीयता</t>
  </si>
  <si>
    <t>controlled acceleration</t>
  </si>
  <si>
    <t>नियंत्रित त्वरण</t>
  </si>
  <si>
    <t>controlled source</t>
  </si>
  <si>
    <t>नियंत्रित प्रभव</t>
  </si>
  <si>
    <t>controlled-carrier modulation</t>
  </si>
  <si>
    <t>नियंत्रित वाहनिक आपरिवर्तन</t>
  </si>
  <si>
    <t>controller</t>
  </si>
  <si>
    <t>१ नियंत्रक (पु.) २ नियंत्री (पु.)</t>
  </si>
  <si>
    <t>convection</t>
  </si>
  <si>
    <t>प्रक्रमण (न.)</t>
  </si>
  <si>
    <t>convergence</t>
  </si>
  <si>
    <t>अभिसरण (न.)</t>
  </si>
  <si>
    <t>converging lens</t>
  </si>
  <si>
    <t>अभिसारी भिंग</t>
  </si>
  <si>
    <t>conversion</t>
  </si>
  <si>
    <t>रुपांतर (न.)</t>
  </si>
  <si>
    <t>conversion conductance</t>
  </si>
  <si>
    <t>रुपांतर प्रवहन</t>
  </si>
  <si>
    <t>conversion efficiency</t>
  </si>
  <si>
    <t>रूपांतर कार्यक्षमता</t>
  </si>
  <si>
    <t>conversion gain</t>
  </si>
  <si>
    <t>रूपांतर लाभ</t>
  </si>
  <si>
    <t>conversion transconductance</t>
  </si>
  <si>
    <t>रूपांतर पारप्रवहन</t>
  </si>
  <si>
    <t>converter</t>
  </si>
  <si>
    <t>converting stations</t>
  </si>
  <si>
    <t>रूपांतरण केंद्र</t>
  </si>
  <si>
    <t>convertor</t>
  </si>
  <si>
    <t>रूपांतरित्र (न.)</t>
  </si>
  <si>
    <t>(also converter)</t>
  </si>
  <si>
    <t>convolution</t>
  </si>
  <si>
    <t>संवलन (न.)</t>
  </si>
  <si>
    <t>cooking</t>
  </si>
  <si>
    <t>पाकक्रिया (स्त्री.) (as in radio frequency cooking रेडिओ वारंवारता पाकक्रिया)</t>
  </si>
  <si>
    <t>cooled-anode valve</t>
  </si>
  <si>
    <t>शीतित-ऍनोड झडप</t>
  </si>
  <si>
    <t>cooling</t>
  </si>
  <si>
    <t>शीतन (न.)</t>
  </si>
  <si>
    <t>cooling of motor</t>
  </si>
  <si>
    <t>चलित्र शीतन</t>
  </si>
  <si>
    <t>cooling tower</t>
  </si>
  <si>
    <t>शीतन मनोरा</t>
  </si>
  <si>
    <t>coolwhite lamp</t>
  </si>
  <si>
    <t>शीतलशुभ्र दीप</t>
  </si>
  <si>
    <t>Cooper-Hewitt lamp</t>
  </si>
  <si>
    <t>कूपर-हेविट दीप</t>
  </si>
  <si>
    <t>coordinate</t>
  </si>
  <si>
    <t>सहनिर्देशांक (पु.)</t>
  </si>
  <si>
    <t>coplanar grid tube</t>
  </si>
  <si>
    <t>समतल जाल नलिका</t>
  </si>
  <si>
    <t>copper</t>
  </si>
  <si>
    <t>तांबे (न.), कॉपर (न.)</t>
  </si>
  <si>
    <t>copper brush</t>
  </si>
  <si>
    <t>ताम्र कुंचला</t>
  </si>
  <si>
    <t>copper efficiency</t>
  </si>
  <si>
    <t>ताम्र कार्यक्षमता</t>
  </si>
  <si>
    <t>copper loss</t>
  </si>
  <si>
    <t>ताम्रहानी (स्त्री.), ताम्रजहानी (स्त्री.)</t>
  </si>
  <si>
    <t>copper-oxide detector</t>
  </si>
  <si>
    <t>कॉपर-ऑक्साइड शोधी</t>
  </si>
  <si>
    <t>copper-oxide modulator</t>
  </si>
  <si>
    <t>कॉपर-ऑक्साइड आपरिवर्तित्र</t>
  </si>
  <si>
    <t>copper-oxide rectifier</t>
  </si>
  <si>
    <t>कॉपर-ऑक्साइड दिष्टकारी</t>
  </si>
  <si>
    <t>coppering</t>
  </si>
  <si>
    <t>ताम्रण (न.)</t>
  </si>
  <si>
    <t>cord</t>
  </si>
  <si>
    <t>रज्जु (पु.)</t>
  </si>
  <si>
    <t>cord board</t>
  </si>
  <si>
    <t>रज्जु फलक</t>
  </si>
  <si>
    <t>cord circuit</t>
  </si>
  <si>
    <t>रज्जु परिपथ</t>
  </si>
  <si>
    <t>cord circuit repeater</t>
  </si>
  <si>
    <t>रज्जु परिपथ पुनरावर्ती</t>
  </si>
  <si>
    <t>cord fastener</t>
  </si>
  <si>
    <t>रज्जु बंधी</t>
  </si>
  <si>
    <t>cordless board</t>
  </si>
  <si>
    <t>रज्जुहीन फलक</t>
  </si>
  <si>
    <t>core</t>
  </si>
  <si>
    <t>क्रोड (न.)</t>
  </si>
  <si>
    <t>core and pin typeinsulator</t>
  </si>
  <si>
    <t>क्रोड आणि पिन निरोधी</t>
  </si>
  <si>
    <t>core coil</t>
  </si>
  <si>
    <t>core loss</t>
  </si>
  <si>
    <t>क्रोडहानि (स्त्री.), क्रोडजहानि (स्त्री.)</t>
  </si>
  <si>
    <t>core-type transformer</t>
  </si>
  <si>
    <t>क्रोडीय परिवर्तित्र</t>
  </si>
  <si>
    <t>corner frequency</t>
  </si>
  <si>
    <t>कोपरा वारंवारता</t>
  </si>
  <si>
    <t>corner reflector</t>
  </si>
  <si>
    <t>कोपरा परावर्तक</t>
  </si>
  <si>
    <t>corner-reflector antenna</t>
  </si>
  <si>
    <t>कोपरा परावर्तक आकाशग</t>
  </si>
  <si>
    <t>corona</t>
  </si>
  <si>
    <t>करोना (पु.), परिवलय (न.)</t>
  </si>
  <si>
    <t>corona discharge</t>
  </si>
  <si>
    <t>करोना निर्भारण</t>
  </si>
  <si>
    <t>corona tube</t>
  </si>
  <si>
    <t>करोना नलिका</t>
  </si>
  <si>
    <t>corpuscle</t>
  </si>
  <si>
    <t>कण (पु.)</t>
  </si>
  <si>
    <t>(also particle)</t>
  </si>
  <si>
    <t>correction signal</t>
  </si>
  <si>
    <t>संशुद्धि संकेत</t>
  </si>
  <si>
    <t>corrosion</t>
  </si>
  <si>
    <t>संरक्षण (न.)</t>
  </si>
  <si>
    <t>Cos Law</t>
  </si>
  <si>
    <t>कोज्या नियम</t>
  </si>
  <si>
    <t>cosmic rays</t>
  </si>
  <si>
    <t>वैश्व किरण (पु.अ.व.)</t>
  </si>
  <si>
    <t>coulomb</t>
  </si>
  <si>
    <t>कूलोम (न.)</t>
  </si>
  <si>
    <t>Coulomb's theorem</t>
  </si>
  <si>
    <t>कूलोम प्रमेय</t>
  </si>
  <si>
    <t>coulometer</t>
  </si>
  <si>
    <t>कूलोममापी (पु.)</t>
  </si>
  <si>
    <t>count</t>
  </si>
  <si>
    <t>गणनांक (पु.)</t>
  </si>
  <si>
    <t>counter</t>
  </si>
  <si>
    <t>गणनी (पु.), गणित्र (न.)</t>
  </si>
  <si>
    <t>counter tube</t>
  </si>
  <si>
    <t>गणनी नलिका</t>
  </si>
  <si>
    <t>counter-electromotive force</t>
  </si>
  <si>
    <t>counter-synchronous field</t>
  </si>
  <si>
    <t>प्रतिसंकलित क्षेत्र</t>
  </si>
  <si>
    <t>counter-weight</t>
  </si>
  <si>
    <t>प्रतिभार (पु.)</t>
  </si>
  <si>
    <t>counterpoise</t>
  </si>
  <si>
    <t>प्रतितोल (पु.)</t>
  </si>
  <si>
    <t>counterpoise antenna</t>
  </si>
  <si>
    <t>प्रतितोल आकाशग</t>
  </si>
  <si>
    <t>countre-electromotive force cell</t>
  </si>
  <si>
    <t>back-electromotive force cell</t>
  </si>
  <si>
    <t>coupied</t>
  </si>
  <si>
    <t>युग्मित</t>
  </si>
  <si>
    <t>coupled circuit</t>
  </si>
  <si>
    <t>युग्मित परिपथ</t>
  </si>
  <si>
    <t>coupled impedance</t>
  </si>
  <si>
    <t>युग्मित संरोध</t>
  </si>
  <si>
    <t>coupled switch</t>
  </si>
  <si>
    <t>युग्मित स्विच</t>
  </si>
  <si>
    <t>coupler</t>
  </si>
  <si>
    <t>युग्मी (पु.)</t>
  </si>
  <si>
    <t>coupling</t>
  </si>
  <si>
    <t>युग्मन (न.)</t>
  </si>
  <si>
    <t>coupling capacitor</t>
  </si>
  <si>
    <t>युग्मन धारी</t>
  </si>
  <si>
    <t>coupling coefficient</t>
  </si>
  <si>
    <t>coupling coil</t>
  </si>
  <si>
    <t>युग्मन कुंडल</t>
  </si>
  <si>
    <t>coupling probe</t>
  </si>
  <si>
    <t>युग्मन शोधाग्र</t>
  </si>
  <si>
    <t>coupling resistor</t>
  </si>
  <si>
    <t>युग्मन रोधी</t>
  </si>
  <si>
    <t>coupling transformer</t>
  </si>
  <si>
    <t>युग्मन परिवर्तित्र</t>
  </si>
  <si>
    <t>cove lightning</t>
  </si>
  <si>
    <t>पन्हाळी दीपन</t>
  </si>
  <si>
    <t>cradle</t>
  </si>
  <si>
    <t>दोल (पु.)</t>
  </si>
  <si>
    <t>cradle bearing</t>
  </si>
  <si>
    <t>दोला धारवा</t>
  </si>
  <si>
    <t>cradle dynamometer</t>
  </si>
  <si>
    <t>दोला गतिजमापी</t>
  </si>
  <si>
    <t>cradle guard</t>
  </si>
  <si>
    <t>दोला रक्षी</t>
  </si>
  <si>
    <t>cradle suspension</t>
  </si>
  <si>
    <t>दोला निलंबन</t>
  </si>
  <si>
    <t>cradle-mounted</t>
  </si>
  <si>
    <t>दोलारूढ</t>
  </si>
  <si>
    <t>crater</t>
  </si>
  <si>
    <t>खळी (स्त्री.)</t>
  </si>
  <si>
    <t>crater of an arc</t>
  </si>
  <si>
    <t>crawling</t>
  </si>
  <si>
    <t>मंदचाल (स्त्री.)</t>
  </si>
  <si>
    <t>creation</t>
  </si>
  <si>
    <t>निर्मिति (स्त्री.)</t>
  </si>
  <si>
    <t>creepage distance</t>
  </si>
  <si>
    <t>विसर्पण अंतर</t>
  </si>
  <si>
    <t>creeping</t>
  </si>
  <si>
    <t>विसर्पण (न.)</t>
  </si>
  <si>
    <t>crest</t>
  </si>
  <si>
    <t>शिखर (न.), शिखा (स्त्री.)</t>
  </si>
  <si>
    <t>crest factor</t>
  </si>
  <si>
    <t>शिखरांक (पु.), आयामांक (पु.)</t>
  </si>
  <si>
    <t>(also amplitude factor or peak factor)</t>
  </si>
  <si>
    <t>crest of crest value</t>
  </si>
  <si>
    <t>शिखा-शिखा मूल्य</t>
  </si>
  <si>
    <t>(also peak to peak velue)</t>
  </si>
  <si>
    <t>crest value</t>
  </si>
  <si>
    <t>शिखर मूल्य, शिखा मूल्य</t>
  </si>
  <si>
    <t>critical coupling</t>
  </si>
  <si>
    <t>क्रांतिक युग्मन</t>
  </si>
  <si>
    <t>critical damping</t>
  </si>
  <si>
    <t>क्रांतिक अवमंदन</t>
  </si>
  <si>
    <t>critical field</t>
  </si>
  <si>
    <t>क्रांतिक क्षेत्र</t>
  </si>
  <si>
    <t>critical frequency</t>
  </si>
  <si>
    <t>क्रांतिक वारंवारता</t>
  </si>
  <si>
    <t>critical grid current</t>
  </si>
  <si>
    <t>क्रांतिक ग्रिड धारा</t>
  </si>
  <si>
    <t>critical grid voltage</t>
  </si>
  <si>
    <t>क्रांतिक ग्रिड व्होल्टता</t>
  </si>
  <si>
    <t>critical potential</t>
  </si>
  <si>
    <t>क्रांतिक विभव</t>
  </si>
  <si>
    <t>critical reactioc</t>
  </si>
  <si>
    <t>क्रांतिक प्रतिक्रिया</t>
  </si>
  <si>
    <t>critical resistance</t>
  </si>
  <si>
    <t>क्रांतिक रोध</t>
  </si>
  <si>
    <t>critical temperature</t>
  </si>
  <si>
    <t>क्रांतिक तापमान</t>
  </si>
  <si>
    <t>critical voltage</t>
  </si>
  <si>
    <t>क्रांतिक व्होल्टता</t>
  </si>
  <si>
    <t>critically damped</t>
  </si>
  <si>
    <t>क्रांतिकतः अवमंदित</t>
  </si>
  <si>
    <t>criticl</t>
  </si>
  <si>
    <t>क्रांतिक</t>
  </si>
  <si>
    <t>Crookes dark space</t>
  </si>
  <si>
    <t>क्रूक्सचा अदीप्त प्रदेश</t>
  </si>
  <si>
    <t>Crookes tube</t>
  </si>
  <si>
    <t>क्रूक्सची नलिका</t>
  </si>
  <si>
    <t>croos-arm bracing</t>
  </si>
  <si>
    <t>काट-भुजा ताणपट्टी</t>
  </si>
  <si>
    <t>cross connecting</t>
  </si>
  <si>
    <t>कैची जोडणी</t>
  </si>
  <si>
    <t>cross magnetising</t>
  </si>
  <si>
    <t>जात्य चुंबकन</t>
  </si>
  <si>
    <t>cross modulation</t>
  </si>
  <si>
    <t>काटकोनी अपरिवर्तन</t>
  </si>
  <si>
    <t>cross section</t>
  </si>
  <si>
    <t>काट छेद</t>
  </si>
  <si>
    <t>cross sectional area</t>
  </si>
  <si>
    <t>काट छेद क्षेत्रफळ</t>
  </si>
  <si>
    <t>cross talk</t>
  </si>
  <si>
    <t>जात्य भाष्य</t>
  </si>
  <si>
    <t>cross tap</t>
  </si>
  <si>
    <t>जात्य शाखनबिंदु</t>
  </si>
  <si>
    <t>cross-connected field</t>
  </si>
  <si>
    <t>कैची-जोड क्षेत्र</t>
  </si>
  <si>
    <t>cross-connecting board</t>
  </si>
  <si>
    <t>कैची जोडणी फलक</t>
  </si>
  <si>
    <t>cruvilinear overhead equipment</t>
  </si>
  <si>
    <t>वक्ररेखी उपरि साधमसामग्री</t>
  </si>
  <si>
    <t>cryotron</t>
  </si>
  <si>
    <t>क्रायोट्रॉन (न.)</t>
  </si>
  <si>
    <t>crystal</t>
  </si>
  <si>
    <t>स्फटिक (पु.)</t>
  </si>
  <si>
    <t>crystal control</t>
  </si>
  <si>
    <t>स्फटिक नियंत्रण</t>
  </si>
  <si>
    <t>crystal detector</t>
  </si>
  <si>
    <t>स्फटिक शोधी</t>
  </si>
  <si>
    <t>crystal diode</t>
  </si>
  <si>
    <t>स्फटिक डायोड</t>
  </si>
  <si>
    <t>crystal drive</t>
  </si>
  <si>
    <t>स्फटिक चालनी</t>
  </si>
  <si>
    <t>crystal filter</t>
  </si>
  <si>
    <t>स्फटिक गाळणी</t>
  </si>
  <si>
    <t>crystal frequency multiplier</t>
  </si>
  <si>
    <t>स्फटिक वारंवारता बहुगुणक</t>
  </si>
  <si>
    <t>crystal loudspeaker</t>
  </si>
  <si>
    <t>स्फटिक ध्वनिक्षेपी</t>
  </si>
  <si>
    <t>crystal microphone</t>
  </si>
  <si>
    <t>स्फटिक सूक्ष्मध्वनि</t>
  </si>
  <si>
    <t>crystal oscillator</t>
  </si>
  <si>
    <t>स्फटिक दोली</t>
  </si>
  <si>
    <t>crystal oscillator drive</t>
  </si>
  <si>
    <t>स्फटिक दोली चालनी</t>
  </si>
  <si>
    <t>crystal pick-up</t>
  </si>
  <si>
    <t>स्फटिक उद्ग्राही</t>
  </si>
  <si>
    <t>crystal receiver</t>
  </si>
  <si>
    <t>स्फटिक ग्राही</t>
  </si>
  <si>
    <t>crystal resonance frequency</t>
  </si>
  <si>
    <t>स्फटिक संस्पंदन वारंवारता</t>
  </si>
  <si>
    <t>crystal set</t>
  </si>
  <si>
    <t>स्फटिक संच</t>
  </si>
  <si>
    <t>crystal-controlled receiver</t>
  </si>
  <si>
    <t>स्फटिक नियंत्रित ग्राही</t>
  </si>
  <si>
    <t>crystal-transducer</t>
  </si>
  <si>
    <t>स्फटिक पारणी</t>
  </si>
  <si>
    <t>crystallisation</t>
  </si>
  <si>
    <t>१ स्फटिकीकरण (न.) २ स्फटिकीभवन (न.)</t>
  </si>
  <si>
    <t>cubical photometric integrator</t>
  </si>
  <si>
    <t>घनाकार प्रकाशमितीय संकलनी</t>
  </si>
  <si>
    <t>cubicle-type switchboard</t>
  </si>
  <si>
    <t>कोष्ठ स्विचफलक</t>
  </si>
  <si>
    <t>cumulative grid retification</t>
  </si>
  <si>
    <t>संचयी ग्रिड दिष्टीकरण</t>
  </si>
  <si>
    <t>cur-off frequency</t>
  </si>
  <si>
    <t>काट वारंवारता</t>
  </si>
  <si>
    <t>curie</t>
  </si>
  <si>
    <t>क्यूरी (न.)</t>
  </si>
  <si>
    <t>Curie point</t>
  </si>
  <si>
    <t>क्यूरी बिंदु</t>
  </si>
  <si>
    <t>current</t>
  </si>
  <si>
    <t>धारा (स्त्री.)</t>
  </si>
  <si>
    <t>flow प्रवाह stream धारा, प्रवाह</t>
  </si>
  <si>
    <t>current amplification</t>
  </si>
  <si>
    <t>धारा प्रवर्धन</t>
  </si>
  <si>
    <t>current and voltage feed-back</t>
  </si>
  <si>
    <t>धारा आणि व्होल्टता पश्चप्रदाय</t>
  </si>
  <si>
    <t>current attenuation</t>
  </si>
  <si>
    <t>धारा क्षीणन</t>
  </si>
  <si>
    <t>current carrying capacity</t>
  </si>
  <si>
    <t>धारावहन क्षमता</t>
  </si>
  <si>
    <t>current circuit</t>
  </si>
  <si>
    <t>धारा परिपथ</t>
  </si>
  <si>
    <t>current coil</t>
  </si>
  <si>
    <t>धारा कुंडल</t>
  </si>
  <si>
    <t>current collector</t>
  </si>
  <si>
    <t>धारा संग्राही</t>
  </si>
  <si>
    <t>current cut-off</t>
  </si>
  <si>
    <t>धारा तोडी</t>
  </si>
  <si>
    <t>current density</t>
  </si>
  <si>
    <t>धारा घनता</t>
  </si>
  <si>
    <t>current distribution</t>
  </si>
  <si>
    <t>धारा वितरण</t>
  </si>
  <si>
    <t>current electricity</t>
  </si>
  <si>
    <t>धारा विद्युत</t>
  </si>
  <si>
    <t>current feed-back</t>
  </si>
  <si>
    <t>धारा पश्चप्रदाय</t>
  </si>
  <si>
    <t>current gain</t>
  </si>
  <si>
    <t>धारा लाभ</t>
  </si>
  <si>
    <t>current limit thermostat</t>
  </si>
  <si>
    <t>धारा सीमा तापस्थापी</t>
  </si>
  <si>
    <t>current limiting reactor</t>
  </si>
  <si>
    <t>धारा सीमन प्रतिरोधी</t>
  </si>
  <si>
    <t>current regulator</t>
  </si>
  <si>
    <t>धारा नियामी</t>
  </si>
  <si>
    <t>current saturation</t>
  </si>
  <si>
    <t>धारा संपृक्ति</t>
  </si>
  <si>
    <t>current sensing protector</t>
  </si>
  <si>
    <t>धारा संवेदन रक्षी</t>
  </si>
  <si>
    <t>current strength</t>
  </si>
  <si>
    <t>धारामान (न.)</t>
  </si>
  <si>
    <t>current transformer</t>
  </si>
  <si>
    <t>धारा परिवर्तित्र</t>
  </si>
  <si>
    <t>curvature</t>
  </si>
  <si>
    <t>वक्रता (स्त्री.)</t>
  </si>
  <si>
    <t>curve tracer</t>
  </si>
  <si>
    <t>वक्र अनुरेखी</t>
  </si>
  <si>
    <t>cusp</t>
  </si>
  <si>
    <t>उभयाग्र (न.)</t>
  </si>
  <si>
    <t>cut-et matrix</t>
  </si>
  <si>
    <t>कट-सट सारणी</t>
  </si>
  <si>
    <t>cut-off</t>
  </si>
  <si>
    <t>१ काट (पु.) २ तोडी (पु.)</t>
  </si>
  <si>
    <t>cut-off angle</t>
  </si>
  <si>
    <t>कटाप कोन</t>
  </si>
  <si>
    <t>cut-off bias</t>
  </si>
  <si>
    <t>काट अभिनति</t>
  </si>
  <si>
    <t>cut-off distribution</t>
  </si>
  <si>
    <t>काट वितरण</t>
  </si>
  <si>
    <t>cut-off voltage</t>
  </si>
  <si>
    <t>काट व्होल्टता</t>
  </si>
  <si>
    <t>cut-out</t>
  </si>
  <si>
    <t>काटआऊट (पु.), भंजक (पु.)</t>
  </si>
  <si>
    <t>cut-out box</t>
  </si>
  <si>
    <t>भंजक पेटी</t>
  </si>
  <si>
    <t>cut-out relay</t>
  </si>
  <si>
    <t>भंजक पुनरेषी</t>
  </si>
  <si>
    <t>cut-set</t>
  </si>
  <si>
    <t>काट-सट (पु.)</t>
  </si>
  <si>
    <t>cutter</t>
  </si>
  <si>
    <t>कर्तक (पु.), कापी (पु.)</t>
  </si>
  <si>
    <t>cybernetics</t>
  </si>
  <si>
    <t>अभिनियंत्रिकी (स्त्री.)</t>
  </si>
  <si>
    <t>cycle</t>
  </si>
  <si>
    <t>चक्र (न.)</t>
  </si>
  <si>
    <t>cyclic</t>
  </si>
  <si>
    <t>चक्रीय, चक्रिक</t>
  </si>
  <si>
    <t>cyclorama lighting</t>
  </si>
  <si>
    <t>चक्रदर्शन दीपन</t>
  </si>
  <si>
    <t>cyclotron</t>
  </si>
  <si>
    <t>सायक्लोट्रोन दोली</t>
  </si>
  <si>
    <t>cylinder</t>
  </si>
  <si>
    <t>दंडगोल (पु.), चिति (स्त्री.)</t>
  </si>
  <si>
    <t>cylinderical horngap</t>
  </si>
  <si>
    <t>दंडगोलीय शृंगान्तर</t>
  </si>
  <si>
    <t>cylindrical antenna</t>
  </si>
  <si>
    <t>दंडगोलीय आकाशग</t>
  </si>
  <si>
    <t>cylindrical conductor</t>
  </si>
  <si>
    <t>दंडगोलीय वाही</t>
  </si>
  <si>
    <t>cylindrical parabolic antenna</t>
  </si>
  <si>
    <t>दंडगोलीय अन्वस्त आकाशग</t>
  </si>
  <si>
    <t>D layer</t>
  </si>
  <si>
    <t>D स्तर (पु.)</t>
  </si>
  <si>
    <t>D' Arsonal galvanometer</t>
  </si>
  <si>
    <t>डिआर्सोनवाल गॅल्व्हानोमापी</t>
  </si>
  <si>
    <t>D' arsonval current</t>
  </si>
  <si>
    <t>daily variation</t>
  </si>
  <si>
    <t>दैनिक बदल, दैनिक फरक</t>
  </si>
  <si>
    <t>damp</t>
  </si>
  <si>
    <t>अवमंदन करणे</t>
  </si>
  <si>
    <t>damp down</t>
  </si>
  <si>
    <t>damped alternating</t>
  </si>
  <si>
    <t>अवमंदित प्रत्यार्थी धारा</t>
  </si>
  <si>
    <t>damped alternating current</t>
  </si>
  <si>
    <t>अवमंदित प्रत्यावर्ती धारा</t>
  </si>
  <si>
    <t>damped galvanometer</t>
  </si>
  <si>
    <t>अवमंदित गॅल्व्हानोमापी</t>
  </si>
  <si>
    <t>damped magnetic needle</t>
  </si>
  <si>
    <t>अवमंदित चंउबकीय सुई</t>
  </si>
  <si>
    <t>damped ocillation</t>
  </si>
  <si>
    <t>अवमंदित दोलन</t>
  </si>
  <si>
    <t>damped wave</t>
  </si>
  <si>
    <t>अवमंदित तरंग</t>
  </si>
  <si>
    <t>damper</t>
  </si>
  <si>
    <t>अवमंदक (पु.)</t>
  </si>
  <si>
    <t>damper winding</t>
  </si>
  <si>
    <t>अवमंदक कुंडल</t>
  </si>
  <si>
    <t>damping</t>
  </si>
  <si>
    <t>अवमंदन (न.)</t>
  </si>
  <si>
    <t>damping coefficient</t>
  </si>
  <si>
    <t>अवमंदन गुणांक</t>
  </si>
  <si>
    <t>damping coil</t>
  </si>
  <si>
    <t>अवमंदन कुंडल</t>
  </si>
  <si>
    <t>damping effect</t>
  </si>
  <si>
    <t>अवमंदन प्रभाव</t>
  </si>
  <si>
    <t>damping torque factor</t>
  </si>
  <si>
    <t>अवमंदन मोटना अंक</t>
  </si>
  <si>
    <t>damping winding</t>
  </si>
  <si>
    <t>अवमंदन कुंडलन</t>
  </si>
  <si>
    <t>dark current</t>
  </si>
  <si>
    <t>अदीप्त धारा</t>
  </si>
  <si>
    <t>dark discharge</t>
  </si>
  <si>
    <t>अदीप्त निर्भारण</t>
  </si>
  <si>
    <t>dark lamp method of synchronising</t>
  </si>
  <si>
    <t>अदीप्त दीप संकलन पद्धति</t>
  </si>
  <si>
    <t>dark space</t>
  </si>
  <si>
    <t>अदीप्त प्रदेश, तम प्रदेश</t>
  </si>
  <si>
    <t>dart leader stroke</t>
  </si>
  <si>
    <t>अग्रमापी शराघात</t>
  </si>
  <si>
    <t>dash</t>
  </si>
  <si>
    <t>अभिगाक</t>
  </si>
  <si>
    <t>de-emphasis</t>
  </si>
  <si>
    <t>निरवधारण (न.)</t>
  </si>
  <si>
    <t>dead eye</t>
  </si>
  <si>
    <t>खोबण (स्त्री.)</t>
  </si>
  <si>
    <t>dead point of armature</t>
  </si>
  <si>
    <t>आर्मेचर मृत बिंदु</t>
  </si>
  <si>
    <t>dead resistance</t>
  </si>
  <si>
    <t>मृत रोध</t>
  </si>
  <si>
    <t>dead wire</t>
  </si>
  <si>
    <t>अचेतन तार</t>
  </si>
  <si>
    <t>dead-end tower</t>
  </si>
  <si>
    <t>अंतिम मनोरा</t>
  </si>
  <si>
    <t>(also terminal tower)</t>
  </si>
  <si>
    <t>dead-man's handle</t>
  </si>
  <si>
    <t>क्षेममूठ (स्त्री.)</t>
  </si>
  <si>
    <t>decade</t>
  </si>
  <si>
    <t>दशक (न.)</t>
  </si>
  <si>
    <t>decade plan</t>
  </si>
  <si>
    <t>दशक योजना</t>
  </si>
  <si>
    <t>decade resistance box</t>
  </si>
  <si>
    <t>दशक रोध पेटी</t>
  </si>
  <si>
    <t>decametric waves</t>
  </si>
  <si>
    <t>डेकामेट्रिक तरंग (पु.अ.व.)</t>
  </si>
  <si>
    <t>decay coefficient</t>
  </si>
  <si>
    <t>क्षय गुणांक. क्षय अंक</t>
  </si>
  <si>
    <t>deci-ampere</t>
  </si>
  <si>
    <t>डेसी-ऍम्पिअर (पु.)</t>
  </si>
  <si>
    <t>deci-ampere balance</t>
  </si>
  <si>
    <t>डेसी-ऍम्पिअर समतल</t>
  </si>
  <si>
    <t>deci-neper</t>
  </si>
  <si>
    <t>डेसिनेपर (न.)</t>
  </si>
  <si>
    <t>decible</t>
  </si>
  <si>
    <t>डेसिबेल (न.)</t>
  </si>
  <si>
    <t>(also DB)</t>
  </si>
  <si>
    <t>decible meter</t>
  </si>
  <si>
    <t>डेसिबेलमापी (पु.)</t>
  </si>
  <si>
    <t>decimal attenuator</t>
  </si>
  <si>
    <t>दशमान क्षीणनकारी</t>
  </si>
  <si>
    <t>decimetric waves</t>
  </si>
  <si>
    <t>डेसिमेट्रिक तरंग (पु.अ.व.)</t>
  </si>
  <si>
    <t>deck cable lead</t>
  </si>
  <si>
    <t>डेक केबल अग्र</t>
  </si>
  <si>
    <t>decoder</t>
  </si>
  <si>
    <t>विकूटनी (पु.)</t>
  </si>
  <si>
    <t>decomposition</t>
  </si>
  <si>
    <t>अपघटन (न.)</t>
  </si>
  <si>
    <t>decomposition voltage</t>
  </si>
  <si>
    <t>अपघटन व्होल्टता</t>
  </si>
  <si>
    <t>decorative flood lighting</t>
  </si>
  <si>
    <t>सजावटी झोत दीपन</t>
  </si>
  <si>
    <t>decorative illumination</t>
  </si>
  <si>
    <t>सजावटी दीपन</t>
  </si>
  <si>
    <t>decoupling</t>
  </si>
  <si>
    <t>वियुग्मन (न.)</t>
  </si>
  <si>
    <t>decoupling filter</t>
  </si>
  <si>
    <t>वियुग्मन गाळणी</t>
  </si>
  <si>
    <t>decrement</t>
  </si>
  <si>
    <t>१ क्षय (पु.), घट (स्त्री.) २ क्षयांक (पु.)</t>
  </si>
  <si>
    <t>deep freezing</t>
  </si>
  <si>
    <t>एअतिहिमीकरण (न.)</t>
  </si>
  <si>
    <t>definate time-lag</t>
  </si>
  <si>
    <t>definite time control</t>
  </si>
  <si>
    <t>निश्चित काल नियंत्रण</t>
  </si>
  <si>
    <t>definite time delay</t>
  </si>
  <si>
    <t>निश्चित काल विलंब</t>
  </si>
  <si>
    <t>definite time over-current</t>
  </si>
  <si>
    <t>निश्चित काल अतिधारा</t>
  </si>
  <si>
    <t>deflecting field</t>
  </si>
  <si>
    <t>विक्षेपी क्षेत्र</t>
  </si>
  <si>
    <t>deflection</t>
  </si>
  <si>
    <t>१ विक्षेपण (न.) २ विक्षेप (पु.)</t>
  </si>
  <si>
    <t>deflective sensitivity</t>
  </si>
  <si>
    <t>विक्षेपी संवेदनता</t>
  </si>
  <si>
    <t>deflector</t>
  </si>
  <si>
    <t>विक्षेपी (पु.), विक्षेपक (पु.)</t>
  </si>
  <si>
    <t>deflector coil</t>
  </si>
  <si>
    <t>विक्षेपी कुंडल</t>
  </si>
  <si>
    <t>deflector plate</t>
  </si>
  <si>
    <t>विक्षेपी पत्री</t>
  </si>
  <si>
    <t>defrosting</t>
  </si>
  <si>
    <t>विहिमन (न.), अपहिमन (न.)</t>
  </si>
  <si>
    <t>degenerated</t>
  </si>
  <si>
    <t>अपजात</t>
  </si>
  <si>
    <t>degeneration</t>
  </si>
  <si>
    <t>अपजनन (न.)</t>
  </si>
  <si>
    <t>degenerative amplifier</t>
  </si>
  <si>
    <t>अपजनन प्रवर्धी</t>
  </si>
  <si>
    <t>degenerative reaction</t>
  </si>
  <si>
    <t>अपजनन प्रतिक्रिया</t>
  </si>
  <si>
    <t>deion</t>
  </si>
  <si>
    <t>विआयन (पु.)</t>
  </si>
  <si>
    <t>deion principle</t>
  </si>
  <si>
    <t>विआयन तत्त्व</t>
  </si>
  <si>
    <t>delay</t>
  </si>
  <si>
    <t>विलंब (पु.)</t>
  </si>
  <si>
    <t>delay error</t>
  </si>
  <si>
    <t>विलंब त्रुटि</t>
  </si>
  <si>
    <t>delay time in amplifier</t>
  </si>
  <si>
    <t>प्रवर्धीतील विलंबकाल</t>
  </si>
  <si>
    <t>Dellinger effect</t>
  </si>
  <si>
    <t>डिलिंजर परिणाम</t>
  </si>
  <si>
    <t>delta</t>
  </si>
  <si>
    <t>त्रिभुज (पु.), डेल्टा (पु.)</t>
  </si>
  <si>
    <t>delta antenna</t>
  </si>
  <si>
    <t>त्रिभुज आकाशग, डेल्टा आकाशग</t>
  </si>
  <si>
    <t>delta connection</t>
  </si>
  <si>
    <t>डेल्टा जोडणी</t>
  </si>
  <si>
    <t>(also delta connection)</t>
  </si>
  <si>
    <t>delta current</t>
  </si>
  <si>
    <t>डेल्टा धारा</t>
  </si>
  <si>
    <t>delta grouping</t>
  </si>
  <si>
    <t>डेल्टा समूहन</t>
  </si>
  <si>
    <t>delta rays</t>
  </si>
  <si>
    <t>डेल्टा किरण (पु.अ.व.)</t>
  </si>
  <si>
    <t>delta three-phase system</t>
  </si>
  <si>
    <t>डेल्टा त्रिप्रावस्था पद्धति</t>
  </si>
  <si>
    <t>delta transformer connection</t>
  </si>
  <si>
    <t>डेल्टा परिर्तित्र जोडणी</t>
  </si>
  <si>
    <t>delta voltage</t>
  </si>
  <si>
    <t>डेल्टा व्होल्टता</t>
  </si>
  <si>
    <t>delta Y connection</t>
  </si>
  <si>
    <t>डेल्टा Y जोडणी</t>
  </si>
  <si>
    <t>(also delta Y connection )</t>
  </si>
  <si>
    <t>delux lamp</t>
  </si>
  <si>
    <t>डीलक्स दीप, शाही दीप</t>
  </si>
  <si>
    <t>demagnetisation</t>
  </si>
  <si>
    <t>विचुंबकन (न.)</t>
  </si>
  <si>
    <t>demagnetisation current</t>
  </si>
  <si>
    <t>विचुंबकन धारा</t>
  </si>
  <si>
    <t>demagnetisation effect</t>
  </si>
  <si>
    <t>विचुंबकन प्रभाव</t>
  </si>
  <si>
    <t>demagnetisation flux</t>
  </si>
  <si>
    <t>विचुंबकन अभिवाह</t>
  </si>
  <si>
    <t>demagnetising force</t>
  </si>
  <si>
    <t>demand current</t>
  </si>
  <si>
    <t>साधित धारा</t>
  </si>
  <si>
    <t>demand indicator</t>
  </si>
  <si>
    <t>मागणी दर्शी</t>
  </si>
  <si>
    <t>demand integrating period</t>
  </si>
  <si>
    <t>मागणी संकलक काल</t>
  </si>
  <si>
    <t>demand meter</t>
  </si>
  <si>
    <t>मागणीमापी (पु.)</t>
  </si>
  <si>
    <t>demand meter classification</t>
  </si>
  <si>
    <t>मागणीमापी वर्गीकरण</t>
  </si>
  <si>
    <t>demarcation current</t>
  </si>
  <si>
    <t>सीमांकन धारा</t>
  </si>
  <si>
    <t>demodulate</t>
  </si>
  <si>
    <t>निरापरिवर्तन करणे, निरापरिवर्तन होणे</t>
  </si>
  <si>
    <t>demonstration</t>
  </si>
  <si>
    <t>प्रयोगनिर्देशन (न.), प्रात्यक्षिक (न.)</t>
  </si>
  <si>
    <t>density</t>
  </si>
  <si>
    <t>घनता (स्त्री.)</t>
  </si>
  <si>
    <t>density flux</t>
  </si>
  <si>
    <t>अभिवाह घनता</t>
  </si>
  <si>
    <t>density of charge</t>
  </si>
  <si>
    <t>density of current</t>
  </si>
  <si>
    <t>density of electrification</t>
  </si>
  <si>
    <t>विद्युतभारण घनता</t>
  </si>
  <si>
    <t>density of field</t>
  </si>
  <si>
    <t>क्षेत्र घनता</t>
  </si>
  <si>
    <t>dependent variable</t>
  </si>
  <si>
    <t>परचल (पु.)</t>
  </si>
  <si>
    <t>depolarisation</t>
  </si>
  <si>
    <t>विधुवीकरण (न.)</t>
  </si>
  <si>
    <t>deposition</t>
  </si>
  <si>
    <t>निक्षेपण (न.)</t>
  </si>
  <si>
    <t>depreciation factor</t>
  </si>
  <si>
    <t>घसारा अंक</t>
  </si>
  <si>
    <t>depth</t>
  </si>
  <si>
    <t>गहनता (स्त्री.)</t>
  </si>
  <si>
    <t>depth of modulation</t>
  </si>
  <si>
    <t>आपरिवर्तन गहनता</t>
  </si>
  <si>
    <t>derived</t>
  </si>
  <si>
    <t>साधित, अनुजात</t>
  </si>
  <si>
    <t>derived circuit</t>
  </si>
  <si>
    <t>साधित परिपथ</t>
  </si>
  <si>
    <t>derived filter</t>
  </si>
  <si>
    <t>साधित गाळणी</t>
  </si>
  <si>
    <t>derived units</t>
  </si>
  <si>
    <t>साधित एकके (न.अ.व.)</t>
  </si>
  <si>
    <t>desiccation of cable</t>
  </si>
  <si>
    <t>केबल शुष्कन</t>
  </si>
  <si>
    <t>desiccator</t>
  </si>
  <si>
    <t>शुष्कनपात्र (न.)</t>
  </si>
  <si>
    <t>design</t>
  </si>
  <si>
    <t>संकल्पन (न.)</t>
  </si>
  <si>
    <t>design of fittings</t>
  </si>
  <si>
    <t>जुळण संकल्पन</t>
  </si>
  <si>
    <t>design test</t>
  </si>
  <si>
    <t>संकल्पन चाचणी</t>
  </si>
  <si>
    <t>destructive read-in</t>
  </si>
  <si>
    <t>लोपकारी अंतर्नोंद</t>
  </si>
  <si>
    <t>(also destructive writein)</t>
  </si>
  <si>
    <t>destructive read-out</t>
  </si>
  <si>
    <t>लोपकारी बहिर्नोंद</t>
  </si>
  <si>
    <t>(also destructive write-out)</t>
  </si>
  <si>
    <t>destructive write - out</t>
  </si>
  <si>
    <t>destructive write-in</t>
  </si>
  <si>
    <t>detachable key switch</t>
  </si>
  <si>
    <t>विलगी चावी स्विच</t>
  </si>
  <si>
    <t>detection</t>
  </si>
  <si>
    <t>शोधन (न.)</t>
  </si>
  <si>
    <t>detection of error</t>
  </si>
  <si>
    <t>त्रुटि शोधन</t>
  </si>
  <si>
    <t>detector</t>
  </si>
  <si>
    <t>शोधी (पु.)</t>
  </si>
  <si>
    <t>detector galvanometer</t>
  </si>
  <si>
    <t>शोधी गॅल्व्हॉनोमापी</t>
  </si>
  <si>
    <t>determination</t>
  </si>
  <si>
    <t>निश्चयन (न.), निर्धारण (न.), निश्चितीकरण (न.), निश्चिति (स्त्री.)</t>
  </si>
  <si>
    <t>detonator</t>
  </si>
  <si>
    <t>विस्फोटक (पु.)</t>
  </si>
  <si>
    <t>detour</t>
  </si>
  <si>
    <t>वळणाचा मार्ग (पु.)</t>
  </si>
  <si>
    <t>detuning</t>
  </si>
  <si>
    <t>विमेलन (न.)</t>
  </si>
  <si>
    <t>detuning spade</t>
  </si>
  <si>
    <t>विमेलन फावडे, विमेलन खोरे</t>
  </si>
  <si>
    <t>deviation</t>
  </si>
  <si>
    <t>विचलन (न.)</t>
  </si>
  <si>
    <t>deviation ratio</t>
  </si>
  <si>
    <t>विचलन गुणोत्तर</t>
  </si>
  <si>
    <t>device</t>
  </si>
  <si>
    <t>साधन (न.), क्लप्ति (स्त्री.)</t>
  </si>
  <si>
    <t>deviding network</t>
  </si>
  <si>
    <t>विभाजी जालव्यूह</t>
  </si>
  <si>
    <t>diacritical current</t>
  </si>
  <si>
    <t>अर्धक्रांतिक धारा</t>
  </si>
  <si>
    <t>diacritical number</t>
  </si>
  <si>
    <t>अर्धक्रांतिक अंक</t>
  </si>
  <si>
    <t>diacritical point</t>
  </si>
  <si>
    <t>अर्धक्रांतिक बिंदु</t>
  </si>
  <si>
    <t>diagram</t>
  </si>
  <si>
    <t>रेखाकृति (स्त्री.), आकृति (स्त्री.)</t>
  </si>
  <si>
    <t>dial</t>
  </si>
  <si>
    <t>तबकडी (स्त्री.)</t>
  </si>
  <si>
    <t>dial bridge</t>
  </si>
  <si>
    <t>तबकडी सेतु</t>
  </si>
  <si>
    <t>dial pattern bridge</t>
  </si>
  <si>
    <t>dial telegraphy</t>
  </si>
  <si>
    <t>तबकडी दूरलेखन</t>
  </si>
  <si>
    <t>dial telephone</t>
  </si>
  <si>
    <t>तबकडी दूरध्वनी</t>
  </si>
  <si>
    <t>dial tone</t>
  </si>
  <si>
    <t>तबकडी स्वर</t>
  </si>
  <si>
    <t>dialling</t>
  </si>
  <si>
    <t>१ अंकपृष्ठन (न.) (as in duplex dialling द्विपथ अंकपृष्ठन) २ तबकडन (न.)</t>
  </si>
  <si>
    <t>diamagnetic permeability</t>
  </si>
  <si>
    <t>प्रतिचुंबकीय पार्यता</t>
  </si>
  <si>
    <t>diamagnetic polarity</t>
  </si>
  <si>
    <t>प्रतिचुंबकीय धुवता</t>
  </si>
  <si>
    <t>diamagnetism</t>
  </si>
  <si>
    <t>प्रतिचुंबकत्व (न.)</t>
  </si>
  <si>
    <t>diamagnetometer</t>
  </si>
  <si>
    <t>प्रतिचुंबकत्वमापी (पु.)</t>
  </si>
  <si>
    <t>diameter of commutation</t>
  </si>
  <si>
    <t>संपरिवर्तन व्यास</t>
  </si>
  <si>
    <t>diametral connection</t>
  </si>
  <si>
    <t>व्यासीय जोडणी</t>
  </si>
  <si>
    <t>(also diametrical connection)</t>
  </si>
  <si>
    <t>diametral voltage</t>
  </si>
  <si>
    <t>व्यासीय व्होल्टता</t>
  </si>
  <si>
    <t>diametrical connection</t>
  </si>
  <si>
    <t>diametrical winding</t>
  </si>
  <si>
    <t>१ व्यासीय कुंडलन, सीमेन्स कुंडलन २ व्यासीय कुंडल, सीमेन्स कुंडल</t>
  </si>
  <si>
    <t>(also Siemens winding)</t>
  </si>
  <si>
    <t>diamond antenna</t>
  </si>
  <si>
    <t>चौकट आकाशग</t>
  </si>
  <si>
    <t>diamond winding</t>
  </si>
  <si>
    <t>१ चौकट कुंडलन २ चौकट कुंडल</t>
  </si>
  <si>
    <t>diamond winding construction</t>
  </si>
  <si>
    <t>१ चौकट कुंडलन संरचना २ चौकट कुंडल संरचना</t>
  </si>
  <si>
    <t>diaphragm</t>
  </si>
  <si>
    <t>पटल (न.)</t>
  </si>
  <si>
    <t>diaphragm current</t>
  </si>
  <si>
    <t>पटल धारा</t>
  </si>
  <si>
    <t>diathermy</t>
  </si>
  <si>
    <t>१ अंतस्तापन (न.) २ (as science) अंतस्तापनिकी (स्त्री.)</t>
  </si>
  <si>
    <t>dielectric</t>
  </si>
  <si>
    <t>पराविद्युत-</t>
  </si>
  <si>
    <t>dielectric absorption</t>
  </si>
  <si>
    <t>पराविद्युत शोषण</t>
  </si>
  <si>
    <t>dielectric capacity</t>
  </si>
  <si>
    <t>पराविद्युत धारिता, पराविद्युत धारकता</t>
  </si>
  <si>
    <t>dielectric circuit</t>
  </si>
  <si>
    <t>पराविद्युत परिपथ</t>
  </si>
  <si>
    <t>dielectric constant</t>
  </si>
  <si>
    <t>पराविद्युत स्थिरांक, पराविद्युतांक (पु.)</t>
  </si>
  <si>
    <t>dielectric constant of ionosphere</t>
  </si>
  <si>
    <t>आयनावरण पराविद्युत स्थिरांक</t>
  </si>
  <si>
    <t>dielectric current</t>
  </si>
  <si>
    <t>पराविद्युत धारा</t>
  </si>
  <si>
    <t>dielectric equipotential line</t>
  </si>
  <si>
    <t>पराविद्युत समविभव रेषा</t>
  </si>
  <si>
    <t>dielectric flux</t>
  </si>
  <si>
    <t>पराविद्युत अभिवाह</t>
  </si>
  <si>
    <t>dielectric flux density</t>
  </si>
  <si>
    <t>पराविद्युत अभिवाह घनता</t>
  </si>
  <si>
    <t>dielectric heating</t>
  </si>
  <si>
    <t>पराविद्युत ऊष्मन</t>
  </si>
  <si>
    <t>dielectric hysteresis</t>
  </si>
  <si>
    <t>पराविद्युत पश्चशीलता</t>
  </si>
  <si>
    <t>dielectric loss</t>
  </si>
  <si>
    <t>पराविद्युत हानि</t>
  </si>
  <si>
    <t>dielectric power</t>
  </si>
  <si>
    <t>पराविद्युत शक्ति</t>
  </si>
  <si>
    <t>dielectric power factor</t>
  </si>
  <si>
    <t>पराविद्युत शक्ति अंक</t>
  </si>
  <si>
    <t>dielectric resistance</t>
  </si>
  <si>
    <t>पराविद्युत रोध</t>
  </si>
  <si>
    <t>dielectric spark lag</t>
  </si>
  <si>
    <t>पराविद्युत स्फुल्लिंग पश्चता</t>
  </si>
  <si>
    <t>dielectric strain</t>
  </si>
  <si>
    <t>पराविद्युत ताण</t>
  </si>
  <si>
    <t>dielectric strength</t>
  </si>
  <si>
    <t>पराविद्युत सामर्थ्य</t>
  </si>
  <si>
    <t>dielectric stress</t>
  </si>
  <si>
    <t>पराविद्युत प्रतिबल</t>
  </si>
  <si>
    <t>dielectric test</t>
  </si>
  <si>
    <t>पराविद्युत चाचणी</t>
  </si>
  <si>
    <t>dielectric viscosity</t>
  </si>
  <si>
    <t>पराविद्युत विष्यंदिता</t>
  </si>
  <si>
    <t>diesel electric drive</t>
  </si>
  <si>
    <t>डिझेल विद्युत चालन</t>
  </si>
  <si>
    <t>difference</t>
  </si>
  <si>
    <t>अंतर (न.)</t>
  </si>
  <si>
    <t>difference frequency</t>
  </si>
  <si>
    <t>अंतर वारंवारता</t>
  </si>
  <si>
    <t>difference of electric pressure</t>
  </si>
  <si>
    <t>विद्युत दाब अंतर</t>
  </si>
  <si>
    <t>differenital leakage field</t>
  </si>
  <si>
    <t>भेददर्शी गलन क्षेत्र</t>
  </si>
  <si>
    <t>differential</t>
  </si>
  <si>
    <t>भेददर्शी, भेदात्मक, विभेदी</t>
  </si>
  <si>
    <t>differential arc lamp</t>
  </si>
  <si>
    <t>भेदात्मक प्रज्योत दीप</t>
  </si>
  <si>
    <t>differential booster</t>
  </si>
  <si>
    <t>भेदात्मक वर्धी</t>
  </si>
  <si>
    <t>differential cascade system</t>
  </si>
  <si>
    <t>विभेदी सोपानी पद्धति</t>
  </si>
  <si>
    <t>differential compound-wound dynamo</t>
  </si>
  <si>
    <t>भेदात्मक संयुक्त कुंडलित जनित्र</t>
  </si>
  <si>
    <t>differential condenser</t>
  </si>
  <si>
    <t>भेदात्मक धारित्र</t>
  </si>
  <si>
    <t>differential duplex system</t>
  </si>
  <si>
    <t>भेदात्मक द्विपथ पद्धति</t>
  </si>
  <si>
    <t>differential duplex telegraph system</t>
  </si>
  <si>
    <t>भेदात्मक द्विपथ दूरलेख पद्धति</t>
  </si>
  <si>
    <t>differential electricl bell</t>
  </si>
  <si>
    <t>भेदात्मक विद्युत घंटी</t>
  </si>
  <si>
    <t>differential galvanometer</t>
  </si>
  <si>
    <t>भेदात्मक गॅल्व्हानोमापी, भेददर्शी गॅल्व्हानोमापी</t>
  </si>
  <si>
    <t>differential galvanometer method</t>
  </si>
  <si>
    <t>भेदात्मक गॅल्व्हानोमापी पद्धति, भेददर्शी गॅल्व्हानोमापी पद्धति</t>
  </si>
  <si>
    <t>differential input operational amplifier</t>
  </si>
  <si>
    <t>भेददर्शी आगत परिकर्मीय प्रवर्धी</t>
  </si>
  <si>
    <t>differential instrument</t>
  </si>
  <si>
    <t>भेदात्मक उपकरण, भेददर्शी उपकरण</t>
  </si>
  <si>
    <t>differential leakage flux</t>
  </si>
  <si>
    <t>भेददर्शी गलन अभिवाह</t>
  </si>
  <si>
    <t>differential method</t>
  </si>
  <si>
    <t>भेदात्मक रीति</t>
  </si>
  <si>
    <t>differential protection</t>
  </si>
  <si>
    <t>भेदात्मक रक्षण</t>
  </si>
  <si>
    <t>differential relay</t>
  </si>
  <si>
    <t>भेदात्मक पुनरेषी</t>
  </si>
  <si>
    <t>differential state equation</t>
  </si>
  <si>
    <t>भेददर्शी अवस्था समीकरण</t>
  </si>
  <si>
    <t>differential winding</t>
  </si>
  <si>
    <t>भेददर्शी कुंडल</t>
  </si>
  <si>
    <t>differentiating circuit</t>
  </si>
  <si>
    <t>विकलन परिपथ</t>
  </si>
  <si>
    <t>diffraction</t>
  </si>
  <si>
    <t>विवर्तन (न.)</t>
  </si>
  <si>
    <t>diffraction grating</t>
  </si>
  <si>
    <t>विवर्तन जाळी</t>
  </si>
  <si>
    <t>diffuse and specular reflection</t>
  </si>
  <si>
    <t>विसारी व दर्पणी परावर्तन</t>
  </si>
  <si>
    <t>diffuse reflection</t>
  </si>
  <si>
    <t>विसारित परावर्तन</t>
  </si>
  <si>
    <t>diffuse transmission</t>
  </si>
  <si>
    <t>विसारित पारेषण</t>
  </si>
  <si>
    <t>diffuse transmission factor</t>
  </si>
  <si>
    <t>विसारण पारेषण गुणांक</t>
  </si>
  <si>
    <t>diffuser</t>
  </si>
  <si>
    <t>विसारक (पु.), विसारी (पु.)</t>
  </si>
  <si>
    <t>diffusing acrylic cover</t>
  </si>
  <si>
    <t>विसारणकारी ऍक्रिलिक आवरण</t>
  </si>
  <si>
    <t>diffusing fittings</t>
  </si>
  <si>
    <t>विसारी जुळण</t>
  </si>
  <si>
    <t>diffusing glass</t>
  </si>
  <si>
    <t>विसारी काच</t>
  </si>
  <si>
    <t>diffusion</t>
  </si>
  <si>
    <t>विसारण (न.)</t>
  </si>
  <si>
    <t>diffusion of electric current</t>
  </si>
  <si>
    <t>विद्युत धारा विसारण</t>
  </si>
  <si>
    <t>digit</t>
  </si>
  <si>
    <t>अंक (पु.)</t>
  </si>
  <si>
    <t>digital</t>
  </si>
  <si>
    <t>अंकीय</t>
  </si>
  <si>
    <t>digital computor</t>
  </si>
  <si>
    <t>अंकीय संगणित्र</t>
  </si>
  <si>
    <t>dilation</t>
  </si>
  <si>
    <t>विस्तार (पु.)</t>
  </si>
  <si>
    <t>dilution</t>
  </si>
  <si>
    <t>विरलन (न.)</t>
  </si>
  <si>
    <t>dimension of a quantity</t>
  </si>
  <si>
    <t>राशि मिति</t>
  </si>
  <si>
    <t>dimension statement</t>
  </si>
  <si>
    <t>मिति विधान</t>
  </si>
  <si>
    <t>dimmer</t>
  </si>
  <si>
    <t>मंदक (पु.)</t>
  </si>
  <si>
    <t>dimming circuit</t>
  </si>
  <si>
    <t>मंदकारी परिपथ</t>
  </si>
  <si>
    <t>diode</t>
  </si>
  <si>
    <t>डायोड (पु.), द्विअग्री (पु.)</t>
  </si>
  <si>
    <t>diode clipper</t>
  </si>
  <si>
    <t>डायोड कातर</t>
  </si>
  <si>
    <t>diode detector</t>
  </si>
  <si>
    <t>डायोड शोधी</t>
  </si>
  <si>
    <t>diode valve</t>
  </si>
  <si>
    <t>डायोड झडप</t>
  </si>
  <si>
    <t>diopter</t>
  </si>
  <si>
    <t>डायॉप्टर (न.)</t>
  </si>
  <si>
    <t>dioptric lens</t>
  </si>
  <si>
    <t>डायॉप्टर भिंग</t>
  </si>
  <si>
    <t>diphase</t>
  </si>
  <si>
    <t>diphaser</t>
  </si>
  <si>
    <t>द्विप्रावस्थित्र (न.)</t>
  </si>
  <si>
    <t>(also two phase alternator)</t>
  </si>
  <si>
    <t>diplex</t>
  </si>
  <si>
    <t>द्विमुख</t>
  </si>
  <si>
    <t>diplex telegraph</t>
  </si>
  <si>
    <t>द्विमुख दूरलेख</t>
  </si>
  <si>
    <t>dipolar</t>
  </si>
  <si>
    <t>dipole</t>
  </si>
  <si>
    <t>डायपोल (पु.), द्विधुव (पु.)</t>
  </si>
  <si>
    <t>dipole antenna</t>
  </si>
  <si>
    <t>डायपोल आकाशग</t>
  </si>
  <si>
    <t>direct</t>
  </si>
  <si>
    <t>१ सरळ, सरल २ प्रत्यक्ष</t>
  </si>
  <si>
    <t>direct axis field</t>
  </si>
  <si>
    <t>सरळ अक्ष क्षेत्र</t>
  </si>
  <si>
    <t>direct capacitance</t>
  </si>
  <si>
    <t>सरळ धारिता, प्रत्यक्ष धारिता</t>
  </si>
  <si>
    <t>direct capacity</t>
  </si>
  <si>
    <t>सरळ धारिता</t>
  </si>
  <si>
    <t>direct control switchboard</t>
  </si>
  <si>
    <t>सरळ नियंत्रण स्विचफलक</t>
  </si>
  <si>
    <t>direct coupled amplifier</t>
  </si>
  <si>
    <t>सरळ युग्मित प्रवर्धी</t>
  </si>
  <si>
    <t>(D.C. amplifier)</t>
  </si>
  <si>
    <t>direct coupled generating set</t>
  </si>
  <si>
    <t>सरळ युग्मित जनन सट</t>
  </si>
  <si>
    <t>direct coupled generator</t>
  </si>
  <si>
    <t>सरळ युग्मित जनित्र</t>
  </si>
  <si>
    <t>direct coupled machine</t>
  </si>
  <si>
    <t>सरळ युग्मित यंत्र</t>
  </si>
  <si>
    <t>direct coupling</t>
  </si>
  <si>
    <t>सरळ युग्मन</t>
  </si>
  <si>
    <t>direct current</t>
  </si>
  <si>
    <t>दिष्ट धारा</t>
  </si>
  <si>
    <t>(abbr. d.c.)</t>
  </si>
  <si>
    <t>direct current amplifier</t>
  </si>
  <si>
    <t>दिष्ट धारा प्रवर्धी</t>
  </si>
  <si>
    <t>direct current converter</t>
  </si>
  <si>
    <t>दिष्ट धारा रुपांतरित्र</t>
  </si>
  <si>
    <t>direct current elevator motor</t>
  </si>
  <si>
    <t>दिष्ट धारा उन्नायी चलित्र</t>
  </si>
  <si>
    <t>direct current generator</t>
  </si>
  <si>
    <t>दिष्ट धारा जनित्र (दि.धा.जनित्र)</t>
  </si>
  <si>
    <t>d.c. generator</t>
  </si>
  <si>
    <t>direct current motor</t>
  </si>
  <si>
    <t>दिष्ट धारा चलित्र (दि.धा. चलित्र)</t>
  </si>
  <si>
    <t>(d.c.motor)</t>
  </si>
  <si>
    <t>direct current motor principles</t>
  </si>
  <si>
    <t>दिष्ट धारा चलित्र तत्त्वे (न.अ.व.)</t>
  </si>
  <si>
    <t>direct current neutral grid</t>
  </si>
  <si>
    <t>दिष्ट धारा तटस्थ ग्रिड</t>
  </si>
  <si>
    <t>direct current over current relay</t>
  </si>
  <si>
    <t>दिष्ट धारा अतिधारा पुनरेषी</t>
  </si>
  <si>
    <t>direct current reclosing relay</t>
  </si>
  <si>
    <t>दिष्ट धारा पुनर्वेदकरण पुनरेषी</t>
  </si>
  <si>
    <t>direct current track relay</t>
  </si>
  <si>
    <t>दिष्ट धारा मार्ग पुनरेषी</t>
  </si>
  <si>
    <t>direct current vacuum tube voltmeter</t>
  </si>
  <si>
    <t>दिष्ट धारा निर्वात नलिका व्होल्टमापी</t>
  </si>
  <si>
    <t>direct current voltage and current directional relay</t>
  </si>
  <si>
    <t>दिष्ट धारा व्होल्टता व धारा दिशात्मक पुनरेषी</t>
  </si>
  <si>
    <t>direct current voltage transformer</t>
  </si>
  <si>
    <t>दिष्ट धारा व्होल्टता परिवर्तित्र</t>
  </si>
  <si>
    <t>direct deflection method</t>
  </si>
  <si>
    <t>सरळ विक्षेपण रीति</t>
  </si>
  <si>
    <t>direct drive</t>
  </si>
  <si>
    <t>सरळ चालन</t>
  </si>
  <si>
    <t>direct exchange line</t>
  </si>
  <si>
    <t>सरळ विनिमयक तारमार्ग</t>
  </si>
  <si>
    <t>direct excitation transmission</t>
  </si>
  <si>
    <t>सरळ उत्तेजन पारेषण</t>
  </si>
  <si>
    <t>direct expansion system</t>
  </si>
  <si>
    <t>सरळ प्रसरण पद्धति</t>
  </si>
  <si>
    <t>direct inductive coupling</t>
  </si>
  <si>
    <t>सरळ प्रेरितीय युग्मन</t>
  </si>
  <si>
    <t>direct laying</t>
  </si>
  <si>
    <t>सरळ मांडणी</t>
  </si>
  <si>
    <t>direct laying system</t>
  </si>
  <si>
    <t>सरळ मांडणी पद्धति</t>
  </si>
  <si>
    <t>direct lighting</t>
  </si>
  <si>
    <t>सरल दीपन</t>
  </si>
  <si>
    <t>direct lightning stroke</t>
  </si>
  <si>
    <t>सरल तडित आघात</t>
  </si>
  <si>
    <t>direct lightning surge</t>
  </si>
  <si>
    <t>सरल तडित उल्लोल</t>
  </si>
  <si>
    <t>direct line</t>
  </si>
  <si>
    <t>व्यक्तिगत तारमार्ग</t>
  </si>
  <si>
    <t>direct pick up</t>
  </si>
  <si>
    <t>सरळ उद्ग्रहण</t>
  </si>
  <si>
    <t>direct ray</t>
  </si>
  <si>
    <t>सरळ किरण</t>
  </si>
  <si>
    <t>direct resistance heating</t>
  </si>
  <si>
    <t>सरळरोध ऊष्मन</t>
  </si>
  <si>
    <t>direct resistance type electric furnace</t>
  </si>
  <si>
    <t>सरळरोध प्रकारची विद्युतभट्टी</t>
  </si>
  <si>
    <t>direct scanning</t>
  </si>
  <si>
    <t>सरळ क्रमवीक्षण</t>
  </si>
  <si>
    <t>direct selector</t>
  </si>
  <si>
    <t>सरळ वरणित्र</t>
  </si>
  <si>
    <t>direct sounder</t>
  </si>
  <si>
    <t>सरळ ध्वनित्र</t>
  </si>
  <si>
    <t>direct stroke</t>
  </si>
  <si>
    <t>सरळ आघात</t>
  </si>
  <si>
    <t>direct switching starter</t>
  </si>
  <si>
    <t>सरळ स्विचन आरंभी</t>
  </si>
  <si>
    <t>direct transform</t>
  </si>
  <si>
    <t>सरळ रुपांतर</t>
  </si>
  <si>
    <t>direct transmission</t>
  </si>
  <si>
    <t>सरळ पारेषण</t>
  </si>
  <si>
    <t>direct trip</t>
  </si>
  <si>
    <t>सरळ सटक (स्त्री.)</t>
  </si>
  <si>
    <t>direct vision spectroscope</t>
  </si>
  <si>
    <t>सरळ दृक् पिसारणदर्शी</t>
  </si>
  <si>
    <t>direct-reading galvanometer</t>
  </si>
  <si>
    <t>सरळ वाचन गॅल्व्हानोमापी</t>
  </si>
  <si>
    <t>direct-reading potentiometer</t>
  </si>
  <si>
    <t>सरळ वाचन विभवमापी</t>
  </si>
  <si>
    <t>direction finder</t>
  </si>
  <si>
    <t>दिशान्वेषी (पु.), दिशाशोधी (पु.)</t>
  </si>
  <si>
    <t>direction finding</t>
  </si>
  <si>
    <t>दिशाशोधन (न.)</t>
  </si>
  <si>
    <t>direction indicator</t>
  </si>
  <si>
    <t>दिशादर्शी (पु.)</t>
  </si>
  <si>
    <t>direction switch</t>
  </si>
  <si>
    <t>दिशा स्विच</t>
  </si>
  <si>
    <t>directional</t>
  </si>
  <si>
    <t>दिशात्मक</t>
  </si>
  <si>
    <t>directional aerial</t>
  </si>
  <si>
    <t>दिशात्मक आकाशग</t>
  </si>
  <si>
    <t>directional control of lighting</t>
  </si>
  <si>
    <t>दिशात्मक दीपन नियंत्रण</t>
  </si>
  <si>
    <t>directional element</t>
  </si>
  <si>
    <t>दिशात्मक अवयव, दिशात्मक घटक</t>
  </si>
  <si>
    <t>directional overload relay</t>
  </si>
  <si>
    <t>दिशात्मक अतिभार पुनरेषी</t>
  </si>
  <si>
    <t>directional receiver</t>
  </si>
  <si>
    <t>दिशात्मक ग्राही</t>
  </si>
  <si>
    <t>directional relay</t>
  </si>
  <si>
    <t>दिशात्मक पुनरेषी</t>
  </si>
  <si>
    <t>directive</t>
  </si>
  <si>
    <t>दैशिक</t>
  </si>
  <si>
    <t>directivity</t>
  </si>
  <si>
    <t>दैशिकता (स्त्री.)</t>
  </si>
  <si>
    <t>directly earthed system</t>
  </si>
  <si>
    <t>सरल भूसंपर्कित पद्धति</t>
  </si>
  <si>
    <t>also solidly earthed system</t>
  </si>
  <si>
    <t>director</t>
  </si>
  <si>
    <t>दिग्दर्शी (पु.), दिग्दर्शित्र (न.)</t>
  </si>
  <si>
    <t>director meter</t>
  </si>
  <si>
    <t>दिग्दर्शित्रमापी (पु.)</t>
  </si>
  <si>
    <t>director system</t>
  </si>
  <si>
    <t>दिग्दर्शी पद्धति</t>
  </si>
  <si>
    <t>disability glare</t>
  </si>
  <si>
    <t>अतिप्रखर दीप्ति</t>
  </si>
  <si>
    <t>disc</t>
  </si>
  <si>
    <t>चकती (स्त्री.)</t>
  </si>
  <si>
    <t>disc armature</t>
  </si>
  <si>
    <t>चकती आर्मेचर</t>
  </si>
  <si>
    <t>disc discharge</t>
  </si>
  <si>
    <t>चकती निर्भारण</t>
  </si>
  <si>
    <t>disc discharger</t>
  </si>
  <si>
    <t>चकती निर्भारी</t>
  </si>
  <si>
    <t>disc electrode</t>
  </si>
  <si>
    <t>चकती इलेक्ट्रोड</t>
  </si>
  <si>
    <t>disc electrometer</t>
  </si>
  <si>
    <t>चकती विद्युतमापी</t>
  </si>
  <si>
    <t>disc insulator</t>
  </si>
  <si>
    <t>चकती निरोधी</t>
  </si>
  <si>
    <t>disc winding</t>
  </si>
  <si>
    <t>१ चकती कुंडल २ चकती कुंडलन</t>
  </si>
  <si>
    <t>disc wound transformer</t>
  </si>
  <si>
    <t>चकती कुंडलित परिवर्तित्र</t>
  </si>
  <si>
    <t>discharge</t>
  </si>
  <si>
    <t>१ निर्भारण (न.) २ विसर्जन (न.)</t>
  </si>
  <si>
    <t>discharge current of lightning arrester</t>
  </si>
  <si>
    <t>तडित प्रग्राही निर्भारण धारा</t>
  </si>
  <si>
    <t>discharge key</t>
  </si>
  <si>
    <t>निर्भारण कळ</t>
  </si>
  <si>
    <t>discharge lamp</t>
  </si>
  <si>
    <t>निर्भारण दीप</t>
  </si>
  <si>
    <t>discharge path</t>
  </si>
  <si>
    <t>निर्भारण पथ</t>
  </si>
  <si>
    <t>discharge through gases</t>
  </si>
  <si>
    <t>वायूंतून निर्भारण</t>
  </si>
  <si>
    <t>discharge tube</t>
  </si>
  <si>
    <t>निर्भारण नलिका</t>
  </si>
  <si>
    <t>discharger</t>
  </si>
  <si>
    <t>निर्भारी (पु.)</t>
  </si>
  <si>
    <t>discharging</t>
  </si>
  <si>
    <t>निर्भारण (न.)</t>
  </si>
  <si>
    <t>निर्भारी</t>
  </si>
  <si>
    <t>discharging rod</t>
  </si>
  <si>
    <t>निर्भारी कांडे</t>
  </si>
  <si>
    <t>discomfort glare</t>
  </si>
  <si>
    <t>जाचक प्रखरदीप्ति</t>
  </si>
  <si>
    <t>disconnect</t>
  </si>
  <si>
    <t>विसंधान करणे, तोडणे</t>
  </si>
  <si>
    <t>disconnecting switch</t>
  </si>
  <si>
    <t>विसंधानी स्विच</t>
  </si>
  <si>
    <t>disconnection</t>
  </si>
  <si>
    <t>विसंधान (न.), तोडणी (स्त्री.)</t>
  </si>
  <si>
    <t>disconnection fault</t>
  </si>
  <si>
    <t>विसंधान दोष</t>
  </si>
  <si>
    <t>discriminant</t>
  </si>
  <si>
    <t>विवेचक</t>
  </si>
  <si>
    <t>discriminate</t>
  </si>
  <si>
    <t>विभेद करणे, विभेद होणे</t>
  </si>
  <si>
    <t>discriminating cut out</t>
  </si>
  <si>
    <t>विभेदी कट आऊट, विभेदी भंजक</t>
  </si>
  <si>
    <t>discriminating cut out trouble</t>
  </si>
  <si>
    <t>विभेदी भंजक बिघाड</t>
  </si>
  <si>
    <t>discriminating protective system</t>
  </si>
  <si>
    <t>विभेदी रक्षी पद्धति</t>
  </si>
  <si>
    <t>discriminating selector</t>
  </si>
  <si>
    <t>विभेदी वरणित्र</t>
  </si>
  <si>
    <t>discrimination</t>
  </si>
  <si>
    <t>विभेद (पु.), विभेदन (न.)</t>
  </si>
  <si>
    <t>discriminator</t>
  </si>
  <si>
    <t>विभेदी (पु.)</t>
  </si>
  <si>
    <t>disintegration</t>
  </si>
  <si>
    <t>विघटन (न.)</t>
  </si>
  <si>
    <t>disintegration theory</t>
  </si>
  <si>
    <t>विघटन सिद्धांत</t>
  </si>
  <si>
    <t>dispersion</t>
  </si>
  <si>
    <t>विकिरण (न.), अपस्करण (न.)</t>
  </si>
  <si>
    <t>dispersion (leakage) coefficient</t>
  </si>
  <si>
    <t>विकिरण (गलन) गुणांक</t>
  </si>
  <si>
    <t>displacement</t>
  </si>
  <si>
    <t>विस्थापन (न.)</t>
  </si>
  <si>
    <t>disploacement current</t>
  </si>
  <si>
    <t>विस्थापन धारा</t>
  </si>
  <si>
    <t>disruptive</t>
  </si>
  <si>
    <t>विदारी</t>
  </si>
  <si>
    <t>disruptive breakdown</t>
  </si>
  <si>
    <t>विदारी विभंग</t>
  </si>
  <si>
    <t>disruptive discharge</t>
  </si>
  <si>
    <t>विदारी निर्भारण</t>
  </si>
  <si>
    <t>disruptive gradient</t>
  </si>
  <si>
    <t>विदारी प्रवणता</t>
  </si>
  <si>
    <t>disruptive strength</t>
  </si>
  <si>
    <t>विदारी सामर्थ्य</t>
  </si>
  <si>
    <t>disruptive stress</t>
  </si>
  <si>
    <t>विदारी प्रतिबल</t>
  </si>
  <si>
    <t>disruptive voltage</t>
  </si>
  <si>
    <t>विदारी व्होल्टता</t>
  </si>
  <si>
    <t>dissipation</t>
  </si>
  <si>
    <t>अपक्षेपण (न.), अपाकरण (न.)</t>
  </si>
  <si>
    <t>dissipation constant</t>
  </si>
  <si>
    <t>अपक्षेपण स्थिरांक</t>
  </si>
  <si>
    <t>dissipation factor</t>
  </si>
  <si>
    <t>अपक्षेपण अंक</t>
  </si>
  <si>
    <t>dissipation of energy</t>
  </si>
  <si>
    <t>ऊर्जा अपक्षेपण</t>
  </si>
  <si>
    <t>dissipator</t>
  </si>
  <si>
    <t>अपक्षेपी (पु.)</t>
  </si>
  <si>
    <t>dissociation</t>
  </si>
  <si>
    <t>विचरण (न.)</t>
  </si>
  <si>
    <t>dissonance</t>
  </si>
  <si>
    <t>विसंवादिता (स्त्री.)</t>
  </si>
  <si>
    <t>dissymmetrical alternations</t>
  </si>
  <si>
    <t>असमानित प्रत्यावर्तने (न.अ.व.)</t>
  </si>
  <si>
    <t>distinct vision</t>
  </si>
  <si>
    <t>स्पष्ट दृष्टि</t>
  </si>
  <si>
    <t>distortion</t>
  </si>
  <si>
    <t>विकृति (स्त्री.)</t>
  </si>
  <si>
    <t>distortion effect</t>
  </si>
  <si>
    <t>विकृति प्रभाव, विकृति परिणाम</t>
  </si>
  <si>
    <t>distortion in amplifier</t>
  </si>
  <si>
    <t>प्रवर्धीतील विकृति</t>
  </si>
  <si>
    <t>distortion measurement</t>
  </si>
  <si>
    <t>विकृति मापन</t>
  </si>
  <si>
    <t>distortion of field</t>
  </si>
  <si>
    <t>क्षेत्र विकृति</t>
  </si>
  <si>
    <t>distributed</t>
  </si>
  <si>
    <t>वितरित</t>
  </si>
  <si>
    <t>distributed armature winding</t>
  </si>
  <si>
    <t>वितरित आर्मेचर कुंडलन</t>
  </si>
  <si>
    <t>distributed capacitance</t>
  </si>
  <si>
    <t>वितरित धारिता</t>
  </si>
  <si>
    <t>distributed capacity</t>
  </si>
  <si>
    <t>वितरित धारिता, वितरित धारकता</t>
  </si>
  <si>
    <t>distributed constant</t>
  </si>
  <si>
    <t>वितरित स्थिरांक</t>
  </si>
  <si>
    <t>distributed core transformer</t>
  </si>
  <si>
    <t>वितरित क्रोड परिवर्तित्र</t>
  </si>
  <si>
    <t>distributed inductance</t>
  </si>
  <si>
    <t>वितरित प्रेरितता</t>
  </si>
  <si>
    <t>distributed load</t>
  </si>
  <si>
    <t>वितरित भार</t>
  </si>
  <si>
    <t>distributed parameter</t>
  </si>
  <si>
    <t>वितरित प्राचल</t>
  </si>
  <si>
    <t>distributed winding</t>
  </si>
  <si>
    <t>१ वितरित कुंडलन २ वितरित कुंडल</t>
  </si>
  <si>
    <t>distributing board</t>
  </si>
  <si>
    <t>वितरण फलक</t>
  </si>
  <si>
    <t>(also distribution board)</t>
  </si>
  <si>
    <t>distributing main</t>
  </si>
  <si>
    <t>वितरण प्रधानवाही</t>
  </si>
  <si>
    <t>distribution</t>
  </si>
  <si>
    <t>वितरण (न.)</t>
  </si>
  <si>
    <t>distribution board</t>
  </si>
  <si>
    <t>distribution coefficient</t>
  </si>
  <si>
    <t>वितरण गुणांक</t>
  </si>
  <si>
    <t>distribution of charge</t>
  </si>
  <si>
    <t>प्रभार वितरण</t>
  </si>
  <si>
    <t>distribution of magnetism</t>
  </si>
  <si>
    <t>चुंबकत्व वितरण</t>
  </si>
  <si>
    <t>distribution point</t>
  </si>
  <si>
    <t>वितरण बिंदु</t>
  </si>
  <si>
    <t>distribution switchboard</t>
  </si>
  <si>
    <t>वितरण स्विचफलक</t>
  </si>
  <si>
    <t>distribution system</t>
  </si>
  <si>
    <t>वितरण संस्था</t>
  </si>
  <si>
    <t>distributor</t>
  </si>
  <si>
    <t>१ वितरी (पु.) २ (as of automobile) वितरित्र (न.) ३ (as of lines) वितरण प्रधानवाही (पु.)</t>
  </si>
  <si>
    <t>distributor factor</t>
  </si>
  <si>
    <t>वितरणांक (पु.)</t>
  </si>
  <si>
    <t>disturbance</t>
  </si>
  <si>
    <t>विक्षोभ (पु.)</t>
  </si>
  <si>
    <t>diurnal variation</t>
  </si>
  <si>
    <t>diverging lens</t>
  </si>
  <si>
    <t>अपसारी भिंग</t>
  </si>
  <si>
    <t>diversity</t>
  </si>
  <si>
    <t>विविधता (स्त्री.)</t>
  </si>
  <si>
    <t>diversity antenna</t>
  </si>
  <si>
    <t>विविधता आकाशग</t>
  </si>
  <si>
    <t>diversity factor</t>
  </si>
  <si>
    <t>विविधतांक (पु.)</t>
  </si>
  <si>
    <t>diversity receiver</t>
  </si>
  <si>
    <t>विविधता ग्राही</t>
  </si>
  <si>
    <t>diverter pulley</t>
  </si>
  <si>
    <t>अपवाही कप्पी</t>
  </si>
  <si>
    <t>diverter switch</t>
  </si>
  <si>
    <t>अपवाही स्विच</t>
  </si>
  <si>
    <t>(also transfer switch)</t>
  </si>
  <si>
    <t>divider</t>
  </si>
  <si>
    <t>विभाजी (पु.)</t>
  </si>
  <si>
    <t>division frequency</t>
  </si>
  <si>
    <t>विभाजन वारंवारता</t>
  </si>
  <si>
    <t>domain</t>
  </si>
  <si>
    <t>अधिक्षेत्र (न.)</t>
  </si>
  <si>
    <t>domestic lighting</t>
  </si>
  <si>
    <t>घरगुती दीपन</t>
  </si>
  <si>
    <t>dominant wavelength</t>
  </si>
  <si>
    <t>वर्चस्वी तरंगलांबी</t>
  </si>
  <si>
    <t>door</t>
  </si>
  <si>
    <t>द्वार (न.)</t>
  </si>
  <si>
    <t>door control switch</t>
  </si>
  <si>
    <t>द्वार संपर्क स्विच</t>
  </si>
  <si>
    <t>door operator</t>
  </si>
  <si>
    <t>द्वार परिकर्मी</t>
  </si>
  <si>
    <t>(also gate operator)</t>
  </si>
  <si>
    <t>door switch</t>
  </si>
  <si>
    <t>द्वार स्विच</t>
  </si>
  <si>
    <t>Doppler effect</t>
  </si>
  <si>
    <t>डॉप्लर परिणाम</t>
  </si>
  <si>
    <t>dot and dash code</t>
  </si>
  <si>
    <t>बिंदु आणि रेखिका कूट</t>
  </si>
  <si>
    <t>double antenna</t>
  </si>
  <si>
    <t>द्विक आकाशग</t>
  </si>
  <si>
    <t>double armature winding</t>
  </si>
  <si>
    <t>दुहेरी आर्मेचर कुंडलन</t>
  </si>
  <si>
    <t>double block</t>
  </si>
  <si>
    <t>दुहेरी ब्लॉक</t>
  </si>
  <si>
    <t>double block duplex</t>
  </si>
  <si>
    <t>दुहेरी अवरोधी द्विपथ</t>
  </si>
  <si>
    <t>(in telegraphy)</t>
  </si>
  <si>
    <t>double break switch</t>
  </si>
  <si>
    <t>द्विभंजक स्विच</t>
  </si>
  <si>
    <t>double circuit dynamo</t>
  </si>
  <si>
    <t>द्विपरिपथ जनित्र</t>
  </si>
  <si>
    <t>double circuit tower</t>
  </si>
  <si>
    <t>द्विपरिपथ मनोरा, द्विपरिपथ टॉवर</t>
  </si>
  <si>
    <t>double current</t>
  </si>
  <si>
    <t>द्विधारा (स्त्री.)</t>
  </si>
  <si>
    <t>double current system</t>
  </si>
  <si>
    <t>द्विधारा पद्धति</t>
  </si>
  <si>
    <t>double current telegraphy</t>
  </si>
  <si>
    <t>द्विधारा दूरलेखन</t>
  </si>
  <si>
    <t>double current transmitter</t>
  </si>
  <si>
    <t>द्विधारा पारेषित्र</t>
  </si>
  <si>
    <t>double diamond antenna</t>
  </si>
  <si>
    <t>द्विक चौकट आकाशग</t>
  </si>
  <si>
    <t>double diode</t>
  </si>
  <si>
    <t>double disc winding</t>
  </si>
  <si>
    <t>१ दुहेरी चकती कुंडल २ दुहेरी चकती कुंडलन</t>
  </si>
  <si>
    <t>double monochromator</t>
  </si>
  <si>
    <t>दुहेरी एकवर्णित्र</t>
  </si>
  <si>
    <t>double pan pantograph</t>
  </si>
  <si>
    <t>द्विपट्ट पंजा</t>
  </si>
  <si>
    <t>double parallel winding</t>
  </si>
  <si>
    <t>१ दुहेरी समांतर कुंडलन २ दुहेरी समांतर कुंडल</t>
  </si>
  <si>
    <t>double phantom circuit</t>
  </si>
  <si>
    <t>द्वि-आभासी परिपथ</t>
  </si>
  <si>
    <t>double phase</t>
  </si>
  <si>
    <t>double pole double throw switch</t>
  </si>
  <si>
    <t>द्विधुवी द्विक्षेपी स्विच</t>
  </si>
  <si>
    <t>(D.P.D.T. switch)</t>
  </si>
  <si>
    <t>double pole receiver</t>
  </si>
  <si>
    <t>double pole single throw switch</t>
  </si>
  <si>
    <t>द्विधुवी एकक्षेपी स्विच</t>
  </si>
  <si>
    <t>double pole structure</t>
  </si>
  <si>
    <t>दुखांबी संरचना</t>
  </si>
  <si>
    <t>double series parallel control</t>
  </si>
  <si>
    <t>दुहेरी श्रेणी समांतर नियंत्रण</t>
  </si>
  <si>
    <t>double shackle</t>
  </si>
  <si>
    <t>द्विनिगड (स्त्री.)</t>
  </si>
  <si>
    <t>double squirrel cage motor</t>
  </si>
  <si>
    <t>द्विपंजर चलित्र</t>
  </si>
  <si>
    <t>double throw</t>
  </si>
  <si>
    <t>द्विक्षेप (पु.)</t>
  </si>
  <si>
    <t>double throw switch</t>
  </si>
  <si>
    <t>द्विक्षेपी स्विच</t>
  </si>
  <si>
    <t>double transmisison</t>
  </si>
  <si>
    <t>दुहेरी पारेषण</t>
  </si>
  <si>
    <t>double transmitter</t>
  </si>
  <si>
    <t>द्विपारेषित्र (न.)</t>
  </si>
  <si>
    <t>double tuned</t>
  </si>
  <si>
    <t>द्विमेलित</t>
  </si>
  <si>
    <t>double tuned amplifier</t>
  </si>
  <si>
    <t>द्विमेलित प्रवर्धी</t>
  </si>
  <si>
    <t>double winding</t>
  </si>
  <si>
    <t>१ दुहेरी कुंडलन २ दुहेरी कुंडल</t>
  </si>
  <si>
    <t>double-current generator</t>
  </si>
  <si>
    <t>द्विधारा जनित्र</t>
  </si>
  <si>
    <t>doubler</t>
  </si>
  <si>
    <t>१ द्विगुणकारी (पु.) २ द्विगुणक (पु.)</t>
  </si>
  <si>
    <t>doublet</t>
  </si>
  <si>
    <t>द्विक (न.)</t>
  </si>
  <si>
    <t>doublet antenna</t>
  </si>
  <si>
    <t>drain connection</t>
  </si>
  <si>
    <t>निचरा जोडणी</t>
  </si>
  <si>
    <t>draught</t>
  </si>
  <si>
    <t>१ प्रपात (पु.) २ प्रवात (पु.)</t>
  </si>
  <si>
    <t>draw bar pull</t>
  </si>
  <si>
    <t>कर्षण दंड ओढ</t>
  </si>
  <si>
    <t>draw in system</t>
  </si>
  <si>
    <t>अंतःकर्षण पद्धति</t>
  </si>
  <si>
    <t>draw out cubicles</t>
  </si>
  <si>
    <t>बहिष्कर्षण कोष्ठ (पु.अ.व.)</t>
  </si>
  <si>
    <t>drip proof</t>
  </si>
  <si>
    <t>थेंबरक्षित</t>
  </si>
  <si>
    <t>drip proof enclosure</t>
  </si>
  <si>
    <t>थेंबरक्षित परिवेष्टन</t>
  </si>
  <si>
    <t>drive</t>
  </si>
  <si>
    <t>१ चालनी (स्त्री.) २ चाल (स्त्री.) ३ चालन (न.)</t>
  </si>
  <si>
    <t>drive circuit</t>
  </si>
  <si>
    <t>चाल परिपथ</t>
  </si>
  <si>
    <t>drive pulley</t>
  </si>
  <si>
    <t>चालन कप्पी</t>
  </si>
  <si>
    <t>driven antenna</t>
  </si>
  <si>
    <t>चालित आकाशग</t>
  </si>
  <si>
    <t>driver</t>
  </si>
  <si>
    <t>१ उत्तेजक (पु.) २ चालनी (स्त्री.)</t>
  </si>
  <si>
    <t>driver amplifier</t>
  </si>
  <si>
    <t>उउत्तेजक प्रवर्धी</t>
  </si>
  <si>
    <t>driving point impedance</t>
  </si>
  <si>
    <t>चालन बिंदु संरोध</t>
  </si>
  <si>
    <t>driving sheave</t>
  </si>
  <si>
    <t>चालन खाचकप्पी</t>
  </si>
  <si>
    <t>driving trailer</t>
  </si>
  <si>
    <t>चालन अनुसर्पी (पु.)</t>
  </si>
  <si>
    <t>driving unit</t>
  </si>
  <si>
    <t>चालन घटक</t>
  </si>
  <si>
    <t>drop</t>
  </si>
  <si>
    <t>पात (पु.), पतन (न.)</t>
  </si>
  <si>
    <t>drop indicator</t>
  </si>
  <si>
    <t>पात सूचक</t>
  </si>
  <si>
    <t>drop out current</t>
  </si>
  <si>
    <t>बहिःपात धारा</t>
  </si>
  <si>
    <t>drop out fuse</t>
  </si>
  <si>
    <t>बहिःपात वितळतार</t>
  </si>
  <si>
    <t>drop out voltage</t>
  </si>
  <si>
    <t>बहिःपात व्होल्टता</t>
  </si>
  <si>
    <t>dropper</t>
  </si>
  <si>
    <t>पाततार (स्त्री.)</t>
  </si>
  <si>
    <t>dropping characteristic welding set</t>
  </si>
  <si>
    <t>अवनत अभिलक्षण सांधण सट</t>
  </si>
  <si>
    <t>dropping out of step</t>
  </si>
  <si>
    <t>विसंकालन (न.)</t>
  </si>
  <si>
    <t>drum</t>
  </si>
  <si>
    <t>विरंभ (पु.), ड्रम (पु.)</t>
  </si>
  <si>
    <t>drum armature</t>
  </si>
  <si>
    <t>विरंभ आर्मेचर, ड्रम आर्मेचर</t>
  </si>
  <si>
    <t>drum brake</t>
  </si>
  <si>
    <t>विरंभ आरोधी, ड्रम आरोधी</t>
  </si>
  <si>
    <t>drum breaker starter</t>
  </si>
  <si>
    <t>विरंभ वियोजी आरंभी, ड्रम वियोजी आरंभी</t>
  </si>
  <si>
    <t>drum controller</t>
  </si>
  <si>
    <t>विरंभ नियंत्री, ड्रम नियंत्री</t>
  </si>
  <si>
    <t>also drum type controller</t>
  </si>
  <si>
    <t>drum drive</t>
  </si>
  <si>
    <t>विरंभ चालन, ड्रम चालन</t>
  </si>
  <si>
    <t>(also drum type drive)</t>
  </si>
  <si>
    <t>drum starter</t>
  </si>
  <si>
    <t>विरंभ आरंभी, ड्रम आरंभी</t>
  </si>
  <si>
    <t>drum type controller</t>
  </si>
  <si>
    <t>drum type drive</t>
  </si>
  <si>
    <t>drum winding</t>
  </si>
  <si>
    <t>विरंभ कुंडलन, ड्रम कुंडलन</t>
  </si>
  <si>
    <t>dry</t>
  </si>
  <si>
    <t>निर्द्रव, शुष्क</t>
  </si>
  <si>
    <t>dry arc over</t>
  </si>
  <si>
    <t>शुष्क प्रज्योतन</t>
  </si>
  <si>
    <t>dry battery</t>
  </si>
  <si>
    <t>निर्द्रव बॅटरी, शुष्क बॅटरी</t>
  </si>
  <si>
    <t>dry cell</t>
  </si>
  <si>
    <t>शुष्क घट, शुष्क सेल</t>
  </si>
  <si>
    <t>dry flashover</t>
  </si>
  <si>
    <t>शुष्क स्फुल्लिंगन</t>
  </si>
  <si>
    <t>dry flashover voltage</t>
  </si>
  <si>
    <t>शुष्क स्फुल्लिंगन व्होल्टता, शुष्क प्रज्योतन व्होल्टता</t>
  </si>
  <si>
    <t>(also dry sparkover voltage)</t>
  </si>
  <si>
    <t>dry junction rectifier</t>
  </si>
  <si>
    <t>शुष्क संधि दिष्टकारी</t>
  </si>
  <si>
    <t>dry sparkover voltage</t>
  </si>
  <si>
    <t>dry transformer</t>
  </si>
  <si>
    <t>शुष्क परिवर्तित्र</t>
  </si>
  <si>
    <t>dual amplification</t>
  </si>
  <si>
    <t>द्वैती प्रवर्धन</t>
  </si>
  <si>
    <t>dual control</t>
  </si>
  <si>
    <t>१ द्वैती नियंत्रण २ द्वैती नियंत्री</t>
  </si>
  <si>
    <t>dual electrolysis</t>
  </si>
  <si>
    <t>द्वैती विद्युत अपघटन</t>
  </si>
  <si>
    <t>dual ignition</t>
  </si>
  <si>
    <t>द्वैती प्रज्वलन</t>
  </si>
  <si>
    <t>dual lamp</t>
  </si>
  <si>
    <t>द्विविध दीप</t>
  </si>
  <si>
    <t>dual network</t>
  </si>
  <si>
    <t>द्वैती जालव्यूह</t>
  </si>
  <si>
    <t>dual operation</t>
  </si>
  <si>
    <t>द्वैती परिकर्म</t>
  </si>
  <si>
    <t>duality</t>
  </si>
  <si>
    <t>द्वैत (न.)</t>
  </si>
  <si>
    <t>duct</t>
  </si>
  <si>
    <t>वाहिनी (स्त्री.)</t>
  </si>
  <si>
    <t>duct ventilated</t>
  </si>
  <si>
    <t>वाहिनी वातित</t>
  </si>
  <si>
    <t>dull emitter cathode</t>
  </si>
  <si>
    <t>मंद उत्सर्जी कॅथोड</t>
  </si>
  <si>
    <t>dull emitter tube</t>
  </si>
  <si>
    <t>मंद उत्सर्जी नलिका</t>
  </si>
  <si>
    <t>dummy antenna</t>
  </si>
  <si>
    <t>dummy coil</t>
  </si>
  <si>
    <t>निष्क्रिय कुंडल, निष्कर्म कुंडल</t>
  </si>
  <si>
    <t>also idle coil</t>
  </si>
  <si>
    <t>dummy variable</t>
  </si>
  <si>
    <t>नाममात्र चल</t>
  </si>
  <si>
    <t>duplex</t>
  </si>
  <si>
    <t>द्विपथ (पु.)</t>
  </si>
  <si>
    <t>द्विपथी, द्विपथ-</t>
  </si>
  <si>
    <t>duplex armature winding</t>
  </si>
  <si>
    <t>द्विपथ आर्मेचर कुंडलन</t>
  </si>
  <si>
    <t>duplex bridge</t>
  </si>
  <si>
    <t>द्विपथ सेतु</t>
  </si>
  <si>
    <t>duplex dialling</t>
  </si>
  <si>
    <t>द्विपथ अंकपृष्ठन</t>
  </si>
  <si>
    <t>duplex diplex</t>
  </si>
  <si>
    <t>द्विपथ द्विमुख</t>
  </si>
  <si>
    <t>duplex system</t>
  </si>
  <si>
    <t>द्विपथ पद्धति</t>
  </si>
  <si>
    <t>duplicated line</t>
  </si>
  <si>
    <t>द्विगुण तारमार्ग</t>
  </si>
  <si>
    <t>duration</t>
  </si>
  <si>
    <t>अवधि (पु.)</t>
  </si>
  <si>
    <t>dust proof</t>
  </si>
  <si>
    <t>धूलिरक्षित</t>
  </si>
  <si>
    <t>dust proof enclosure</t>
  </si>
  <si>
    <t>धूलिरक्षित परिवेष्टन</t>
  </si>
  <si>
    <t>duty</t>
  </si>
  <si>
    <t>सेवा (स्त्री.)</t>
  </si>
  <si>
    <t>duty cycle</t>
  </si>
  <si>
    <t>सेवा चक्र</t>
  </si>
  <si>
    <t>dynamic</t>
  </si>
  <si>
    <t>गतिक</t>
  </si>
  <si>
    <t>dynamic arc</t>
  </si>
  <si>
    <t>गतिक प्रज्योत</t>
  </si>
  <si>
    <t>dynamic brake</t>
  </si>
  <si>
    <t>गतिक बेक, गतिक आरोधी</t>
  </si>
  <si>
    <t>dynamic characteristics</t>
  </si>
  <si>
    <t>गतिकीय अभिलक्षणे (न.अ.व.)</t>
  </si>
  <si>
    <t>dynamic characteristics of amplifier</t>
  </si>
  <si>
    <t>प्रवर्धीतील गतिकीय अभिलक्षणे (न.अ.व.)</t>
  </si>
  <si>
    <t>dynamic electricity</t>
  </si>
  <si>
    <t>गतिक विद्युत</t>
  </si>
  <si>
    <t>dynamic flashover</t>
  </si>
  <si>
    <t>गतिक स्फुल्लिंगन</t>
  </si>
  <si>
    <t>dynamic impedance</t>
  </si>
  <si>
    <t>गतिक संरोध</t>
  </si>
  <si>
    <t>dynamical haracteristics</t>
  </si>
  <si>
    <t>dynamo</t>
  </si>
  <si>
    <t>जनित्र (न.), डायनामो (पु.)</t>
  </si>
  <si>
    <t>dynamograph</t>
  </si>
  <si>
    <t>गतिजआलेखी (पु.), डायनामोग्राफ (पु.)</t>
  </si>
  <si>
    <t>dynamometer</t>
  </si>
  <si>
    <t>गतिजमापी (पु.), शक्तिमापी (पु.), डायनामोमीटर (पु.)</t>
  </si>
  <si>
    <t>dynamotor</t>
  </si>
  <si>
    <t>डायनामोटर (स्त्री.)</t>
  </si>
  <si>
    <t>dynatron</t>
  </si>
  <si>
    <t>डायनाट्रॉन (पु.)</t>
  </si>
  <si>
    <t>dynatron oscillator</t>
  </si>
  <si>
    <t>डायनाट्रॉन दोली</t>
  </si>
  <si>
    <t>dynode</t>
  </si>
  <si>
    <t>डायनोड (पु.), प्रधानाग्र (न.)</t>
  </si>
  <si>
    <t>E layer</t>
  </si>
  <si>
    <t>E स्तर (पु.)</t>
  </si>
  <si>
    <t>E.M.units</t>
  </si>
  <si>
    <t>विऍहुं. एकक (पु.अ.व.)</t>
  </si>
  <si>
    <t>abbr. for electromagnetic units)</t>
  </si>
  <si>
    <t>E.S.U.</t>
  </si>
  <si>
    <t>वि.स्थि.एकके (न.अ.व.), विद्युतस्थितिक एकके (न.अ.व.)</t>
  </si>
  <si>
    <t>(abbr. for electrostatic Units)</t>
  </si>
  <si>
    <t>ear</t>
  </si>
  <si>
    <t>कर्ण (पु.)</t>
  </si>
  <si>
    <t>earth</t>
  </si>
  <si>
    <t>भू (स्त्री.)</t>
  </si>
  <si>
    <t>भूसंपर्कन करणे</t>
  </si>
  <si>
    <t>earth arc</t>
  </si>
  <si>
    <t>भूप्रज्योत (स्त्री.)</t>
  </si>
  <si>
    <t>earth battery current</t>
  </si>
  <si>
    <t>भूघटसंच धारा</t>
  </si>
  <si>
    <t>earth capacitance</t>
  </si>
  <si>
    <t>भू धारिता (स्त्री.)</t>
  </si>
  <si>
    <t>earth cell</t>
  </si>
  <si>
    <t>भू घट (पु.)</t>
  </si>
  <si>
    <t>earth circuit</t>
  </si>
  <si>
    <t>भू परिपथ (पु.)</t>
  </si>
  <si>
    <t>earth coil</t>
  </si>
  <si>
    <t>भू- कुंडल (न.)</t>
  </si>
  <si>
    <t>earth connection</t>
  </si>
  <si>
    <t>भू संधान (न.)</t>
  </si>
  <si>
    <t>earth connector</t>
  </si>
  <si>
    <t>भूसंधानी (पु.)</t>
  </si>
  <si>
    <t>earth current</t>
  </si>
  <si>
    <t>भू धारा (स्त्री.)</t>
  </si>
  <si>
    <t>earth detector</t>
  </si>
  <si>
    <t>भू शोधी (पु.)</t>
  </si>
  <si>
    <t>earth electrode</t>
  </si>
  <si>
    <t>भू इलेक्ट्रोड (पु.)</t>
  </si>
  <si>
    <t>earth eletrode</t>
  </si>
  <si>
    <t>earth fault</t>
  </si>
  <si>
    <t>भू दोष (पु.)</t>
  </si>
  <si>
    <t>earth field</t>
  </si>
  <si>
    <t>भू क्षेत्र (न.)</t>
  </si>
  <si>
    <t>earth flux</t>
  </si>
  <si>
    <t>भू अभिवाह (पु.)</t>
  </si>
  <si>
    <t>earth magnetic state</t>
  </si>
  <si>
    <t>भू- चुंबक अवस्था</t>
  </si>
  <si>
    <t>earth plate</t>
  </si>
  <si>
    <t>भू पट्टिका (स्त्री.)</t>
  </si>
  <si>
    <t>earth potential</t>
  </si>
  <si>
    <t>भू विभव (न.)</t>
  </si>
  <si>
    <t>earth pressure</t>
  </si>
  <si>
    <t>भू दाब (पु.)</t>
  </si>
  <si>
    <t>earth return</t>
  </si>
  <si>
    <t>भू प्रत्यागमन</t>
  </si>
  <si>
    <t>earth return circuit</t>
  </si>
  <si>
    <t>भू प्रत्यागमन परिपथ</t>
  </si>
  <si>
    <t>earth return system</t>
  </si>
  <si>
    <t>भू प्रत्यागमन पद्धति</t>
  </si>
  <si>
    <t>earth shield</t>
  </si>
  <si>
    <t>भू परिरक्षी (पु.)</t>
  </si>
  <si>
    <t>earth side horn</t>
  </si>
  <si>
    <t>भू पक्ष शृंग</t>
  </si>
  <si>
    <t>earth terminal</t>
  </si>
  <si>
    <t>भू टोक (न.)</t>
  </si>
  <si>
    <t>earth testing</t>
  </si>
  <si>
    <t>भूसंपर्क चाचणी (स्त्री.)</t>
  </si>
  <si>
    <t>earth wire</t>
  </si>
  <si>
    <t>भू-तार (स्त्री.)</t>
  </si>
  <si>
    <t>earthed concentric wiring system</t>
  </si>
  <si>
    <t>भूसंपर्कित संकेंद्री ताररचना</t>
  </si>
  <si>
    <t>earthed conductor</t>
  </si>
  <si>
    <t>भूसंपर्कित वाही</t>
  </si>
  <si>
    <t>earthed current</t>
  </si>
  <si>
    <t>भूसंपर्कित धारा</t>
  </si>
  <si>
    <t>earthed neutral</t>
  </si>
  <si>
    <t>भूसंपर्कित तटस्थ (तार)</t>
  </si>
  <si>
    <t>earthed neutral transformer</t>
  </si>
  <si>
    <t>भूसंपर्कित तटस्थ परिवर्तित्र</t>
  </si>
  <si>
    <t>earthed switch</t>
  </si>
  <si>
    <t>भूसंपर्कित स्विच</t>
  </si>
  <si>
    <t>earthed system</t>
  </si>
  <si>
    <t>भूसंपर्कित पद्धति</t>
  </si>
  <si>
    <t>earthed tank</t>
  </si>
  <si>
    <t>भूसंपर्कित टाकी.</t>
  </si>
  <si>
    <t>earthenware conduit</t>
  </si>
  <si>
    <t>मातीची वाहनळी</t>
  </si>
  <si>
    <t>earthing</t>
  </si>
  <si>
    <t>भूसंपर्कन (न.)</t>
  </si>
  <si>
    <t>earthing clip</t>
  </si>
  <si>
    <t>भूसंपर्कन क्लिप</t>
  </si>
  <si>
    <t>earthing of a line</t>
  </si>
  <si>
    <t>रेखा भूसंपर्कन</t>
  </si>
  <si>
    <t>earthing terminal</t>
  </si>
  <si>
    <t>भूस्थित टोक, भूसंपर्कन टोक</t>
  </si>
  <si>
    <t>ebonite knob</t>
  </si>
  <si>
    <t>एबोनाइट मूठ</t>
  </si>
  <si>
    <t>eccentricity</t>
  </si>
  <si>
    <t>उत्केंद्रता (स्त्री.)</t>
  </si>
  <si>
    <t>eccentricity of armature</t>
  </si>
  <si>
    <t>आर्मेचर उत्केंद्रता</t>
  </si>
  <si>
    <t>echo</t>
  </si>
  <si>
    <t>प्रतिध्वनि (पु.)</t>
  </si>
  <si>
    <t>echo flutter</t>
  </si>
  <si>
    <t>प्रतिध्वनि फडफड</t>
  </si>
  <si>
    <t>echo ranging</t>
  </si>
  <si>
    <t>प्रतिध्वनि स्थानन</t>
  </si>
  <si>
    <t>echo sounder</t>
  </si>
  <si>
    <t>प्रतिध्वनित्र (न.)</t>
  </si>
  <si>
    <t>echo suppressor</t>
  </si>
  <si>
    <t>प्रतिध्वनि दमनकारी</t>
  </si>
  <si>
    <t>eclipse effect in ionosphere</t>
  </si>
  <si>
    <t>आयनावरणातील ग्रहण परिणाम</t>
  </si>
  <si>
    <t>eddy</t>
  </si>
  <si>
    <t>भोवरा (पु.)</t>
  </si>
  <si>
    <t>eddy current</t>
  </si>
  <si>
    <t>भोवरा धारा</t>
  </si>
  <si>
    <t>eddy current braking</t>
  </si>
  <si>
    <t>भोवरा धारा आरोधन</t>
  </si>
  <si>
    <t>eddy current crane brake</t>
  </si>
  <si>
    <t>भोवरा धारा यारी आरोधी</t>
  </si>
  <si>
    <t>eddy current heating</t>
  </si>
  <si>
    <t>भोवरा धारा ऊष्मन</t>
  </si>
  <si>
    <t>eddy current loss</t>
  </si>
  <si>
    <t>भोवरा धारा हानि</t>
  </si>
  <si>
    <t>eddy currents in transformer core</t>
  </si>
  <si>
    <t>परिवर्तित्र क्रोडातील भोवरा धारा (स्त्री.अ.व.)</t>
  </si>
  <si>
    <t>eddy displacement currents</t>
  </si>
  <si>
    <t>भोवरा विस्थापन धारा (स्त्री.अ.व.)</t>
  </si>
  <si>
    <t>edge</t>
  </si>
  <si>
    <t>कडा (स्त्री.), काठ (पु.)</t>
  </si>
  <si>
    <t>edge effect</t>
  </si>
  <si>
    <t>काठ परिणाम</t>
  </si>
  <si>
    <t>edge strip winding</t>
  </si>
  <si>
    <t>पट्टी काठ कुंडलन</t>
  </si>
  <si>
    <t>Edison effect</t>
  </si>
  <si>
    <t>एडिसन शोध</t>
  </si>
  <si>
    <t>Edison storage battery</t>
  </si>
  <si>
    <t>एडिसन संचायक बॅटरी</t>
  </si>
  <si>
    <t>Edison three wire system</t>
  </si>
  <si>
    <t>एडिसन त्रितार पद्धति</t>
  </si>
  <si>
    <t>effect</t>
  </si>
  <si>
    <t>१ प्रभाव (पु.), परिणाम (पु.) २ शोध (पु.)</t>
  </si>
  <si>
    <t>effect of ground</t>
  </si>
  <si>
    <t>भू परिणाम (पु.)</t>
  </si>
  <si>
    <t>effective</t>
  </si>
  <si>
    <t>प्रभावी, परिणामी</t>
  </si>
  <si>
    <t>effective capacitance</t>
  </si>
  <si>
    <t>प्रभावी धारिता</t>
  </si>
  <si>
    <t>effective field</t>
  </si>
  <si>
    <t>परिणामी क्षेत्र</t>
  </si>
  <si>
    <t>effective height</t>
  </si>
  <si>
    <t>परिणामी उंची</t>
  </si>
  <si>
    <t>effective height of antenna</t>
  </si>
  <si>
    <t>आकाशगाची परिणामी उंची</t>
  </si>
  <si>
    <t>effective power</t>
  </si>
  <si>
    <t>परिणामी शक्ति</t>
  </si>
  <si>
    <t>effective starting current</t>
  </si>
  <si>
    <t>परिणामी आरंभ धारा</t>
  </si>
  <si>
    <t>effective value</t>
  </si>
  <si>
    <t>परिणामी मूल्य</t>
  </si>
  <si>
    <t>effici9ency of primary cell</t>
  </si>
  <si>
    <t>प्राथमिक घटाची कार्यक्षमता</t>
  </si>
  <si>
    <t>efficiency</t>
  </si>
  <si>
    <t>कार्यक्षमता (स्त्री.)</t>
  </si>
  <si>
    <t>efficiency of conversion</t>
  </si>
  <si>
    <t>रुपांतरण कार्यक्षमता.</t>
  </si>
  <si>
    <t>efficiency of distribution</t>
  </si>
  <si>
    <t>वितरण कार्यक्षमता.</t>
  </si>
  <si>
    <t>efficiency of electric lamp</t>
  </si>
  <si>
    <t>विद्युत दीपाची कार्यक्षमता</t>
  </si>
  <si>
    <t>efficiency of electric motor</t>
  </si>
  <si>
    <t>विद्युत चलित्राची कार्यक्षमता</t>
  </si>
  <si>
    <t>efficiency of radiation</t>
  </si>
  <si>
    <t>प्रारण कार्यक्षमता</t>
  </si>
  <si>
    <t>efficiency of storage cell</t>
  </si>
  <si>
    <t>संचायक घटाची कार्यक्षमता</t>
  </si>
  <si>
    <t>efficiency of transformer</t>
  </si>
  <si>
    <t>परिवर्तित्राची कार्यक्षमता</t>
  </si>
  <si>
    <t>efflux</t>
  </si>
  <si>
    <t>बहिर्वाह (पु.)</t>
  </si>
  <si>
    <t>egg insulator</t>
  </si>
  <si>
    <t>अंडाकृति निरोधी</t>
  </si>
  <si>
    <t>eigen function</t>
  </si>
  <si>
    <t>आईगेन फल (न.)</t>
  </si>
  <si>
    <t>eigen value</t>
  </si>
  <si>
    <t>आईगेन मूल्य (न.)</t>
  </si>
  <si>
    <t>ejector</t>
  </si>
  <si>
    <t>उत्क्षेपी (पु.)</t>
  </si>
  <si>
    <t>elastance</t>
  </si>
  <si>
    <t>प्रत्यास्थिति (स्त्री.)</t>
  </si>
  <si>
    <t>elastic collision</t>
  </si>
  <si>
    <t>प्रत्यास्थ समाघात</t>
  </si>
  <si>
    <t>elasticity</t>
  </si>
  <si>
    <t>प्रत्यास्थता (स्त्री.)</t>
  </si>
  <si>
    <t>electric anaesthesia</t>
  </si>
  <si>
    <t>विद्युत बधिरीकरण, विद्युत संमोहन</t>
  </si>
  <si>
    <t>electric bell pull (switch)</t>
  </si>
  <si>
    <t>विद्युत घंटी ओढ</t>
  </si>
  <si>
    <t>electric bleaching</t>
  </si>
  <si>
    <t>विद्युत विरंजन</t>
  </si>
  <si>
    <t>electric blow pipe</t>
  </si>
  <si>
    <t>विद्युत फुंक नळी</t>
  </si>
  <si>
    <t>electric braking</t>
  </si>
  <si>
    <t>विद्युत आरोधन</t>
  </si>
  <si>
    <t>electric brazing</t>
  </si>
  <si>
    <t>electric cauterisation</t>
  </si>
  <si>
    <t>विद्युत ऊतिदहन, विद्युत मांसदहन</t>
  </si>
  <si>
    <t>also electrocautery</t>
  </si>
  <si>
    <t>electric circuit</t>
  </si>
  <si>
    <t>विद्युत परिपथ</t>
  </si>
  <si>
    <t>electric consonance</t>
  </si>
  <si>
    <t>विद्युत संवादिता</t>
  </si>
  <si>
    <t>electric current</t>
  </si>
  <si>
    <t>विद्युत धारा</t>
  </si>
  <si>
    <t>electric decomposition</t>
  </si>
  <si>
    <t>विद्युत अपघटन</t>
  </si>
  <si>
    <t>electric density</t>
  </si>
  <si>
    <t>विद्युत घनता</t>
  </si>
  <si>
    <t>electric dilation</t>
  </si>
  <si>
    <t>विद्युत विस्तार</t>
  </si>
  <si>
    <t>electric discharge lamp</t>
  </si>
  <si>
    <t>विद्युत निर्भारण दीप</t>
  </si>
  <si>
    <t>electric dissonance</t>
  </si>
  <si>
    <t>विद्युत विसंवादिता</t>
  </si>
  <si>
    <t>electric double refraction</t>
  </si>
  <si>
    <t>विद्युत द्विअपवर्तन</t>
  </si>
  <si>
    <t>electric dynamometer</t>
  </si>
  <si>
    <t>विद्युत गतिजमापी</t>
  </si>
  <si>
    <t>electric elasticity</t>
  </si>
  <si>
    <t>विद्युत प्रत्यास्थता</t>
  </si>
  <si>
    <t>electric fan</t>
  </si>
  <si>
    <t>विद्युत पंखा</t>
  </si>
  <si>
    <t>electric fault</t>
  </si>
  <si>
    <t>विद्युत दोष</t>
  </si>
  <si>
    <t>electric field</t>
  </si>
  <si>
    <t>विद्युत क्षेत्र</t>
  </si>
  <si>
    <t>electric flat iron</t>
  </si>
  <si>
    <t>विद्युत इस्त्री</t>
  </si>
  <si>
    <t>electric flux density</t>
  </si>
  <si>
    <t>विद्युत अभिवाह घनता</t>
  </si>
  <si>
    <t>electric force</t>
  </si>
  <si>
    <t>विद्युत बल</t>
  </si>
  <si>
    <t>electric gradient</t>
  </si>
  <si>
    <t>विद्युत प्रवणता</t>
  </si>
  <si>
    <t>electric hoist</t>
  </si>
  <si>
    <t>विद्युत आरोही</t>
  </si>
  <si>
    <t>electric horn</t>
  </si>
  <si>
    <t>विद्युत शृंग</t>
  </si>
  <si>
    <t>electric image</t>
  </si>
  <si>
    <t>विद्युत प्रतिमा</t>
  </si>
  <si>
    <t>electric interference</t>
  </si>
  <si>
    <t>विद्युत व्यतिकरण</t>
  </si>
  <si>
    <t>electric line</t>
  </si>
  <si>
    <t>विद्युत तारमार्ग</t>
  </si>
  <si>
    <t>electric loading</t>
  </si>
  <si>
    <t>विद्युत भारण</t>
  </si>
  <si>
    <t>electric locking</t>
  </si>
  <si>
    <t>विद्युत पाशन</t>
  </si>
  <si>
    <t>electric polarisation</t>
  </si>
  <si>
    <t>विद्युत धुवीकरण, विद्युत धुवण</t>
  </si>
  <si>
    <t>electric protective relay</t>
  </si>
  <si>
    <t>विद्युत रक्षी पुनरेषी</t>
  </si>
  <si>
    <t>electric railway system</t>
  </si>
  <si>
    <t>विद्युत लोहमार्ग पद्धति</t>
  </si>
  <si>
    <t>electric refining</t>
  </si>
  <si>
    <t>विद्युत परिष्करण</t>
  </si>
  <si>
    <t>electric refrigeration</t>
  </si>
  <si>
    <t>विद्युत प्रशीतन</t>
  </si>
  <si>
    <t>electric register</t>
  </si>
  <si>
    <t>विद्युत नोंदणी</t>
  </si>
  <si>
    <t>electric remote control switchboard</t>
  </si>
  <si>
    <t>विद्युत दुर नियंत्रण स्विचफलक</t>
  </si>
  <si>
    <t>electric screen</t>
  </si>
  <si>
    <t>विद्युत पडदा</t>
  </si>
  <si>
    <t>electric set</t>
  </si>
  <si>
    <t>विद्युत घट</t>
  </si>
  <si>
    <t>electric strength</t>
  </si>
  <si>
    <t>विद्युत सामर्थ्य</t>
  </si>
  <si>
    <t>electric stress</t>
  </si>
  <si>
    <t>विद्युत प्रतिबल</t>
  </si>
  <si>
    <t>electric traction</t>
  </si>
  <si>
    <t>विद्युत संकर्षण</t>
  </si>
  <si>
    <t>electric transducer</t>
  </si>
  <si>
    <t>विद्युत पारणी</t>
  </si>
  <si>
    <t>electric wave</t>
  </si>
  <si>
    <t>विद्युत तरंग</t>
  </si>
  <si>
    <t>electric wind</t>
  </si>
  <si>
    <t>विद्युत वारा</t>
  </si>
  <si>
    <t>electrical</t>
  </si>
  <si>
    <t>विद्युत-</t>
  </si>
  <si>
    <t>electrical and mechanical test</t>
  </si>
  <si>
    <t>विद्युत व तांत्रिक चाचणी</t>
  </si>
  <si>
    <t>electrical appliance</t>
  </si>
  <si>
    <t>१ विद्युत सांधित्र २ विद्युत साधन</t>
  </si>
  <si>
    <t>electrical brazing</t>
  </si>
  <si>
    <t>विद्युत पिझाळण</t>
  </si>
  <si>
    <t>(also electric brazing)</t>
  </si>
  <si>
    <t>electrical centre</t>
  </si>
  <si>
    <t>विद्युत केंद्र</t>
  </si>
  <si>
    <t>electrical check</t>
  </si>
  <si>
    <t>विद्युत पडताळा</t>
  </si>
  <si>
    <t>electrical continuity</t>
  </si>
  <si>
    <t>विद्युत अखंडत्व</t>
  </si>
  <si>
    <t>electrical energy</t>
  </si>
  <si>
    <t>विद्युत ऊर्जा</t>
  </si>
  <si>
    <t>electrical intensity</t>
  </si>
  <si>
    <t>विद्युत तीव्रता</t>
  </si>
  <si>
    <t>electrically operated track points</t>
  </si>
  <si>
    <t>विद्युत चालित मार्ग बिंदू (पु.अ.व.)</t>
  </si>
  <si>
    <t>electrically operated valve</t>
  </si>
  <si>
    <t>विद्युत चालित झडप</t>
  </si>
  <si>
    <t>electricity</t>
  </si>
  <si>
    <t>विद्युत (स्त्री.), वीज (स्त्री.)</t>
  </si>
  <si>
    <t>electricity meter</t>
  </si>
  <si>
    <t>वीजमापी (पु.)</t>
  </si>
  <si>
    <t>electrification</t>
  </si>
  <si>
    <t>१ विद्युतीकरण (न.) २ विद्युत भारण (न.)</t>
  </si>
  <si>
    <t>electrification by induction</t>
  </si>
  <si>
    <t>प्रेरण प्रभारण</t>
  </si>
  <si>
    <t>electrified</t>
  </si>
  <si>
    <t>विद्युतीकृत</t>
  </si>
  <si>
    <t>electro acoustic transducer</t>
  </si>
  <si>
    <t>विद्युत ध्वनि पारणी</t>
  </si>
  <si>
    <t>electro ballistics</t>
  </si>
  <si>
    <t>विद्युत प्राक्षेपिकी (स्त्री.)</t>
  </si>
  <si>
    <t>electro catalysis</t>
  </si>
  <si>
    <t>विद्युत उत्प्रेरण (न.)</t>
  </si>
  <si>
    <t>electro crystallisation</t>
  </si>
  <si>
    <t>विद्युतस्फटिकीकरण (न.)</t>
  </si>
  <si>
    <t>electro hydro pneumatic control</t>
  </si>
  <si>
    <t>विद्युत जलवातिक नियंत्रण</t>
  </si>
  <si>
    <t>electro pneumatic brake</t>
  </si>
  <si>
    <t>विद्युत वातिक आरोधी</t>
  </si>
  <si>
    <t>electro pneumatic contactor</t>
  </si>
  <si>
    <t>विद्युत वातिक संपर्की</t>
  </si>
  <si>
    <t>electro pneumatic interlocking</t>
  </si>
  <si>
    <t>विद्युत वातिक आंतरपाशन</t>
  </si>
  <si>
    <t>electroanalysis</t>
  </si>
  <si>
    <t>विद्युतविश्लेषण (न.)</t>
  </si>
  <si>
    <t>electrobioscopy</t>
  </si>
  <si>
    <t>विद्युतजैवदर्शिकी (स्त्री.)</t>
  </si>
  <si>
    <t>electrobrassing</t>
  </si>
  <si>
    <t>विद्युत पितलन (न.)</t>
  </si>
  <si>
    <t>electrocalorimetry</t>
  </si>
  <si>
    <t>विद्युत कॅलरीमिति (स्त्री.)</t>
  </si>
  <si>
    <t>electrocapillarity</t>
  </si>
  <si>
    <t>विद्युत केशिकत्व (न.)</t>
  </si>
  <si>
    <t>electrocapillary</t>
  </si>
  <si>
    <t>विद्युत केशिक</t>
  </si>
  <si>
    <t>electrocapillary detector</t>
  </si>
  <si>
    <t>विद्युत केशिक शोधी</t>
  </si>
  <si>
    <t>electrocapillary phenomenon</t>
  </si>
  <si>
    <t>विद्युत केशिक आविष्कार</t>
  </si>
  <si>
    <t>electrocardiogram</t>
  </si>
  <si>
    <t>विद्युत हृद्स्पंद आलेख (पु.)</t>
  </si>
  <si>
    <t>electrocardiograph</t>
  </si>
  <si>
    <t>विद्युत हृद्स्पंद आलेखी (पु.)</t>
  </si>
  <si>
    <t>electrocautery</t>
  </si>
  <si>
    <t>electrochemical decomposition</t>
  </si>
  <si>
    <t>विद्युत रासायनिक अपघटन</t>
  </si>
  <si>
    <t>electrochemical equivalent</t>
  </si>
  <si>
    <t>१ विद्युत रासायनिक तुल्यांक २ विद्युत रासायनिक सममूल्य</t>
  </si>
  <si>
    <t>electrochemical filtration</t>
  </si>
  <si>
    <t>विद्युत रासायनिक गालन</t>
  </si>
  <si>
    <t>electrochemical series</t>
  </si>
  <si>
    <t>विद्युत रासायनिक श्रेणी (स्त्री.अ.व.)</t>
  </si>
  <si>
    <t>electrochemical series of metal</t>
  </si>
  <si>
    <t>धातूच्या विद्युत रासायनिक श्रेणी (स्त्री.अ.व.)</t>
  </si>
  <si>
    <t>electrochemistry</t>
  </si>
  <si>
    <t>विद्युत रसायन शास्त्र</t>
  </si>
  <si>
    <t>electrocoagulation</t>
  </si>
  <si>
    <t>विद्युतकिलाटन (न.)</t>
  </si>
  <si>
    <t>electrocoppering</t>
  </si>
  <si>
    <t>विद्युत ताम्रण (न.)</t>
  </si>
  <si>
    <t>electrocution</t>
  </si>
  <si>
    <t>विद्युतमारण (न.)</t>
  </si>
  <si>
    <t>electrode</t>
  </si>
  <si>
    <t>इलेक्ट्रोड (पु.), विद्युताग्र (न.)</t>
  </si>
  <si>
    <t>anode ऍनोड, धनाग्र cathode कॅथोड, ऋऋणाग्र diode डायोड, द्विअग्री heptode हेप्टोड, सप्ताग्री hexode हेक्सोड, षटग्री multielectrode मल्टिइलेक्ट्रोड, बहुअग्री octode ऑक्टोड, अष्टाग्री pentode पेंटोड, पंचाग्री tetrode टेट्रोड, चतुरग्री triode ट्रायोड, त्रिअग्री</t>
  </si>
  <si>
    <t>electrode dissipation</t>
  </si>
  <si>
    <t>इलेक्ट्रोड अपाकरण</t>
  </si>
  <si>
    <t>electrode impedance</t>
  </si>
  <si>
    <t>इलेक्ट्रोड संरोध</t>
  </si>
  <si>
    <t>electrode tie insert</t>
  </si>
  <si>
    <t>इलेक्ट्रोड टोक अंतःसारित</t>
  </si>
  <si>
    <t>electrode tip</t>
  </si>
  <si>
    <t>इलेक्ट्रोड टोक</t>
  </si>
  <si>
    <t>electrode voltage</t>
  </si>
  <si>
    <t>इलेक्ट्रोड व्होल्टता</t>
  </si>
  <si>
    <t>electrodeless discharge</t>
  </si>
  <si>
    <t>इलेक्ट्रोडहीन निर्भारण</t>
  </si>
  <si>
    <t>electrodeposition</t>
  </si>
  <si>
    <t>विद्युतनिक्षेपण (न.)</t>
  </si>
  <si>
    <t>electrodynamic attraction</t>
  </si>
  <si>
    <t>विद्युतगतिक आकर्षण</t>
  </si>
  <si>
    <t>electrodynamic instrument</t>
  </si>
  <si>
    <t>विद्युतगतिक उपकरण</t>
  </si>
  <si>
    <t>electrodynamic repulsion</t>
  </si>
  <si>
    <t>विद्युतगतिक प्रतिकर्षण</t>
  </si>
  <si>
    <t>electrodynamic rotation</t>
  </si>
  <si>
    <t>विद्युतगतिक घूर्णन</t>
  </si>
  <si>
    <t>electroforming</t>
  </si>
  <si>
    <t>विद्युतरुपण (न.)</t>
  </si>
  <si>
    <t>electrogen</t>
  </si>
  <si>
    <t>विद्युतजनुक (पु.)</t>
  </si>
  <si>
    <t>electrokinetics</t>
  </si>
  <si>
    <t>विद्युत शुद्धगतिकी (स्त्री.)</t>
  </si>
  <si>
    <t>electrolines</t>
  </si>
  <si>
    <t>विद्युतबलरेषा (स्त्री.अ.व.)</t>
  </si>
  <si>
    <t>(also electron lines of force)</t>
  </si>
  <si>
    <t>electroluminescence</t>
  </si>
  <si>
    <t>विद्युत अनुदीप्ति (स्त्री.)</t>
  </si>
  <si>
    <t>electrolysis</t>
  </si>
  <si>
    <t>विद्युत अपघटन (न.)</t>
  </si>
  <si>
    <t>(also electrolytic decomposition)</t>
  </si>
  <si>
    <t>electrolyte</t>
  </si>
  <si>
    <t>विद्युत अपघटनकारी (पु.)</t>
  </si>
  <si>
    <t>electrolytic</t>
  </si>
  <si>
    <t>विद्युत अपघटनी</t>
  </si>
  <si>
    <t>electrolytic arrester</t>
  </si>
  <si>
    <t>विद्युत अपघटनी प्रग्राही</t>
  </si>
  <si>
    <t>electrolytic assaying</t>
  </si>
  <si>
    <t>विद्युत अपघटनी पारख</t>
  </si>
  <si>
    <t>electrolytic bath</t>
  </si>
  <si>
    <t>विद्युत अपघटनी मज्जनी</t>
  </si>
  <si>
    <t>electrolytic capacitor</t>
  </si>
  <si>
    <t>विद्युत अपघटनी धारी</t>
  </si>
  <si>
    <t>(also electrolytic condenser)</t>
  </si>
  <si>
    <t>electrolytic cell</t>
  </si>
  <si>
    <t>विद्युत अपघटनी घट</t>
  </si>
  <si>
    <t>electrolytic condenser</t>
  </si>
  <si>
    <t>electrolytic conduction</t>
  </si>
  <si>
    <t>विद्युत अपघटनी वहन</t>
  </si>
  <si>
    <t>electrolytic corrosion</t>
  </si>
  <si>
    <t>विद्युत अपघटनी संक्षरण</t>
  </si>
  <si>
    <t>electrolytic decomposition</t>
  </si>
  <si>
    <t>electrolytic detector</t>
  </si>
  <si>
    <t>विद्युत अपघटनी शोधी</t>
  </si>
  <si>
    <t>electrolytic diaphragm</t>
  </si>
  <si>
    <t>विद्युत अपघटनी पटल</t>
  </si>
  <si>
    <t>electrolytic dissociation</t>
  </si>
  <si>
    <t>विद्युत अपघटनी विचरण</t>
  </si>
  <si>
    <t>electrolytic rectifier</t>
  </si>
  <si>
    <t>विद्युत अपघटनी दिष्टकारी</t>
  </si>
  <si>
    <t>electrolytic voltmeter</t>
  </si>
  <si>
    <t>विद्युत अपघटनी व्होल्टमापी</t>
  </si>
  <si>
    <t>electromagnet</t>
  </si>
  <si>
    <t>विद्युतचुंबक (पु.)</t>
  </si>
  <si>
    <t>electromagnetic action</t>
  </si>
  <si>
    <t>विद्युतचुंबकत्व क्रिया</t>
  </si>
  <si>
    <t>electromagnetic coupling</t>
  </si>
  <si>
    <t>विद्युतचुंबकीय युग्मन</t>
  </si>
  <si>
    <t>electromagnetic deflection</t>
  </si>
  <si>
    <t>विद्युतचुंबकीय विक्षेपण</t>
  </si>
  <si>
    <t>electromagnetic energy</t>
  </si>
  <si>
    <t>विद्युतचुंबकीय ऊर्जा</t>
  </si>
  <si>
    <t>electromagnetic eye</t>
  </si>
  <si>
    <t>विद्युतचुंबकीय नेत्र</t>
  </si>
  <si>
    <t>electromagnetic field</t>
  </si>
  <si>
    <t>विद्युतचुंबकीय क्षेत्र</t>
  </si>
  <si>
    <t>electromagnetic flux</t>
  </si>
  <si>
    <t>विद्युतचुंबकीय अभिवाह</t>
  </si>
  <si>
    <t>electromagnetic helix</t>
  </si>
  <si>
    <t>विद्युतचुंबकीय सर्पिला</t>
  </si>
  <si>
    <t>electromagnetic induction</t>
  </si>
  <si>
    <t>विद्युतचुंबकीय प्रेरण</t>
  </si>
  <si>
    <t>electromagnetic inertia</t>
  </si>
  <si>
    <t>विद्युतचुंबकीय जडत्व</t>
  </si>
  <si>
    <t>electromagnetic medium</t>
  </si>
  <si>
    <t>विद्युतचुंबकीय माध्य</t>
  </si>
  <si>
    <t>electromagnetic microphone</t>
  </si>
  <si>
    <t>विद्युतचुंबकीय सूक्ष्मध्वनि</t>
  </si>
  <si>
    <t>electromagnetic momentum</t>
  </si>
  <si>
    <t>विद्युतचुंबकीय संवेग</t>
  </si>
  <si>
    <t>electromagnetic percussive welding</t>
  </si>
  <si>
    <t>विद्युतचुंबकीय आघात सांधणी</t>
  </si>
  <si>
    <t>electromagnetic pick up</t>
  </si>
  <si>
    <t>विद्युतचुंबकीय उदग्राही</t>
  </si>
  <si>
    <t>electromagnetic principle</t>
  </si>
  <si>
    <t>विद्युतचुंबकीय तत्त्व</t>
  </si>
  <si>
    <t>electromagnetic radiation</t>
  </si>
  <si>
    <t>विद्युतचुंबकीय प्रारण</t>
  </si>
  <si>
    <t>electromagnetic rectifier</t>
  </si>
  <si>
    <t>विद्युतचुंबकीय दिष्टकारी</t>
  </si>
  <si>
    <t>electromagnetic regulation</t>
  </si>
  <si>
    <t>विद्युतचुंबकीय नियमन</t>
  </si>
  <si>
    <t>electromagnetic resonator</t>
  </si>
  <si>
    <t>विद्युतचुंबकीय संस्पंदी</t>
  </si>
  <si>
    <t>electromagnetic rotation</t>
  </si>
  <si>
    <t>विद्युतचुंबकीय घूर्णन</t>
  </si>
  <si>
    <t>electromagnetic screen</t>
  </si>
  <si>
    <t>विद्युतचुंबकीय पट</t>
  </si>
  <si>
    <t>electromagnetic separator</t>
  </si>
  <si>
    <t>विद्युतचुंबकीय पृथक्कारी</t>
  </si>
  <si>
    <t>electromagnetic shunt</t>
  </si>
  <si>
    <t>विद्युतचुंबकीय पार्श्वपथ</t>
  </si>
  <si>
    <t>electromagnetic system of units</t>
  </si>
  <si>
    <t>विद्युतचुंबकीय एकक पद्धति</t>
  </si>
  <si>
    <t>electromagnetic theory of light</t>
  </si>
  <si>
    <t>प्रकाशाचा विद्युतचुंबक त्व सिद्धांत</t>
  </si>
  <si>
    <t>electromagnetic unit</t>
  </si>
  <si>
    <t>विद्युतचुंबकीय एकक</t>
  </si>
  <si>
    <t>electromagnetic voltmeter</t>
  </si>
  <si>
    <t>विद्युतचुंबकीय व्होल्टमापी</t>
  </si>
  <si>
    <t>electromagnetic wave</t>
  </si>
  <si>
    <t>विद्युतचुंबकीय तरंग</t>
  </si>
  <si>
    <t>electromagnetic wave propagation</t>
  </si>
  <si>
    <t>विद्युतचुंबकीय तरंग प्रचारण</t>
  </si>
  <si>
    <t>electromagnetically induced</t>
  </si>
  <si>
    <t>विद्युतचुंबकत्व प्रेरित</t>
  </si>
  <si>
    <t>electromagnetics</t>
  </si>
  <si>
    <t>विद्युतचुंबकी (स्त्री.)</t>
  </si>
  <si>
    <t>electromagnetisation</t>
  </si>
  <si>
    <t>विद्युतचुंबकी करण (न.)</t>
  </si>
  <si>
    <t>electromagnetism</t>
  </si>
  <si>
    <t>विद्युतचुंबकत्व (न.)</t>
  </si>
  <si>
    <t>electromechanical gate</t>
  </si>
  <si>
    <t>विद्युतयांत्रिकी द्वार</t>
  </si>
  <si>
    <t>electromechanical indicator</t>
  </si>
  <si>
    <t>विद्युतयांत्रिकी दर्शक</t>
  </si>
  <si>
    <t>electrometer</t>
  </si>
  <si>
    <t>विद्युतमापी (पु.)</t>
  </si>
  <si>
    <t>electrometer voltmeter</t>
  </si>
  <si>
    <t>विद्युतमापी व्होल्टमीटर</t>
  </si>
  <si>
    <t>electromotive force</t>
  </si>
  <si>
    <t>विद्युतगामी बल</t>
  </si>
  <si>
    <t>electromotive series</t>
  </si>
  <si>
    <t>विद्युतगामी श्रेणी</t>
  </si>
  <si>
    <t>electron</t>
  </si>
  <si>
    <t>ऋऋणिका (स्त्री.), इलेक्ट्रॉन (पु.)</t>
  </si>
  <si>
    <t>hyperon हायपेरॉन, अतिका meson मेसॉन, क्षणिका neutron न्यूट्रॉन, कणिका nucleon न्यूक्लिऑन, गर्भिका photon फोटॉन, प्रकाशिका positron पॉसीट्रॉन, धनिका proton प्रोटॉन, प्रणिका</t>
  </si>
  <si>
    <t>electron beam deflection</t>
  </si>
  <si>
    <t>ऋणिका शलाका विक्षेपण, इलेक्ट्रॉन शलाका क्रमवीक्षण</t>
  </si>
  <si>
    <t>electron bunching</t>
  </si>
  <si>
    <t>ऋणिका गुच्छन, इलेक्ट्रॉन गुच्छन</t>
  </si>
  <si>
    <t>electron camera</t>
  </si>
  <si>
    <t>इलेक्ट्रॉन कॅमेरा, ऋणिका कॅमेरा</t>
  </si>
  <si>
    <t>electron coupled oscillator</t>
  </si>
  <si>
    <t>इलेक्ट्रॉन युग्मित दोली</t>
  </si>
  <si>
    <t>electron gun</t>
  </si>
  <si>
    <t>इलेक्ट्रॉन बंदूक</t>
  </si>
  <si>
    <t>electron lens</t>
  </si>
  <si>
    <t>इलेक्ट्रॉन भिंग</t>
  </si>
  <si>
    <t>electron lines of force</t>
  </si>
  <si>
    <t>electron multiplier</t>
  </si>
  <si>
    <t>इलेक्ट्रॉन गुणक, ऋणिका गुणक</t>
  </si>
  <si>
    <t>electron optics</t>
  </si>
  <si>
    <t>इलेक्ट्रॉन प्रकाशिकी, इलेक्ट्रॉन दृष्टिकी, ऋणिका दृष्टिकी</t>
  </si>
  <si>
    <t>electron oscillator</t>
  </si>
  <si>
    <t>इलेक्ट्रॉन दोली</t>
  </si>
  <si>
    <t>electronic</t>
  </si>
  <si>
    <t>ऋणिकी, इलेक्ट्रॉनी</t>
  </si>
  <si>
    <t>electronic chronometer</t>
  </si>
  <si>
    <t>ऋणिकीय समयमापी</t>
  </si>
  <si>
    <t>electronic frequency meter</t>
  </si>
  <si>
    <t>ऋण वारंवारतामापी, ऋणिकीय वारंवारता मापी.</t>
  </si>
  <si>
    <t>electronic rectifier</t>
  </si>
  <si>
    <t>इलेक्ट्रॉन दिष्टकारी, ऋणिकीय दिष्टकारी</t>
  </si>
  <si>
    <t>electronic tube valve</t>
  </si>
  <si>
    <t>ऋणिकी नलिका</t>
  </si>
  <si>
    <t>electronic voltage regulator</t>
  </si>
  <si>
    <t>ऋणिकीय व्होल्टता नियामी</t>
  </si>
  <si>
    <t>electronic voltmeter</t>
  </si>
  <si>
    <t>इलेक्ट्रॉनी व्होल्टमापी</t>
  </si>
  <si>
    <t>electrophoresis</t>
  </si>
  <si>
    <t>विद्युककणसंचलन (न.)</t>
  </si>
  <si>
    <t>electrophorus</t>
  </si>
  <si>
    <t>विद्युतथर (पु.)</t>
  </si>
  <si>
    <t>electroplating</t>
  </si>
  <si>
    <t>विद्युतविलेपन (न.)</t>
  </si>
  <si>
    <t>electroscope</t>
  </si>
  <si>
    <t>विद्युतदर्शी (पु.)</t>
  </si>
  <si>
    <t>electrostatic</t>
  </si>
  <si>
    <t>विद्युतस्थितिक</t>
  </si>
  <si>
    <t>electrostatic attraction</t>
  </si>
  <si>
    <t>विद्युतस्थितिक आकर्षण</t>
  </si>
  <si>
    <t>electrostatic capacity</t>
  </si>
  <si>
    <t>विद्युतस्थितिक धारिता</t>
  </si>
  <si>
    <t>electrostatic charge</t>
  </si>
  <si>
    <t>विद्युतस्थितिक प्रभार</t>
  </si>
  <si>
    <t>electrostatic circuit</t>
  </si>
  <si>
    <t>विद्युतस्थितिक परिपथ</t>
  </si>
  <si>
    <t>electrostatic corona</t>
  </si>
  <si>
    <t>विद्युतस्थितिक करोना</t>
  </si>
  <si>
    <t>electrostatic coupling</t>
  </si>
  <si>
    <t>विद्युतस्थितिक युग्मन</t>
  </si>
  <si>
    <t>electrostatic current</t>
  </si>
  <si>
    <t>विद्युतस्थितिक धारा</t>
  </si>
  <si>
    <t>electrostatic deflection</t>
  </si>
  <si>
    <t>विद्युतस्थितिक विक्षेप</t>
  </si>
  <si>
    <t>electrostatic discharge</t>
  </si>
  <si>
    <t>विद्युतस्थितिक निर्भारण</t>
  </si>
  <si>
    <t>electrostatic field</t>
  </si>
  <si>
    <t>विद्युतस्थितिक क्षेत्र</t>
  </si>
  <si>
    <t>electrostatic flux</t>
  </si>
  <si>
    <t>विद्युतस्थितिक अभिवाह</t>
  </si>
  <si>
    <t>electrostatic flux density</t>
  </si>
  <si>
    <t>विद्युतस्थितिक नाभीयन</t>
  </si>
  <si>
    <t>electrostatic force</t>
  </si>
  <si>
    <t>विद्युतस्थितिक बल</t>
  </si>
  <si>
    <t>electrostatic indicator</t>
  </si>
  <si>
    <t>विद्युतस्थितिक दर्शी</t>
  </si>
  <si>
    <t>electrostatic induction</t>
  </si>
  <si>
    <t>विद्युतस्थितिक प्रेरण</t>
  </si>
  <si>
    <t>electrostatic instrument</t>
  </si>
  <si>
    <t>विद्युतस्थितिक गळती</t>
  </si>
  <si>
    <t>electrostatic leakage</t>
  </si>
  <si>
    <t>electrostatic lines of force</t>
  </si>
  <si>
    <t>विद्युतस्थितिक बलरेषा (स्त्री.अ.व.)</t>
  </si>
  <si>
    <t>electrostatic machine</t>
  </si>
  <si>
    <t>विद्युतस्थितिक यंत्र</t>
  </si>
  <si>
    <t>electrostatic motor</t>
  </si>
  <si>
    <t>विद्युतस्थितिक चलित्र, विद्युतस्थितिक मोटर</t>
  </si>
  <si>
    <t>electrostatic percussive welding</t>
  </si>
  <si>
    <t>विद्युतस्थितिक आघात सांधणी</t>
  </si>
  <si>
    <t>electrostatic repulsion</t>
  </si>
  <si>
    <t>विद्युतस्थितिक प्रतिकर्षण</t>
  </si>
  <si>
    <t>electrostatic resistance</t>
  </si>
  <si>
    <t>विद्युतस्थितिक रोध</t>
  </si>
  <si>
    <t>electrostatic retardation</t>
  </si>
  <si>
    <t>विद्युतस्थितिक मंदन</t>
  </si>
  <si>
    <t>electrostatic screen</t>
  </si>
  <si>
    <t>विद्युतस्थितिक पट</t>
  </si>
  <si>
    <t>electrostatic screening</t>
  </si>
  <si>
    <t>विद्युतस्थितिक पटलन</t>
  </si>
  <si>
    <t>electrostatic shield</t>
  </si>
  <si>
    <t>विद्युतस्थितिक परिरक्षी</t>
  </si>
  <si>
    <t>electrostatic system of units</t>
  </si>
  <si>
    <t>विद्युतस्थितिक एकक पद्धति</t>
  </si>
  <si>
    <t>electrostatic voltmeter</t>
  </si>
  <si>
    <t>विद्युतस्थितिक व्होल्टमापी</t>
  </si>
  <si>
    <t>electrostatically induced</t>
  </si>
  <si>
    <t>विद्युतस्थितिक प्रेरित</t>
  </si>
  <si>
    <t>electrostatics</t>
  </si>
  <si>
    <t>विद्युतस्थैतिकी (स्त्री.)</t>
  </si>
  <si>
    <t>electrotheralpy</t>
  </si>
  <si>
    <t>विद्युतचिकित्सा (स्त्री.)</t>
  </si>
  <si>
    <t>electrothermal chemistry</t>
  </si>
  <si>
    <t>विद्युततापीय रसायनशास्त्र</t>
  </si>
  <si>
    <t>electrotyping</t>
  </si>
  <si>
    <t>विद्युतटंकन (न.)</t>
  </si>
  <si>
    <t>element</t>
  </si>
  <si>
    <t>१ भाग (पु.) २ मूलद्रव्य (न.) ३ अंश (पु.) ४ घटक (पु.), अवयव (पु.)</t>
  </si>
  <si>
    <t>elements</t>
  </si>
  <si>
    <t>मूलतत्त्वे (न.अ.व.)</t>
  </si>
  <si>
    <t>elevator</t>
  </si>
  <si>
    <t>उन्नायी (पु.)</t>
  </si>
  <si>
    <t>elevator car safety switch</t>
  </si>
  <si>
    <t>उन्नायी गाडी सुरक्षा स्विच</t>
  </si>
  <si>
    <t>eliminator</t>
  </si>
  <si>
    <t>विलोपी (पु.)</t>
  </si>
  <si>
    <t>ellipsoidal reflector</t>
  </si>
  <si>
    <t>विवृत्तज परावर्ती</t>
  </si>
  <si>
    <t>elliptical</t>
  </si>
  <si>
    <t>विवृत्ताकृति</t>
  </si>
  <si>
    <t>elliptical polarisation</t>
  </si>
  <si>
    <t>विवृत्तीय धुवण</t>
  </si>
  <si>
    <t>embedded temperature detector</t>
  </si>
  <si>
    <t>खचित तापमान शोधी</t>
  </si>
  <si>
    <t>emergency</t>
  </si>
  <si>
    <t>संकटकाल (पु.)</t>
  </si>
  <si>
    <t>emergency loading</t>
  </si>
  <si>
    <t>संकटकाली भारण</t>
  </si>
  <si>
    <t>emergency stop switch</t>
  </si>
  <si>
    <t>आणीबाणी स्विच</t>
  </si>
  <si>
    <t>emergency straight air brake</t>
  </si>
  <si>
    <t>संकटकालीन वात आरोधी</t>
  </si>
  <si>
    <t>emery paper</t>
  </si>
  <si>
    <t>एमरी कागद</t>
  </si>
  <si>
    <t>emisive power</t>
  </si>
  <si>
    <t>उत्सर्जन शक्ति</t>
  </si>
  <si>
    <t>emission</t>
  </si>
  <si>
    <t>उत्सर्जन (न.)</t>
  </si>
  <si>
    <t>emissivity</t>
  </si>
  <si>
    <t>उत्सर्जकता (स्त्री.)</t>
  </si>
  <si>
    <t>Emitron</t>
  </si>
  <si>
    <t>एमिट्रॉन (पु.)</t>
  </si>
  <si>
    <t>Emitron camera</t>
  </si>
  <si>
    <t>एमिट्रॉन कॅमेरा</t>
  </si>
  <si>
    <t>emitter</t>
  </si>
  <si>
    <t>उत्सर्जी (पु.)</t>
  </si>
  <si>
    <t>empire cloth</t>
  </si>
  <si>
    <t>एम्पायर कापड</t>
  </si>
  <si>
    <t>empire cloth tape</t>
  </si>
  <si>
    <t>एम्पायर फीत</t>
  </si>
  <si>
    <t>enamel</t>
  </si>
  <si>
    <t>एनॅमल (पु.), काचलेप (पु.)</t>
  </si>
  <si>
    <t>enclosed</t>
  </si>
  <si>
    <t>समावृत</t>
  </si>
  <si>
    <t>enclosed cut out</t>
  </si>
  <si>
    <t>समावृत भंजक</t>
  </si>
  <si>
    <t>enclosure</t>
  </si>
  <si>
    <t>समावरण (न.)</t>
  </si>
  <si>
    <t>end</t>
  </si>
  <si>
    <t>१ अग्र (न.), टोक (न.) २ अंत (पु.)</t>
  </si>
  <si>
    <t>अंत्य</t>
  </si>
  <si>
    <t>end plate</t>
  </si>
  <si>
    <t>अंत्यपत्री (स्त्री.)</t>
  </si>
  <si>
    <t>end sheets</t>
  </si>
  <si>
    <t>अंत्यपत्रे (पु.अ.व.)</t>
  </si>
  <si>
    <t>end turns</t>
  </si>
  <si>
    <t>अंत्य वेढे (पु.अ.व.)</t>
  </si>
  <si>
    <t>endfire antenna array</t>
  </si>
  <si>
    <t>अनुलंब आकाशग विन्यास</t>
  </si>
  <si>
    <t>energised</t>
  </si>
  <si>
    <t>उर्जायित</t>
  </si>
  <si>
    <t>energising</t>
  </si>
  <si>
    <t>ऊर्जायन (न.)</t>
  </si>
  <si>
    <t>energy</t>
  </si>
  <si>
    <t>ऊर्जा (स्त्री.)</t>
  </si>
  <si>
    <t>energy efficiency</t>
  </si>
  <si>
    <t>ऊर्जा कार्यक्षमता</t>
  </si>
  <si>
    <t>engaged test</t>
  </si>
  <si>
    <t>निमग्नता परीक्षण</t>
  </si>
  <si>
    <t>enquiry call</t>
  </si>
  <si>
    <t>चौकशी पाचारण</t>
  </si>
  <si>
    <t>entrance</t>
  </si>
  <si>
    <t>प्रवेश (पु.), आगम (पु.)</t>
  </si>
  <si>
    <t>entrant</t>
  </si>
  <si>
    <t>प्रवेशी (पु.)</t>
  </si>
  <si>
    <t>envelope</t>
  </si>
  <si>
    <t>आवरण (न.)</t>
  </si>
  <si>
    <t>लपेटणे, आच्छादणे, आवरण करणे</t>
  </si>
  <si>
    <t>envelope velocity</t>
  </si>
  <si>
    <t>गट वेग</t>
  </si>
  <si>
    <t>(also group velocity)</t>
  </si>
  <si>
    <t>epidiascope</t>
  </si>
  <si>
    <t>पारापारदर्शी (पु.)</t>
  </si>
  <si>
    <t>episcope</t>
  </si>
  <si>
    <t>अपारदर्शी (पु.)</t>
  </si>
  <si>
    <t>equalisation</t>
  </si>
  <si>
    <t>समानीकरण (न.)</t>
  </si>
  <si>
    <t>equaliser</t>
  </si>
  <si>
    <t>समकारी (पु.)</t>
  </si>
  <si>
    <t>equaliser artwork</t>
  </si>
  <si>
    <t>समकारी जालव्यूह</t>
  </si>
  <si>
    <t>equaliser connection</t>
  </si>
  <si>
    <t>समकारी बंध</t>
  </si>
  <si>
    <t>equaliser ring</t>
  </si>
  <si>
    <t>समकारी वलय</t>
  </si>
  <si>
    <t>equalising</t>
  </si>
  <si>
    <t>समकरण (न.)</t>
  </si>
  <si>
    <t>समकारी</t>
  </si>
  <si>
    <t>equalising charge</t>
  </si>
  <si>
    <t>समकारी प्रभार</t>
  </si>
  <si>
    <t>equalising pulse</t>
  </si>
  <si>
    <t>समकारी स्पंद</t>
  </si>
  <si>
    <t>equation</t>
  </si>
  <si>
    <t>समीकरण (न.)</t>
  </si>
  <si>
    <t>equilateral spacing</t>
  </si>
  <si>
    <t>१ समभुज अंतराल २ समभुज अंतरालन</t>
  </si>
  <si>
    <t>equilux diagram</t>
  </si>
  <si>
    <t>समलक्स आकृति</t>
  </si>
  <si>
    <t>equipment</t>
  </si>
  <si>
    <t>सामग्री (स्त्री.)</t>
  </si>
  <si>
    <t>equipotential</t>
  </si>
  <si>
    <t>समविभव</t>
  </si>
  <si>
    <t>equipotential surface</t>
  </si>
  <si>
    <t>समविभव पृष्ठ</t>
  </si>
  <si>
    <t>equivalent</t>
  </si>
  <si>
    <t>तुल्यांक (पु.)</t>
  </si>
  <si>
    <t>सममूल्य, समतुल्य</t>
  </si>
  <si>
    <t>equivalent circuit</t>
  </si>
  <si>
    <t>समतुल्य परिपथ</t>
  </si>
  <si>
    <t>equivalent conductance</t>
  </si>
  <si>
    <t>समतुल्य प्रवहन</t>
  </si>
  <si>
    <t>equivalent conductivity</t>
  </si>
  <si>
    <t>समतुल्य वाहकता</t>
  </si>
  <si>
    <t>equivalent frequency</t>
  </si>
  <si>
    <t>समतुल्य वारंवारता</t>
  </si>
  <si>
    <t>equivalent series impedance</t>
  </si>
  <si>
    <t>समतुल्य श्रेणी संरोध</t>
  </si>
  <si>
    <t>equivalent sine wave</t>
  </si>
  <si>
    <t>सममूल्य साइन तरंग</t>
  </si>
  <si>
    <t>equivalent weight</t>
  </si>
  <si>
    <t>समतुल्य भार, सममुल्य भार</t>
  </si>
  <si>
    <t>error</t>
  </si>
  <si>
    <t>त्रुटि (स्त्री.)</t>
  </si>
  <si>
    <t>error tolerance</t>
  </si>
  <si>
    <t>त्रुटि सह्यता</t>
  </si>
  <si>
    <t>escalator</t>
  </si>
  <si>
    <t>चलसोपान (पु.)</t>
  </si>
  <si>
    <t>escape velocity</t>
  </si>
  <si>
    <t>मुक्ति वेग</t>
  </si>
  <si>
    <t>essential</t>
  </si>
  <si>
    <t>आवश्यक</t>
  </si>
  <si>
    <t>etching</t>
  </si>
  <si>
    <t>कोरण (न.)</t>
  </si>
  <si>
    <t>ether</t>
  </si>
  <si>
    <t>ईथर (न.)</t>
  </si>
  <si>
    <t>evaporator</t>
  </si>
  <si>
    <t>उद्बाष्पक (पु.)</t>
  </si>
  <si>
    <t>even function</t>
  </si>
  <si>
    <t>समफल (न.)</t>
  </si>
  <si>
    <t>excess voltage</t>
  </si>
  <si>
    <t>अधिक व्होल्टता</t>
  </si>
  <si>
    <t>exchange</t>
  </si>
  <si>
    <t>१ विनिमय (पु.) २ विनिमयक (न.)</t>
  </si>
  <si>
    <t>exchange branch</t>
  </si>
  <si>
    <t>विनिमयक शाखा</t>
  </si>
  <si>
    <t>exchange buzzer</t>
  </si>
  <si>
    <t>केंद्र गजरी, केंद्र गुंजक</t>
  </si>
  <si>
    <t>exchange line</t>
  </si>
  <si>
    <t>विनिमयक तारमार्ग</t>
  </si>
  <si>
    <t>excitation</t>
  </si>
  <si>
    <t>उत्तेजन (न.), चेतन (न.)</t>
  </si>
  <si>
    <t>excitation anode</t>
  </si>
  <si>
    <t>उत्तेजक ऍनोड</t>
  </si>
  <si>
    <t>(also holding anode)</t>
  </si>
  <si>
    <t>excitation arc</t>
  </si>
  <si>
    <t>चेतना प्रज्योत</t>
  </si>
  <si>
    <t>also keep alive arc</t>
  </si>
  <si>
    <t>excitation current</t>
  </si>
  <si>
    <t>उत्तेजक धारा</t>
  </si>
  <si>
    <t>(also exciting current)</t>
  </si>
  <si>
    <t>excitation field</t>
  </si>
  <si>
    <t>उत्तेजक क्षेत्र</t>
  </si>
  <si>
    <t>excitation field form factor</t>
  </si>
  <si>
    <t>उत्तेजक क्षेत्र रुपांक</t>
  </si>
  <si>
    <t>excitation loss</t>
  </si>
  <si>
    <t>उत्तेजन हानि</t>
  </si>
  <si>
    <t>excited state</t>
  </si>
  <si>
    <t>उउत्तेजित अवस्था</t>
  </si>
  <si>
    <t>exciter</t>
  </si>
  <si>
    <t>उत्तेजित्र (न.)</t>
  </si>
  <si>
    <t>exciter dynamo</t>
  </si>
  <si>
    <t>उत्तेजन जनित्र</t>
  </si>
  <si>
    <t>exciter set</t>
  </si>
  <si>
    <t>उत्तेजक सट</t>
  </si>
  <si>
    <t>exciting current</t>
  </si>
  <si>
    <t>exciting current of transformer</t>
  </si>
  <si>
    <t>परिवर्तित्राची उत्तेजक धारा</t>
  </si>
  <si>
    <t>executable statement</t>
  </si>
  <si>
    <t>निष्पाद्य विधान</t>
  </si>
  <si>
    <t>exhaust</t>
  </si>
  <si>
    <t>निष्कास (पु.)</t>
  </si>
  <si>
    <t>exit</t>
  </si>
  <si>
    <t>निर्गम (पु.)</t>
  </si>
  <si>
    <t>expander</t>
  </si>
  <si>
    <t>विस्तारी (पु.)</t>
  </si>
  <si>
    <t>expansion bolt</t>
  </si>
  <si>
    <t>प्रसरण बोल्ट</t>
  </si>
  <si>
    <t>expansion valve</t>
  </si>
  <si>
    <t>प्रसरण झडप</t>
  </si>
  <si>
    <t>exploring brush</t>
  </si>
  <si>
    <t>समन्वेषी कुंचला</t>
  </si>
  <si>
    <t>explosion proof</t>
  </si>
  <si>
    <t>विस्फोट रक्षित</t>
  </si>
  <si>
    <t>explosion proof enclosure</t>
  </si>
  <si>
    <t>विस्फोट रक्षित परिवेष्टन</t>
  </si>
  <si>
    <t>explosion vent</t>
  </si>
  <si>
    <t>विस्फोट वाताक्ष</t>
  </si>
  <si>
    <t>exponential function</t>
  </si>
  <si>
    <t>Maths. १ घातफल (न.) २ e- फल (न.)</t>
  </si>
  <si>
    <t>extended matrix</t>
  </si>
  <si>
    <t>वर्धित सारणी</t>
  </si>
  <si>
    <t>extension</t>
  </si>
  <si>
    <t>विस्तार (पु.), दीर्घीकरण (न.), अनुवर्धन (न.)</t>
  </si>
  <si>
    <t>extension line</t>
  </si>
  <si>
    <t>दीर्घीकृत तारमार्ग, वाढीव तारमार्ग</t>
  </si>
  <si>
    <t>extension switch</t>
  </si>
  <si>
    <t>अनुवर्धन स्विच</t>
  </si>
  <si>
    <t>extensive reflector</t>
  </si>
  <si>
    <t>विस्तृत परावर्ती</t>
  </si>
  <si>
    <t>external characteristic curve</t>
  </si>
  <si>
    <t>बाह्य अभिलाक्षणिक वक्र</t>
  </si>
  <si>
    <t>external characteristic of compound dynamo</t>
  </si>
  <si>
    <t>मिश्र जनित्राचे बाह्य अभिलक्षण</t>
  </si>
  <si>
    <t>external cross modulation</t>
  </si>
  <si>
    <t>बहिर्जात्य आपरिवर्तन</t>
  </si>
  <si>
    <t>external feed back</t>
  </si>
  <si>
    <t>बाह्य पश्चप्रदाय</t>
  </si>
  <si>
    <t>extinction coefficient</t>
  </si>
  <si>
    <t>extinguisher</t>
  </si>
  <si>
    <t>शामक (पु.)</t>
  </si>
  <si>
    <t>extra current</t>
  </si>
  <si>
    <t>अतिरिक्त धारा</t>
  </si>
  <si>
    <t>extra high</t>
  </si>
  <si>
    <t>अति उच्च</t>
  </si>
  <si>
    <t>extra high voltage cable</t>
  </si>
  <si>
    <t>अति उच्च व्होल्टता केबल</t>
  </si>
  <si>
    <t>extraordinary ray</t>
  </si>
  <si>
    <t>असामान्य किरण</t>
  </si>
  <si>
    <t>extrapolation</t>
  </si>
  <si>
    <t>बहिर्वेशन (न.)</t>
  </si>
  <si>
    <t>extremely high frequency</t>
  </si>
  <si>
    <t>परम उच्च वारंवारता</t>
  </si>
  <si>
    <t>extrinsic</t>
  </si>
  <si>
    <t>बहिर्भूत</t>
  </si>
  <si>
    <t>F layer</t>
  </si>
  <si>
    <t>F स्तर (पु.)</t>
  </si>
  <si>
    <t>F1 layer</t>
  </si>
  <si>
    <t>F१ स्तर (पु.)</t>
  </si>
  <si>
    <t>F2 layer</t>
  </si>
  <si>
    <t>F२ स्तर (पु.)</t>
  </si>
  <si>
    <t>faceplate breaker starter</t>
  </si>
  <si>
    <t>दृश्यपट वियोजी आरंभी</t>
  </si>
  <si>
    <t>faceplate starter</t>
  </si>
  <si>
    <t>दृश्यपट आरंभी</t>
  </si>
  <si>
    <t>facsimile</t>
  </si>
  <si>
    <t>प्रतिरुप (न.), अनुचित्र (न.)</t>
  </si>
  <si>
    <t>प्रतिरुप-, अनुचित्र-</t>
  </si>
  <si>
    <t>facsimile bandwidth</t>
  </si>
  <si>
    <t>प्रतिरुप पट्टरुंदी</t>
  </si>
  <si>
    <t>facsimile baseband</t>
  </si>
  <si>
    <t>प्रतिरुप आधारपट्ट</t>
  </si>
  <si>
    <t>facsimile converter</t>
  </si>
  <si>
    <t>प्रतिरुप रुपांतरित्र</t>
  </si>
  <si>
    <t>facsimile modulation</t>
  </si>
  <si>
    <t>प्रतिरुप आपरिवर्तन</t>
  </si>
  <si>
    <t>facsimile receiver</t>
  </si>
  <si>
    <t>प्रतिरुप ग्राही</t>
  </si>
  <si>
    <t>facsimile scanning</t>
  </si>
  <si>
    <t>प्रतिरुप क्रमवीक्षण</t>
  </si>
  <si>
    <t>facsimile telegraphy</t>
  </si>
  <si>
    <t>प्रतिरुप दूरलेखन</t>
  </si>
  <si>
    <t>facsimile transmission</t>
  </si>
  <si>
    <t>प्रतिरुप पारेषण</t>
  </si>
  <si>
    <t>facsimile transmitter</t>
  </si>
  <si>
    <t>प्रतिरुप पारेषित</t>
  </si>
  <si>
    <t>factor</t>
  </si>
  <si>
    <t>amplification factor प्रवर्धनांक amplitude factor = crest factor आयामांक, शिखरांक distribution factor वितरणांक diversity factor विविधतांक leakage factor गलनांक load factor भारांक peak factor = amplitude factor power factor शक्ति अंक safety factor सुरक्षांक space factor क्षेत्रांक utilisation factor = utility factor उपयोगितांक</t>
  </si>
  <si>
    <t>factor of safety</t>
  </si>
  <si>
    <t>सुरक्षांक</t>
  </si>
  <si>
    <t>factory lighting</t>
  </si>
  <si>
    <t>कारखाना दीपन</t>
  </si>
  <si>
    <t>fade in</t>
  </si>
  <si>
    <t>उदयन (न.)</t>
  </si>
  <si>
    <t>fade out</t>
  </si>
  <si>
    <t>अपायन (न.)</t>
  </si>
  <si>
    <t>fader</t>
  </si>
  <si>
    <t>अयनक (पु.)</t>
  </si>
  <si>
    <t>fading</t>
  </si>
  <si>
    <t>परिमंदन (न.)</t>
  </si>
  <si>
    <t>failure</t>
  </si>
  <si>
    <t>१ बिघाड (पु.) २ बंद पडणे (न.)</t>
  </si>
  <si>
    <t>fan aerial</t>
  </si>
  <si>
    <t>पंखा आकाशग</t>
  </si>
  <si>
    <t>fan antenna</t>
  </si>
  <si>
    <t>farad</t>
  </si>
  <si>
    <t>फॅरॅड (न.)</t>
  </si>
  <si>
    <t>Faraday effect</t>
  </si>
  <si>
    <t>फॅरॅडेचा शोध</t>
  </si>
  <si>
    <t>Faraday rotation in waveguides</t>
  </si>
  <si>
    <t>तरंग मार्गदर्शीमधील फॅरॅडे घूर्णन</t>
  </si>
  <si>
    <t>Faraday's dark space</t>
  </si>
  <si>
    <t>फॅरॅडेचा अदीप्त प्रदेश</t>
  </si>
  <si>
    <t>Faraday's law of electromagnetic induction</t>
  </si>
  <si>
    <t>फॅरॅडेचा विद्युतचुंबकीय प्रेरण नियम</t>
  </si>
  <si>
    <t>fastener</t>
  </si>
  <si>
    <t>वंधी (पु.)</t>
  </si>
  <si>
    <t>fatigue</t>
  </si>
  <si>
    <t>श्रांति (स्त्री.)</t>
  </si>
  <si>
    <t>fault</t>
  </si>
  <si>
    <t>दोष (पु.)</t>
  </si>
  <si>
    <t>fault condition</t>
  </si>
  <si>
    <t>दोष अवस्था</t>
  </si>
  <si>
    <t>fault current</t>
  </si>
  <si>
    <t>दोष धारा</t>
  </si>
  <si>
    <t>fault detector</t>
  </si>
  <si>
    <t>दोष शोधी</t>
  </si>
  <si>
    <t>(also fault searcher)</t>
  </si>
  <si>
    <t>fault indicator</t>
  </si>
  <si>
    <t>दोष दर्शी</t>
  </si>
  <si>
    <t>fault location</t>
  </si>
  <si>
    <t>१ दोष स्थान २ दोष स्थानन, दोष स्थान निश्चितीकरण</t>
  </si>
  <si>
    <t>fault resistance</t>
  </si>
  <si>
    <t>दोष रोध</t>
  </si>
  <si>
    <t>fault searcher</t>
  </si>
  <si>
    <t>faulty earthing</t>
  </si>
  <si>
    <t>सदोष भूसंपर्कन</t>
  </si>
  <si>
    <t>features</t>
  </si>
  <si>
    <t>वैशिष्ट्ये (न.अ.व.)</t>
  </si>
  <si>
    <t>feed</t>
  </si>
  <si>
    <t>प्रदाय (पु.)</t>
  </si>
  <si>
    <t>feedback</t>
  </si>
  <si>
    <t>पश्चप्रदाय (पु.)</t>
  </si>
  <si>
    <t>feedback admittance</t>
  </si>
  <si>
    <t>पश्चप्रदाय संवहन</t>
  </si>
  <si>
    <t>feedback amplifier</t>
  </si>
  <si>
    <t>पश्चप्रदाय प्रवर्धी</t>
  </si>
  <si>
    <t>feedback coil</t>
  </si>
  <si>
    <t>पश्चप्रदाय कुंडल</t>
  </si>
  <si>
    <t>feedback control loop</t>
  </si>
  <si>
    <t>पश्चप्रदाय नियंत्रण लूप</t>
  </si>
  <si>
    <t>feedback control system</t>
  </si>
  <si>
    <t>पश्चप्रदाय नियंत्रण पद्धति</t>
  </si>
  <si>
    <t>feedback control winding</t>
  </si>
  <si>
    <t>पश्चप्रदाय नियंत्रण कुंडल</t>
  </si>
  <si>
    <t>feedback coupling</t>
  </si>
  <si>
    <t>पश्चप्रदाय युग्मन</t>
  </si>
  <si>
    <t>feedback effect</t>
  </si>
  <si>
    <t>पश्चप्रदाय परिणाम</t>
  </si>
  <si>
    <t>feedback in amplifier</t>
  </si>
  <si>
    <t>प्रवर्धीतील पश्चप्रदाय</t>
  </si>
  <si>
    <t>feedback regulator</t>
  </si>
  <si>
    <t>पश्चप्रदाय नियामी</t>
  </si>
  <si>
    <t>feeder</t>
  </si>
  <si>
    <t>प्रदायी (पु.)</t>
  </si>
  <si>
    <t>feeder mains</t>
  </si>
  <si>
    <t>प्रदायी मुख्यवाही (पु.अ.व.)</t>
  </si>
  <si>
    <t>feeding post</t>
  </si>
  <si>
    <t>प्रदाय स्थान</t>
  </si>
  <si>
    <t>feet switch</t>
  </si>
  <si>
    <t>सपाद स्विच</t>
  </si>
  <si>
    <t>Fermi level</t>
  </si>
  <si>
    <t>फर्मी स्तर</t>
  </si>
  <si>
    <t>Fermi-Dirac distribution function</t>
  </si>
  <si>
    <t>फर्माएडायरे वितरण फल</t>
  </si>
  <si>
    <t>fernico</t>
  </si>
  <si>
    <t>फर्निको (न.)</t>
  </si>
  <si>
    <t>Ferranti effect</t>
  </si>
  <si>
    <t>फेरांटी शोध</t>
  </si>
  <si>
    <t>ferrite</t>
  </si>
  <si>
    <t>लोहिका (स्त्री.), फेराइट (न.)</t>
  </si>
  <si>
    <t>ferrodynamic instrument</t>
  </si>
  <si>
    <t>लोहगतिक उपकरण</t>
  </si>
  <si>
    <t>ferroelectrics</t>
  </si>
  <si>
    <t>लोहविद्युत पदार्थ (पु.अ.व.)</t>
  </si>
  <si>
    <t>(ferroelectric material)</t>
  </si>
  <si>
    <t>ferromagnetic</t>
  </si>
  <si>
    <t>लोहचुंबकीय</t>
  </si>
  <si>
    <t>ferromagnetic amplifier</t>
  </si>
  <si>
    <t>लोहचुंबकीय प्रवर्धी</t>
  </si>
  <si>
    <t>ferromagnetic material</t>
  </si>
  <si>
    <t>लोहचुंबकी पदार्थ</t>
  </si>
  <si>
    <t>ferromagnetic resonance</t>
  </si>
  <si>
    <t>लोहचुंबकीय संस्पंदन</t>
  </si>
  <si>
    <t>ferromagnetics</t>
  </si>
  <si>
    <t>लोहचुंबकी (स्त्री.)</t>
  </si>
  <si>
    <t>fibre</t>
  </si>
  <si>
    <t>तंतु (पु.)</t>
  </si>
  <si>
    <t>fibre glass insulation</t>
  </si>
  <si>
    <t>तंतुकाच निरोधन</t>
  </si>
  <si>
    <t>fictitious</t>
  </si>
  <si>
    <t>कल्पित</t>
  </si>
  <si>
    <t>fictitious antenna</t>
  </si>
  <si>
    <t>कल्पित आकाशग</t>
  </si>
  <si>
    <t>fidelity</t>
  </si>
  <si>
    <t>तद्रुपता (स्त्री.)</t>
  </si>
  <si>
    <t>field</t>
  </si>
  <si>
    <t>field coil</t>
  </si>
  <si>
    <t>क्षेत्र कुंडल</t>
  </si>
  <si>
    <t>field control</t>
  </si>
  <si>
    <t>१ क्षेत्र नियंत्रण २ क्षेत्र नियंत्री</t>
  </si>
  <si>
    <t>field density</t>
  </si>
  <si>
    <t>field discharge resistor</t>
  </si>
  <si>
    <t>क्षेत्र निर्भारण रोधी</t>
  </si>
  <si>
    <t>field discharge switch</t>
  </si>
  <si>
    <t>क्षेत्र निर्भारण स्विच</t>
  </si>
  <si>
    <t>field distribution</t>
  </si>
  <si>
    <t>क्षेत्र वितरण</t>
  </si>
  <si>
    <t>field effect transistor</t>
  </si>
  <si>
    <t>क्षेत्र प्रभाव ट्रान्झिस्टर</t>
  </si>
  <si>
    <t>field emission</t>
  </si>
  <si>
    <t>क्षेत्र उत्सर्जन</t>
  </si>
  <si>
    <t>field energy</t>
  </si>
  <si>
    <t>क्षेत्र ऊर्जा</t>
  </si>
  <si>
    <t>field enhanced photoelectric emission</t>
  </si>
  <si>
    <t>क्षेत्रवर्धित प्रकाशविद्युत उत्सर्जन</t>
  </si>
  <si>
    <t>field enhanced secondary emission</t>
  </si>
  <si>
    <t>क्षेत्रवर्धित दुय्यम उत्सर्जन</t>
  </si>
  <si>
    <t>field excitation</t>
  </si>
  <si>
    <t>क्षेत्र उत्तेजन</t>
  </si>
  <si>
    <t>field forcing</t>
  </si>
  <si>
    <t>क्षेत्र बलन</t>
  </si>
  <si>
    <t>field form factor</t>
  </si>
  <si>
    <t>क्षेत्र रुपांक</t>
  </si>
  <si>
    <t>field free</t>
  </si>
  <si>
    <t>क्षेत्रमुक्त</t>
  </si>
  <si>
    <t>field free emission current</t>
  </si>
  <si>
    <t>क्षेत्रमुक्त उत्सर्जन धारा</t>
  </si>
  <si>
    <t>field frequency</t>
  </si>
  <si>
    <t>क्षेत्र वारंवारता</t>
  </si>
  <si>
    <t>field intensity</t>
  </si>
  <si>
    <t>क्षेत्र तीव्रता</t>
  </si>
  <si>
    <t>field intensity ratio</t>
  </si>
  <si>
    <t>क्षेत्र तीव्रता गुणोत्तर</t>
  </si>
  <si>
    <t>field magnet</t>
  </si>
  <si>
    <t>क्षेत्र चुंबक</t>
  </si>
  <si>
    <t>field map</t>
  </si>
  <si>
    <t>क्षेत्र मानचित्र</t>
  </si>
  <si>
    <t>field near antenna</t>
  </si>
  <si>
    <t>आकाशग समीप क्षेत्र</t>
  </si>
  <si>
    <t>field of magnet</t>
  </si>
  <si>
    <t>चुंबकाचे क्षेत्र</t>
  </si>
  <si>
    <t>field of solenoid</t>
  </si>
  <si>
    <t>नालकुंतल क्षेत्र</t>
  </si>
  <si>
    <t>field scan</t>
  </si>
  <si>
    <t>क्षेत्र क्रमवीक्षण</t>
  </si>
  <si>
    <t>field sequential colour television system</t>
  </si>
  <si>
    <t>क्षेत्रानुक्रमीय वर्ण दूरचित्र पद्धति</t>
  </si>
  <si>
    <t>field spider</t>
  </si>
  <si>
    <t>क्षेत्र क्रोडधारी</t>
  </si>
  <si>
    <t>field spool</t>
  </si>
  <si>
    <t>क्षेत्र रीळ</t>
  </si>
  <si>
    <t>field strength</t>
  </si>
  <si>
    <t>field strength meter</t>
  </si>
  <si>
    <t>क्षेत्र तीव्रता मापी</t>
  </si>
  <si>
    <t>fieldistor</t>
  </si>
  <si>
    <t>फिल्डीस्टर (न.)</t>
  </si>
  <si>
    <t>figure of merit</t>
  </si>
  <si>
    <t>गुणवत्ता अंक</t>
  </si>
  <si>
    <t>filament</t>
  </si>
  <si>
    <t>filament activation</t>
  </si>
  <si>
    <t>तंतु सक्रियीकरण</t>
  </si>
  <si>
    <t>filament current</t>
  </si>
  <si>
    <t>तंतु धारा</t>
  </si>
  <si>
    <t>filament getter</t>
  </si>
  <si>
    <t>तंतु गेटर</t>
  </si>
  <si>
    <t>filament lamp</t>
  </si>
  <si>
    <t>तंतु दीप</t>
  </si>
  <si>
    <t>filament transformer</t>
  </si>
  <si>
    <t>तंतु परिवर्तित्र</t>
  </si>
  <si>
    <t>filament voltage</t>
  </si>
  <si>
    <t>तंतु व्होल्टता</t>
  </si>
  <si>
    <t>filament winding</t>
  </si>
  <si>
    <t>तंतु कुंडल</t>
  </si>
  <si>
    <t>filled band</t>
  </si>
  <si>
    <t>व्याप्त पट्ट</t>
  </si>
  <si>
    <t>filler wire</t>
  </si>
  <si>
    <t>पूरण तार</t>
  </si>
  <si>
    <t>filling in compound</t>
  </si>
  <si>
    <t>भरण संयुग</t>
  </si>
  <si>
    <t>film</t>
  </si>
  <si>
    <t>१ तवंग (पु.) २ पापुद्रा (पु.) ३ फिल्म (स्त्री.)</t>
  </si>
  <si>
    <t>filter</t>
  </si>
  <si>
    <t>गाळणी (स्त्री.), चाळणी (स्त्री.)</t>
  </si>
  <si>
    <t>filter attenuation</t>
  </si>
  <si>
    <t>गाळणी क्षीणन</t>
  </si>
  <si>
    <t>filter capacitor</t>
  </si>
  <si>
    <t>गाळणी धारी</t>
  </si>
  <si>
    <t>filter discrimination</t>
  </si>
  <si>
    <t>गाळणी विभेदन</t>
  </si>
  <si>
    <t>filter network</t>
  </si>
  <si>
    <t>जालव्यूह गाळणी</t>
  </si>
  <si>
    <t>filter system</t>
  </si>
  <si>
    <t>गाळणी पद्धति</t>
  </si>
  <si>
    <t>filter transmission band</t>
  </si>
  <si>
    <t>गाळणी पारेषण पट्ट</t>
  </si>
  <si>
    <t>filteration</t>
  </si>
  <si>
    <t>गाळण्याची क्रिया (स्त्री.)</t>
  </si>
  <si>
    <t>final limit</t>
  </si>
  <si>
    <t>अंतिम सीमा</t>
  </si>
  <si>
    <t>final limit switch</t>
  </si>
  <si>
    <t>अंतिम सीमा स्विच</t>
  </si>
  <si>
    <t>final value theorem</t>
  </si>
  <si>
    <t>अंतिम मूल्य प्रमेय</t>
  </si>
  <si>
    <t>finder</t>
  </si>
  <si>
    <t>अन्वेषी (पु.)</t>
  </si>
  <si>
    <t>fine timing control</t>
  </si>
  <si>
    <t>१ सूक्ष्मसममेलित नियंत्रण २ सूक्ष्मसममेलित नियंत्री</t>
  </si>
  <si>
    <t>finger controller</t>
  </si>
  <si>
    <t>अंगुलि नियंत्री</t>
  </si>
  <si>
    <t>finite</t>
  </si>
  <si>
    <t>सांत</t>
  </si>
  <si>
    <t>fire</t>
  </si>
  <si>
    <t>१ प्रज्वलन (न.) २ आग (स्त्री.), विस्तव (पु.), अग्नि (पु.)</t>
  </si>
  <si>
    <t>प्रज्वलन करणे</t>
  </si>
  <si>
    <t>fire door</t>
  </si>
  <si>
    <t>अग्निद्वार (न.)</t>
  </si>
  <si>
    <t>fire extinguisher</t>
  </si>
  <si>
    <t>अग्निशामक (पु.)</t>
  </si>
  <si>
    <t>fire shutter</t>
  </si>
  <si>
    <t>अग्निझडप (स्त्री.)</t>
  </si>
  <si>
    <t>fireproof</t>
  </si>
  <si>
    <t>अग्निरक्षित</t>
  </si>
  <si>
    <t>firing</t>
  </si>
  <si>
    <t>प्रज्वलन (न.)</t>
  </si>
  <si>
    <t>fishbone antenna</t>
  </si>
  <si>
    <t>मीनास्थि आकाशग</t>
  </si>
  <si>
    <t>fitting</t>
  </si>
  <si>
    <t>जुळण (न.), उपकरण (न.), खिळण (न.), फिटिंग (न.), जोडणी (स्त्री.), जोडणीकाम (न.)</t>
  </si>
  <si>
    <t>fitting and fixture</t>
  </si>
  <si>
    <t>जोडणी व खिळणी</t>
  </si>
  <si>
    <t>five legged</t>
  </si>
  <si>
    <t>पाचटांगी</t>
  </si>
  <si>
    <t>fixed</t>
  </si>
  <si>
    <t>स्थिर, अचल</t>
  </si>
  <si>
    <t>fixed capacitor</t>
  </si>
  <si>
    <t>अचल धारित्र, अचल संधारित्र</t>
  </si>
  <si>
    <t>also fixed condenser</t>
  </si>
  <si>
    <t>fixed charge</t>
  </si>
  <si>
    <t>स्थायी आकार</t>
  </si>
  <si>
    <t>also standing charge</t>
  </si>
  <si>
    <t>fixed condenser</t>
  </si>
  <si>
    <t>fixed contact</t>
  </si>
  <si>
    <t>स्थिर संपर्क</t>
  </si>
  <si>
    <t>fixed cycle operation</t>
  </si>
  <si>
    <t>अचल क्रम परिकर्म</t>
  </si>
  <si>
    <t>fixed point representtion</t>
  </si>
  <si>
    <t>स्थिर बिंदु प्रतिदर्शन</t>
  </si>
  <si>
    <t>fixed point variable</t>
  </si>
  <si>
    <t>स्थिर बिंदु चल</t>
  </si>
  <si>
    <t>fixed resistor</t>
  </si>
  <si>
    <t>अचल रोधी</t>
  </si>
  <si>
    <t>fixed time lag</t>
  </si>
  <si>
    <t>fixed trip</t>
  </si>
  <si>
    <t>निबद्ध सटक (स्त्री.)</t>
  </si>
  <si>
    <t>fixed type of metal clad switchgear</t>
  </si>
  <si>
    <t>धातुकवचित स्थिर स्विच उपस्कर</t>
  </si>
  <si>
    <t>fixture</t>
  </si>
  <si>
    <t>खिळण (न.), खिळणी (स्त्री.)</t>
  </si>
  <si>
    <t>flagpole antenna</t>
  </si>
  <si>
    <t>ऊध्वजदंड आकाशग</t>
  </si>
  <si>
    <t>flame proof fitting</t>
  </si>
  <si>
    <t>ज्वालारक्षित जुळण</t>
  </si>
  <si>
    <t>flash arc</t>
  </si>
  <si>
    <t>स्फुल्लिंग प्रज्योत</t>
  </si>
  <si>
    <t>flash butt resistance welding</t>
  </si>
  <si>
    <t>स्फुल्लिंग अग्ररोध सांधण</t>
  </si>
  <si>
    <t>flash lamp</t>
  </si>
  <si>
    <t>चमक दीप</t>
  </si>
  <si>
    <t>flashback voltage</t>
  </si>
  <si>
    <t>पश्चचमक व्होल्टता</t>
  </si>
  <si>
    <t>flashing of dynamo</t>
  </si>
  <si>
    <t>जनित्राचे स्फुल्लिंगन</t>
  </si>
  <si>
    <t>flashover</t>
  </si>
  <si>
    <t>स्फुल्लिंगन (न.)</t>
  </si>
  <si>
    <t>flashover limitations</t>
  </si>
  <si>
    <t>स्फुल्लिंगन सीमा</t>
  </si>
  <si>
    <t>flashover on the wave tail</t>
  </si>
  <si>
    <t>तरंगपुच्छावरील स्फुल्लिंगन</t>
  </si>
  <si>
    <t>flashover test</t>
  </si>
  <si>
    <t>flat commutator segment</t>
  </si>
  <si>
    <t>संरिवर्ती चपट खंड</t>
  </si>
  <si>
    <t>flat rate tariff</t>
  </si>
  <si>
    <t>समदर प्रशुल्क</t>
  </si>
  <si>
    <t>flat strip</t>
  </si>
  <si>
    <t>चपट पट्टी</t>
  </si>
  <si>
    <t>flat top antenna</t>
  </si>
  <si>
    <t>सपाट माथा आकाशग</t>
  </si>
  <si>
    <t>flat tuning</t>
  </si>
  <si>
    <t>स्थल मेलन, सपाट मेलन</t>
  </si>
  <si>
    <t>also broad tuning</t>
  </si>
  <si>
    <t>Fleming's left hand rule</t>
  </si>
  <si>
    <t>फ्लेमिंगचा डाव्या हाताचा नियम</t>
  </si>
  <si>
    <t>Fleming's right hand rule</t>
  </si>
  <si>
    <t>फ्लेमिंगचा उजव्या हाताचा नियम</t>
  </si>
  <si>
    <t>flexible</t>
  </si>
  <si>
    <t>नम्य</t>
  </si>
  <si>
    <t>flexible cable</t>
  </si>
  <si>
    <t>नम्य केबल</t>
  </si>
  <si>
    <t>flexible metalic conduit</t>
  </si>
  <si>
    <t>नम्य धातु वाहनळी</t>
  </si>
  <si>
    <t>flexible support</t>
  </si>
  <si>
    <t>नम्य आधार</t>
  </si>
  <si>
    <t>flexible wire rope</t>
  </si>
  <si>
    <t>नम्य तार दोर, नम्य तार रज्जू</t>
  </si>
  <si>
    <t>flicker</t>
  </si>
  <si>
    <t>लुकलुक (स्त्री.)</t>
  </si>
  <si>
    <t>flicker effect</t>
  </si>
  <si>
    <t>लुकलुक परिणाम</t>
  </si>
  <si>
    <t>flicker photometer</t>
  </si>
  <si>
    <t>लुकलुक प्रकाशमापी</t>
  </si>
  <si>
    <t>floating</t>
  </si>
  <si>
    <t>तरते</t>
  </si>
  <si>
    <t>floating coil</t>
  </si>
  <si>
    <t>तरते कुंडल</t>
  </si>
  <si>
    <t>floating point variable</t>
  </si>
  <si>
    <t>तर बिंदु चल</t>
  </si>
  <si>
    <t>floating potential</t>
  </si>
  <si>
    <t>तरता विभव</t>
  </si>
  <si>
    <t>flood lighting</t>
  </si>
  <si>
    <t>झोत दीपन (न.)</t>
  </si>
  <si>
    <t>floodlight</t>
  </si>
  <si>
    <t>प्रकाशझोत (पु.)</t>
  </si>
  <si>
    <t>floor indicator</t>
  </si>
  <si>
    <t>माळा दर्शी (पु.)</t>
  </si>
  <si>
    <t>flow</t>
  </si>
  <si>
    <t>प्रवाह (पु.)</t>
  </si>
  <si>
    <t>flow chart</t>
  </si>
  <si>
    <t>प्रवाह तक्ता</t>
  </si>
  <si>
    <t>fluctuating load</t>
  </si>
  <si>
    <t>चढौतारी भार</t>
  </si>
  <si>
    <t>fluorescence</t>
  </si>
  <si>
    <t>प्रतिदीप्ति (स्त्री.)</t>
  </si>
  <si>
    <t>fluorescent</t>
  </si>
  <si>
    <t>प्रतिदीप्त</t>
  </si>
  <si>
    <t>fluorescent lamp</t>
  </si>
  <si>
    <t>प्रतिदीप्त दीप</t>
  </si>
  <si>
    <t>fluorescent screen</t>
  </si>
  <si>
    <t>प्रतिदीप्त पटल</t>
  </si>
  <si>
    <t>fluorescent tube</t>
  </si>
  <si>
    <t>प्रतिदीप्त नलिका</t>
  </si>
  <si>
    <t>fluorite</t>
  </si>
  <si>
    <t>Min. फ्लुओराइट (न.)</t>
  </si>
  <si>
    <t>flush switch</t>
  </si>
  <si>
    <t>निवेशित स्विच (पु.)</t>
  </si>
  <si>
    <t>flutter</t>
  </si>
  <si>
    <t>फडफड (स्त्री.) (as in echo flutter प्रतिध्वनि फडफड)</t>
  </si>
  <si>
    <t>flux</t>
  </si>
  <si>
    <t>अभिवाह (पु.)</t>
  </si>
  <si>
    <t>flux density</t>
  </si>
  <si>
    <t>flux distribution</t>
  </si>
  <si>
    <t>अभिवाह वितरण</t>
  </si>
  <si>
    <t>flux free</t>
  </si>
  <si>
    <t>अभिवाह मुक्त-</t>
  </si>
  <si>
    <t>flux increment</t>
  </si>
  <si>
    <t>अभिवाह वृद्धि</t>
  </si>
  <si>
    <t>flux leakage</t>
  </si>
  <si>
    <t>अभिवाह गलन</t>
  </si>
  <si>
    <t>flux linkage</t>
  </si>
  <si>
    <t>अभिवाह ग्रंथन</t>
  </si>
  <si>
    <t>flux probe</t>
  </si>
  <si>
    <t>अभिवाह शोधाग्र</t>
  </si>
  <si>
    <t>flux value</t>
  </si>
  <si>
    <t>अभिवाह मूल्य</t>
  </si>
  <si>
    <t>fluxmeter</t>
  </si>
  <si>
    <t>अभिवाहमापी (पु.)</t>
  </si>
  <si>
    <t>flyback</t>
  </si>
  <si>
    <t>प्रतिक्षेप (पु.)</t>
  </si>
  <si>
    <t>flyback line</t>
  </si>
  <si>
    <t>प्रतिक्षेप रेषा</t>
  </si>
  <si>
    <t>flying spot</t>
  </si>
  <si>
    <t>उडता ठिपका</t>
  </si>
  <si>
    <t>flying spot scanner</t>
  </si>
  <si>
    <t>उडता ठिपका क्रमवीक्षणी</t>
  </si>
  <si>
    <t>flywheel alternator</t>
  </si>
  <si>
    <t>जडचक्र प्रत्यावर्तित्र</t>
  </si>
  <si>
    <t>flywheel effect</t>
  </si>
  <si>
    <t>जडचक्र परिणाम</t>
  </si>
  <si>
    <t>focal length of lens</t>
  </si>
  <si>
    <t>भिंगाचे नाभीय अंतर</t>
  </si>
  <si>
    <t>focal points in electron lens system</t>
  </si>
  <si>
    <t>इलेक्ट्रॉन भिंग पद्धतीतील नाभीय बिंदू (पु.अ.व.)</t>
  </si>
  <si>
    <t>focusing</t>
  </si>
  <si>
    <t>नाभीयन (न.)</t>
  </si>
  <si>
    <t>focusing anode</t>
  </si>
  <si>
    <t>नाभीयन ऍनोड</t>
  </si>
  <si>
    <t>focusing coil</t>
  </si>
  <si>
    <t>नाभीयन कुंडल</t>
  </si>
  <si>
    <t>focusing control</t>
  </si>
  <si>
    <t>१ नाभीय नियंत्रण २ नाभीय नियंत्री</t>
  </si>
  <si>
    <t>focusing electrode</t>
  </si>
  <si>
    <t>नाभीयन इलेक्ट्रोड</t>
  </si>
  <si>
    <t>foil</t>
  </si>
  <si>
    <t>पर्ण (न.), वर्ख (पु.), पत्री (स्त्री.)</t>
  </si>
  <si>
    <t>folded</t>
  </si>
  <si>
    <t>वलित</t>
  </si>
  <si>
    <t>folded dipole antenna</t>
  </si>
  <si>
    <t>वलित द्विधुव आकाशग</t>
  </si>
  <si>
    <t>follower</t>
  </si>
  <si>
    <t>अनुगामी (पु.)</t>
  </si>
  <si>
    <t>fool proof</t>
  </si>
  <si>
    <t>अज्ञरक्षित</t>
  </si>
  <si>
    <t>foot</t>
  </si>
  <si>
    <t>पाद (पु.), कट (पु.)</t>
  </si>
  <si>
    <t>foot candle</t>
  </si>
  <si>
    <t>फूट कॅन्डल (न.)</t>
  </si>
  <si>
    <t>foot candle power</t>
  </si>
  <si>
    <t>फूट कँडल शक्ति</t>
  </si>
  <si>
    <t>foot lambert</t>
  </si>
  <si>
    <t>फूट लॅम्बर्ट (न.)</t>
  </si>
  <si>
    <t>forbidden combination check</t>
  </si>
  <si>
    <t>निषिद्ध संयोग पडताळा</t>
  </si>
  <si>
    <t>force</t>
  </si>
  <si>
    <t>बल (न.)</t>
  </si>
  <si>
    <t>forced</t>
  </si>
  <si>
    <t>बलित</t>
  </si>
  <si>
    <t>forced air draft</t>
  </si>
  <si>
    <t>बलित वात प्रवाह</t>
  </si>
  <si>
    <t>forced commutation</t>
  </si>
  <si>
    <t>दलित संपरिवर्तन</t>
  </si>
  <si>
    <t>forced oscillations</t>
  </si>
  <si>
    <t>दलित दोलने (न.अ.व.)</t>
  </si>
  <si>
    <t>forked circuit</t>
  </si>
  <si>
    <t>विशाखित परिपथ</t>
  </si>
  <si>
    <t>forked lightning</t>
  </si>
  <si>
    <t>विशाखित तडित</t>
  </si>
  <si>
    <t>formed coil</t>
  </si>
  <si>
    <t>रुपित कुंडल</t>
  </si>
  <si>
    <t>formed plate</t>
  </si>
  <si>
    <t>रुपित पट</t>
  </si>
  <si>
    <t>former wound coil</t>
  </si>
  <si>
    <t>रुपदवेष्टित कुंडल</t>
  </si>
  <si>
    <t>forming</t>
  </si>
  <si>
    <t>रुपण (न.)</t>
  </si>
  <si>
    <t>forward lead</t>
  </si>
  <si>
    <t>पुरःसृति (स्त्री.)</t>
  </si>
  <si>
    <t>also forward shift</t>
  </si>
  <si>
    <t>forward pitch</t>
  </si>
  <si>
    <t>अग्र अभ्यंतर</t>
  </si>
  <si>
    <t>also front pitch</t>
  </si>
  <si>
    <t>forward shift</t>
  </si>
  <si>
    <t>forward travelling</t>
  </si>
  <si>
    <t>प्रगामी-</t>
  </si>
  <si>
    <t>Foster's reactance theorem</t>
  </si>
  <si>
    <t>फॉस्टरचे प्रतिरोध प्रमेय</t>
  </si>
  <si>
    <t>Foucault current</t>
  </si>
  <si>
    <t>फूको धारा</t>
  </si>
  <si>
    <t>four phase system</t>
  </si>
  <si>
    <t>चतुर्प्रावस्था पद्धति</t>
  </si>
  <si>
    <t>four terminal network</t>
  </si>
  <si>
    <t>चतुराग्री जालव्यूह</t>
  </si>
  <si>
    <t>four way switch</t>
  </si>
  <si>
    <t>चतुष्पद स्विच</t>
  </si>
  <si>
    <t>four wire system</t>
  </si>
  <si>
    <t>चौतार पद्धति</t>
  </si>
  <si>
    <t>four wire two phase circuit</t>
  </si>
  <si>
    <t>चौतार द्विप्रावस्ता परिपथ</t>
  </si>
  <si>
    <t>Fourier analysis</t>
  </si>
  <si>
    <t>फूरिए विश्लेषण</t>
  </si>
  <si>
    <t>Fourier analysis of waves</t>
  </si>
  <si>
    <t>फूरिए तरंग विश्लेषण</t>
  </si>
  <si>
    <t>fourth rail insulator</t>
  </si>
  <si>
    <t>चतुर्थ रुळ निरोधी</t>
  </si>
  <si>
    <t>fourth wire</t>
  </si>
  <si>
    <t>चौथी तार</t>
  </si>
  <si>
    <t>frame antenna</t>
  </si>
  <si>
    <t>frame direction finder</t>
  </si>
  <si>
    <t>चौकट दिशान्वेषी</t>
  </si>
  <si>
    <t>frame frequency</t>
  </si>
  <si>
    <t>चौकट वारंवारता</t>
  </si>
  <si>
    <t>frame type switch board</t>
  </si>
  <si>
    <t>चौकट स्विच फलक</t>
  </si>
  <si>
    <t>(also skeleton type switchboard)</t>
  </si>
  <si>
    <t>framed construction</t>
  </si>
  <si>
    <t>चौकटी संरचना</t>
  </si>
  <si>
    <t>framing oscillator</t>
  </si>
  <si>
    <t>चौकट दोली</t>
  </si>
  <si>
    <t>Franklin antenna</t>
  </si>
  <si>
    <t>फँकलिन आकाशग</t>
  </si>
  <si>
    <t>free</t>
  </si>
  <si>
    <t>मुक्त</t>
  </si>
  <si>
    <t>free charge</t>
  </si>
  <si>
    <t>मुक्त प्रभार</t>
  </si>
  <si>
    <t>free electron</t>
  </si>
  <si>
    <t>मुक्त इलेक्ट्रॉन</t>
  </si>
  <si>
    <t>free field</t>
  </si>
  <si>
    <t>मुक्त क्षेत्र</t>
  </si>
  <si>
    <t>free oscillation</t>
  </si>
  <si>
    <t>मुक्त दोलन</t>
  </si>
  <si>
    <t>free pole</t>
  </si>
  <si>
    <t>मुक्त धुव</t>
  </si>
  <si>
    <t>free running period</t>
  </si>
  <si>
    <t>मुक्त धाव अवधि</t>
  </si>
  <si>
    <t>free running speed</t>
  </si>
  <si>
    <t>free trip</t>
  </si>
  <si>
    <t>मुक्त सटक (स्त्री.)</t>
  </si>
  <si>
    <t>freed charge</t>
  </si>
  <si>
    <t>मोचित प्रभार</t>
  </si>
  <si>
    <t>frequency</t>
  </si>
  <si>
    <t>वारंवारता (स्त्री.)</t>
  </si>
  <si>
    <t>audio frequency श्रुति वारंवारता extremely high frequency परम उच्च वारंवारता high frequency उच्च वारंवारता low frequency निम्न वारंवारता medium frequency मध्यम वारंवारता radio frequency रेडिओ वारंवारता super high frequency महाउच्च वारंवारता television frequency = video frequency दृक वारंवारता, चित्र वारंवारता ultra high frequency पराउच्च वारंवारता very high frequency अतिउच्च वारंवारता very low frequency अतिनिम्न वारंवारता</t>
  </si>
  <si>
    <t>frequency allocation</t>
  </si>
  <si>
    <t>वारंवारता नियतन</t>
  </si>
  <si>
    <t>frequency band</t>
  </si>
  <si>
    <t>वारंवारता पट्ट</t>
  </si>
  <si>
    <t>frequency bridge</t>
  </si>
  <si>
    <t>वारंवारता सेतु</t>
  </si>
  <si>
    <t>frequency changer</t>
  </si>
  <si>
    <t>वारंवारता बदलकारी</t>
  </si>
  <si>
    <t>frequency characteristic</t>
  </si>
  <si>
    <t>वारंवारता अभिलक्षण</t>
  </si>
  <si>
    <t>frequency control</t>
  </si>
  <si>
    <t>१ वारंवारता नियंत्रण २ वारंवारता नियंत्री</t>
  </si>
  <si>
    <t>frequency conversion</t>
  </si>
  <si>
    <t>वारंवारता रुपांतर</t>
  </si>
  <si>
    <t>frequency converter</t>
  </si>
  <si>
    <t>वारंवारता रुपांतरित्र</t>
  </si>
  <si>
    <t>frequency demultiplication</t>
  </si>
  <si>
    <t>वारंवारता विभाजन</t>
  </si>
  <si>
    <t>frequency deviation</t>
  </si>
  <si>
    <t>वारंवारता विचलन</t>
  </si>
  <si>
    <t>frequency discrimination</t>
  </si>
  <si>
    <t>वारंवारता विभेदन</t>
  </si>
  <si>
    <t>frequency distortion</t>
  </si>
  <si>
    <t>वारंवारता विकृति</t>
  </si>
  <si>
    <t>frequency diversity</t>
  </si>
  <si>
    <t>वारंवारता विविधता</t>
  </si>
  <si>
    <t>frequency doubler</t>
  </si>
  <si>
    <t>वारंवारता द्विगुणक</t>
  </si>
  <si>
    <t>frequency drift</t>
  </si>
  <si>
    <t>frequency measurement</t>
  </si>
  <si>
    <t>वारंवारता मापन</t>
  </si>
  <si>
    <t>frequency meter</t>
  </si>
  <si>
    <t>वारंवारतामापी (पु.)</t>
  </si>
  <si>
    <t>frequency modulated signal</t>
  </si>
  <si>
    <t>वारंवारता अपरिवर्तित संकेत</t>
  </si>
  <si>
    <t>frequency modulation</t>
  </si>
  <si>
    <t>वारंवारता आपरिवर्तन</t>
  </si>
  <si>
    <t>frequency modulation receiver</t>
  </si>
  <si>
    <t>वारंवारता अपरिवर्तन ग्राही</t>
  </si>
  <si>
    <t>frequency monitor</t>
  </si>
  <si>
    <t>वारंवारता अनुबोधी</t>
  </si>
  <si>
    <t>frequency multiplier</t>
  </si>
  <si>
    <t>वारंवारता गुणक</t>
  </si>
  <si>
    <t>frequency of oscillation</t>
  </si>
  <si>
    <t>दोलन वारंवारता</t>
  </si>
  <si>
    <t>frequency pulling</t>
  </si>
  <si>
    <t>वारंवारता ओढ</t>
  </si>
  <si>
    <t>frequency relay</t>
  </si>
  <si>
    <t>वारंवारता पुनरेषी</t>
  </si>
  <si>
    <t>frequency response</t>
  </si>
  <si>
    <t>वारंवारता अनुक्रिया</t>
  </si>
  <si>
    <t>frequency response characteristic</t>
  </si>
  <si>
    <t>वारंवारता अनुक्रिया अभिलक्षण</t>
  </si>
  <si>
    <t>frequency selectivity</t>
  </si>
  <si>
    <t>वारंवारता वरणता</t>
  </si>
  <si>
    <t>frequency shift keying</t>
  </si>
  <si>
    <t>वारंवारता सृति कळचालन</t>
  </si>
  <si>
    <t>frequency stabilisation</t>
  </si>
  <si>
    <t>वारंवारता स्थायीकरण</t>
  </si>
  <si>
    <t>frequency stability</t>
  </si>
  <si>
    <t>वारंवारता स्थायित्व</t>
  </si>
  <si>
    <t>frequency transformer</t>
  </si>
  <si>
    <t>वारंवारता परिवर्तित्र</t>
  </si>
  <si>
    <t>frequency tripler</t>
  </si>
  <si>
    <t>वारंवारता त्रिगुणी</t>
  </si>
  <si>
    <t>friction</t>
  </si>
  <si>
    <t>घर्षण (न.)</t>
  </si>
  <si>
    <t>friction effect</t>
  </si>
  <si>
    <t>घर्षण परिणाम, घर्षण प्रभाव</t>
  </si>
  <si>
    <t>friction loss</t>
  </si>
  <si>
    <t>घर्षण हानि</t>
  </si>
  <si>
    <t>friction shoes</t>
  </si>
  <si>
    <t>घर्षण पाद (पु.अ.व.)</t>
  </si>
  <si>
    <t>frictional electricity</t>
  </si>
  <si>
    <t>घर्षण विद्युत</t>
  </si>
  <si>
    <t>fringing</t>
  </si>
  <si>
    <t>सीमावृद्धि (स्त्री.)</t>
  </si>
  <si>
    <t>frog</t>
  </si>
  <si>
    <t>प्लव (पु.)</t>
  </si>
  <si>
    <t>front pitch</t>
  </si>
  <si>
    <t>front porch</t>
  </si>
  <si>
    <t>अग्र अलिंद</t>
  </si>
  <si>
    <t>frosted lamp</t>
  </si>
  <si>
    <t>धूसरित दीप</t>
  </si>
  <si>
    <t>fuel variation</t>
  </si>
  <si>
    <t>इंधन बदल</t>
  </si>
  <si>
    <t>full impulse voltage</t>
  </si>
  <si>
    <t>पूर्ण विस्पंद व्होल्टता</t>
  </si>
  <si>
    <t>full load</t>
  </si>
  <si>
    <t>पूर्ण भार</t>
  </si>
  <si>
    <t>full load current</t>
  </si>
  <si>
    <t>पूर्ण भार धारा</t>
  </si>
  <si>
    <t>full pitch</t>
  </si>
  <si>
    <t>पूर्ण अभ्यंतर</t>
  </si>
  <si>
    <t>full pitch coil</t>
  </si>
  <si>
    <t>पूर्ण अभ्यंतर कुंडल</t>
  </si>
  <si>
    <t>full pitch winding</t>
  </si>
  <si>
    <t>पूर्ण अभ्यंतर कुंडलन</t>
  </si>
  <si>
    <t>full radiator</t>
  </si>
  <si>
    <t>पूर्ण प्रारी</t>
  </si>
  <si>
    <t>full satelite exchange</t>
  </si>
  <si>
    <t>संपूर्ण उपग्रह विनिमय</t>
  </si>
  <si>
    <t>full series position</t>
  </si>
  <si>
    <t>सर्वश्रेणी स्थान</t>
  </si>
  <si>
    <t>full wave rectification</t>
  </si>
  <si>
    <t>पूर्णतरंग दिष्टीकरण</t>
  </si>
  <si>
    <t>full wave rectifier</t>
  </si>
  <si>
    <t>पूर्णतरंग दिष्टकारी</t>
  </si>
  <si>
    <t>function</t>
  </si>
  <si>
    <t>१ फल (न.) २ फलन (न.) ३ कार्य (न.)</t>
  </si>
  <si>
    <t>function generator</t>
  </si>
  <si>
    <t>फलन जनित्र</t>
  </si>
  <si>
    <t>functional design</t>
  </si>
  <si>
    <t>फलनिक संकल्पन</t>
  </si>
  <si>
    <t>fundamental</t>
  </si>
  <si>
    <t>मूल-</t>
  </si>
  <si>
    <t>fundamental component</t>
  </si>
  <si>
    <t>मूल घटक</t>
  </si>
  <si>
    <t>fundamental frequency</t>
  </si>
  <si>
    <t>मूल वारंवारता</t>
  </si>
  <si>
    <t>fundamental impedance diagram</t>
  </si>
  <si>
    <t>मूलभूत संरोध रेखाकृति, मूल संरोध आकृति</t>
  </si>
  <si>
    <t>fundamental mode</t>
  </si>
  <si>
    <t>मूल रीति</t>
  </si>
  <si>
    <t>fundamental units</t>
  </si>
  <si>
    <t>मूल एकक (न.अ.व.)</t>
  </si>
  <si>
    <t>fundamental wavelength</t>
  </si>
  <si>
    <t>मूल तरंगलांबी</t>
  </si>
  <si>
    <t>furnace</t>
  </si>
  <si>
    <t>भट्टी (स्त्री.)</t>
  </si>
  <si>
    <t>fuse</t>
  </si>
  <si>
    <t>वितळतार (स्त्री.)</t>
  </si>
  <si>
    <t>fuse board</t>
  </si>
  <si>
    <t>वितळतार फलक (पु.)</t>
  </si>
  <si>
    <t>fuse box</t>
  </si>
  <si>
    <t>वितळतारपे टी</t>
  </si>
  <si>
    <t>fuse call</t>
  </si>
  <si>
    <t>वितळतार पाचारण</t>
  </si>
  <si>
    <t>fuse carrier</t>
  </si>
  <si>
    <t>fuse characteristic</t>
  </si>
  <si>
    <t>वितळतार अभिलक्षण</t>
  </si>
  <si>
    <t>fuse current rating</t>
  </si>
  <si>
    <t>वितळतार धारा निर्देशन</t>
  </si>
  <si>
    <t>fuse element</t>
  </si>
  <si>
    <t>fuse frequency rating</t>
  </si>
  <si>
    <t>वितळतार वारंवारता निदशन</t>
  </si>
  <si>
    <t>fuse holder</t>
  </si>
  <si>
    <t>वितळतार धारक</t>
  </si>
  <si>
    <t>(also fuse carrier)</t>
  </si>
  <si>
    <t>fuse link</t>
  </si>
  <si>
    <t>वितळतार दुवा</t>
  </si>
  <si>
    <t>fuse switch</t>
  </si>
  <si>
    <t>वितळतार स्विच</t>
  </si>
  <si>
    <t>fuse tongs</t>
  </si>
  <si>
    <t>वितळतार चिमटा</t>
  </si>
  <si>
    <t>fusing current</t>
  </si>
  <si>
    <t>वितळण धारा</t>
  </si>
  <si>
    <t>fusing factor</t>
  </si>
  <si>
    <t>वितळ अंक (पु.)</t>
  </si>
  <si>
    <t>fusion</t>
  </si>
  <si>
    <t>१ एकीकरण (न.) (as in nuclear fusion न्यूक्लीय एकीकरण) २ वितळण (न.)</t>
  </si>
  <si>
    <t>fusion welding</t>
  </si>
  <si>
    <t>वितळ सांधण</t>
  </si>
  <si>
    <t>gain</t>
  </si>
  <si>
    <t>लाभ (पु.), लब्धि (स्त्री.)</t>
  </si>
  <si>
    <t>gain control</t>
  </si>
  <si>
    <t>लब्धि नियंत्रण</t>
  </si>
  <si>
    <t>gain of antenna</t>
  </si>
  <si>
    <t>आकाशग लब्धि</t>
  </si>
  <si>
    <t>gain plate of voltameter</t>
  </si>
  <si>
    <t>व्होल्टामापी लब्धिपट</t>
  </si>
  <si>
    <t>galena</t>
  </si>
  <si>
    <t>Min. गॅलेना (न.)</t>
  </si>
  <si>
    <t>galena detector</t>
  </si>
  <si>
    <t>गॅलेना शोधी</t>
  </si>
  <si>
    <t>galvanic adapter</t>
  </si>
  <si>
    <t>गॅल्व्हानी अनुकूलक</t>
  </si>
  <si>
    <t>galvanic cautery</t>
  </si>
  <si>
    <t>गॅल्व्हानी ऊतिवाही</t>
  </si>
  <si>
    <t>galvanic couple</t>
  </si>
  <si>
    <t>गॅल्व्हानी युग्म</t>
  </si>
  <si>
    <t>galvanisation</t>
  </si>
  <si>
    <t>गॅल्व्हनीकरण (न.)</t>
  </si>
  <si>
    <t>galvanised</t>
  </si>
  <si>
    <t>गॅल्व्हनित</t>
  </si>
  <si>
    <t>galvanised steelwire</t>
  </si>
  <si>
    <t>गॅल्व्हनित पोलादतार</t>
  </si>
  <si>
    <t>galvanometer</t>
  </si>
  <si>
    <t>गॅल्व्हानोमापी (पु.)</t>
  </si>
  <si>
    <t>galvanometer constant</t>
  </si>
  <si>
    <t>गॅल्व्हानोमापी स्थिरांक</t>
  </si>
  <si>
    <t>galvanometer period</t>
  </si>
  <si>
    <t>गॅल्व्हानोमापी आवृत्तिकाल</t>
  </si>
  <si>
    <t>galvanometer resistance</t>
  </si>
  <si>
    <t>गॅल्व्हानोमापी रोध</t>
  </si>
  <si>
    <t>galvanometer sensitivity</t>
  </si>
  <si>
    <t>गॅल्व्हानोमापी संवेदनता</t>
  </si>
  <si>
    <t>galvanometer shunt</t>
  </si>
  <si>
    <t>गॅल्व्हानोमापी पार्श्वपथ</t>
  </si>
  <si>
    <t>gang condenser</t>
  </si>
  <si>
    <t>समूहित धारी</t>
  </si>
  <si>
    <t>gang operated device</t>
  </si>
  <si>
    <t>समूहचालित साधन</t>
  </si>
  <si>
    <t>gang switch box</t>
  </si>
  <si>
    <t>समूहित स्विच पेटी</t>
  </si>
  <si>
    <t>ganged tuning</t>
  </si>
  <si>
    <t>समूहित मेलन</t>
  </si>
  <si>
    <t>gap</t>
  </si>
  <si>
    <t>अंतर (न.), विस्तृति (स्त्री.)</t>
  </si>
  <si>
    <t>gap arrester</t>
  </si>
  <si>
    <t>अंतर प्रग्राही</t>
  </si>
  <si>
    <t>gap density</t>
  </si>
  <si>
    <t>अंतर घनता</t>
  </si>
  <si>
    <t>gap setting</t>
  </si>
  <si>
    <t>अंतर अनुयोजन</t>
  </si>
  <si>
    <t>gas</t>
  </si>
  <si>
    <t>वायु (पु.), गॅस (पु.)</t>
  </si>
  <si>
    <t>gas amplification</t>
  </si>
  <si>
    <t>वायु प्रवर्धन</t>
  </si>
  <si>
    <t>gas breakdown</t>
  </si>
  <si>
    <t>वायु विभंग</t>
  </si>
  <si>
    <t>gas filled cell</t>
  </si>
  <si>
    <t>वायुपूरित घट</t>
  </si>
  <si>
    <t>gas filled electric lamp</t>
  </si>
  <si>
    <t>वायुपूरित विद्युत दीप</t>
  </si>
  <si>
    <t>gas filled filament</t>
  </si>
  <si>
    <t>वायुपूरित तंतु</t>
  </si>
  <si>
    <t>gas filled lamp</t>
  </si>
  <si>
    <t>वायुपूरित दीप</t>
  </si>
  <si>
    <t>gas filled rectifier</t>
  </si>
  <si>
    <t>वायुपूरित दिष्टकारी</t>
  </si>
  <si>
    <t>gas filled relay</t>
  </si>
  <si>
    <t>वायुपूरित पुनरेषी</t>
  </si>
  <si>
    <t>gas focusing</t>
  </si>
  <si>
    <t>वायु नाभीयन</t>
  </si>
  <si>
    <t>gas mantle</t>
  </si>
  <si>
    <t>वायु प्रावरण</t>
  </si>
  <si>
    <t>gas maser</t>
  </si>
  <si>
    <t>वायु मेसर</t>
  </si>
  <si>
    <t>gas noise</t>
  </si>
  <si>
    <t>वायु कुरव</t>
  </si>
  <si>
    <t>gas pressure impregnated cable</t>
  </si>
  <si>
    <t>वायु दाब व्यापित केबल</t>
  </si>
  <si>
    <t>gas tube</t>
  </si>
  <si>
    <t>वायुनलिका (स्त्री.)</t>
  </si>
  <si>
    <t>gaseous</t>
  </si>
  <si>
    <t>वायवीय, वायु-</t>
  </si>
  <si>
    <t>gassing</t>
  </si>
  <si>
    <t>वायुबुदबुदन (न.)</t>
  </si>
  <si>
    <t>gate</t>
  </si>
  <si>
    <t>द्वार (न.), फाटक (न.)</t>
  </si>
  <si>
    <t>AND gate व द्वार, ँड द्वार NAND gate अव द्वार, नँन्ड द्वार NOR gate नाथवा द्वार, नॉर द्वार NOT gate न द्वार, नॉट द्वार OR gate अथवा द्वार, ऑर द्वार</t>
  </si>
  <si>
    <t>gate closer</t>
  </si>
  <si>
    <t>द्वारबंदक (पु.)</t>
  </si>
  <si>
    <t>gate closer device</t>
  </si>
  <si>
    <t>द्वारबंदी साधन</t>
  </si>
  <si>
    <t>gate contact switch</t>
  </si>
  <si>
    <t>द्वार संपर्की स्विच</t>
  </si>
  <si>
    <t>gate detector</t>
  </si>
  <si>
    <t>द्वारशोधी (पु.)</t>
  </si>
  <si>
    <t>gate impedance</t>
  </si>
  <si>
    <t>द्वार संरोध</t>
  </si>
  <si>
    <t>gate interlock</t>
  </si>
  <si>
    <t>द्वार आंतरपाश</t>
  </si>
  <si>
    <t>gate interlocking</t>
  </si>
  <si>
    <t>द्वार आंतरपाशन</t>
  </si>
  <si>
    <t>gate operator</t>
  </si>
  <si>
    <t>gate switch</t>
  </si>
  <si>
    <t>gate voltage</t>
  </si>
  <si>
    <t>द्वार व्होल्टता</t>
  </si>
  <si>
    <t>gate winding</t>
  </si>
  <si>
    <t>द्वार कुंडलन</t>
  </si>
  <si>
    <t>gated AVC</t>
  </si>
  <si>
    <t>द्वारित स्वधनि (स्वयंचलित ध्वनिमान नियंत्रण)</t>
  </si>
  <si>
    <t>gating</t>
  </si>
  <si>
    <t>द्वारण (न.)</t>
  </si>
  <si>
    <t>gating function</t>
  </si>
  <si>
    <t>द्वारण फल</t>
  </si>
  <si>
    <t>gauge</t>
  </si>
  <si>
    <t>प्रमापी (पु.)</t>
  </si>
  <si>
    <t>gauge brush</t>
  </si>
  <si>
    <t>प्रमापी कुंचला</t>
  </si>
  <si>
    <t>gauss</t>
  </si>
  <si>
    <t>गाऊस (न.)</t>
  </si>
  <si>
    <t>Gauss's law</t>
  </si>
  <si>
    <t>गाऊसचा नियम</t>
  </si>
  <si>
    <t>Gauss's theorem</t>
  </si>
  <si>
    <t>गाऊसचे प्रमेय</t>
  </si>
  <si>
    <t>Gaussian curve</t>
  </si>
  <si>
    <t>गाऊसीन वक्र</t>
  </si>
  <si>
    <t>Gaussmeter</t>
  </si>
  <si>
    <t>गाऊसमापी (पु.)</t>
  </si>
  <si>
    <t>gauze brush</t>
  </si>
  <si>
    <t>जाळी कुंचला</t>
  </si>
  <si>
    <t>gear</t>
  </si>
  <si>
    <t>१ यंत्रावली (स्त्री.), उपस्कर (पु.) २ सामग्री (स्त्री.) ३ दंतचक्र (न.), गिअर (न.)</t>
  </si>
  <si>
    <t>gear train</t>
  </si>
  <si>
    <t>दंतचक्र मालिका</t>
  </si>
  <si>
    <t>gearless</t>
  </si>
  <si>
    <t>दंतचक्रहीन</t>
  </si>
  <si>
    <t>gearless machine</t>
  </si>
  <si>
    <t>दंतचक्रहीन यंत्र</t>
  </si>
  <si>
    <t>Geiger counter</t>
  </si>
  <si>
    <t>गायनर गणनी</t>
  </si>
  <si>
    <t>Geiger-Muller threshold</t>
  </si>
  <si>
    <t>गायनर मूलर देहली</t>
  </si>
  <si>
    <t>Geissier tube</t>
  </si>
  <si>
    <t>गाइसलर नलिका</t>
  </si>
  <si>
    <t>general purpose motor</t>
  </si>
  <si>
    <t>सामान्योपयोगी चलित्र</t>
  </si>
  <si>
    <t>generating plant</t>
  </si>
  <si>
    <t>विद्युतजनन संयंत्र</t>
  </si>
  <si>
    <t>generating pressure</t>
  </si>
  <si>
    <t>जनन दाब</t>
  </si>
  <si>
    <t>generating set</t>
  </si>
  <si>
    <t>जनन सट</t>
  </si>
  <si>
    <t>generating station</t>
  </si>
  <si>
    <t>जनन स्थानक, जनन केंद्र, वीजनिर्मिती केंद्र</t>
  </si>
  <si>
    <t>generating station voltage</t>
  </si>
  <si>
    <t>जनन स्थानक व्होल्टता</t>
  </si>
  <si>
    <t>generation</t>
  </si>
  <si>
    <t>जनन (न.)</t>
  </si>
  <si>
    <t>generator</t>
  </si>
  <si>
    <t>जनित्र (न.), जनरेटर (पु.)</t>
  </si>
  <si>
    <t>generator end</t>
  </si>
  <si>
    <t>जनित्र टोक</t>
  </si>
  <si>
    <t>generator field control</t>
  </si>
  <si>
    <t>१ जनन क्षेत्र नियंत्रण २ जनन क्षेत्र नियंत्री</t>
  </si>
  <si>
    <t>geometric amplification factor</t>
  </si>
  <si>
    <t>भूमितीय प्रवर्धन अंक</t>
  </si>
  <si>
    <t>geometric capacitance</t>
  </si>
  <si>
    <t>भूमितीय धारिता</t>
  </si>
  <si>
    <t>germanium rectifier</t>
  </si>
  <si>
    <t>जर्मेनियम दिष्टकारी</t>
  </si>
  <si>
    <t>getter</t>
  </si>
  <si>
    <t>गेटर (न.)</t>
  </si>
  <si>
    <t>geyser</t>
  </si>
  <si>
    <t>गीझर (पु.)</t>
  </si>
  <si>
    <t>ghose image</t>
  </si>
  <si>
    <t>फसवी प्रतिमा</t>
  </si>
  <si>
    <t>glare</t>
  </si>
  <si>
    <t>१ प्रखरदीप्ति (स्त्री.) २ तिरीप (स्त्री.)</t>
  </si>
  <si>
    <t>glass support rod</t>
  </si>
  <si>
    <t>काच आधार दंड</t>
  </si>
  <si>
    <t>gloss</t>
  </si>
  <si>
    <t>चकाकी (स्त्री.)</t>
  </si>
  <si>
    <t>glow</t>
  </si>
  <si>
    <t>प्रभा (स्त्री.)</t>
  </si>
  <si>
    <t>glow discharge</t>
  </si>
  <si>
    <t>प्रभा निर्भारण</t>
  </si>
  <si>
    <t>glow lamp</t>
  </si>
  <si>
    <t>प्रभा दीप</t>
  </si>
  <si>
    <t>gold leaf electroscope</t>
  </si>
  <si>
    <t>सुवर्णपत्र विद्युतदर्शी</t>
  </si>
  <si>
    <t>goniometer</t>
  </si>
  <si>
    <t>कोनमापी (पु.)</t>
  </si>
  <si>
    <t>good earth</t>
  </si>
  <si>
    <t>उत्तम भूसंपर्क</t>
  </si>
  <si>
    <t>governor</t>
  </si>
  <si>
    <t>नियामी (पु.)</t>
  </si>
  <si>
    <t>governor jaw</t>
  </si>
  <si>
    <t>नियामी जंभ</t>
  </si>
  <si>
    <t>governor rope</t>
  </si>
  <si>
    <t>नियामी दोर, नियामी रज्जू</t>
  </si>
  <si>
    <t>graded brush</t>
  </si>
  <si>
    <t>श्रेणीकृत कुंचला</t>
  </si>
  <si>
    <t>gradient</t>
  </si>
  <si>
    <t>प्रवणता (स्त्री.)</t>
  </si>
  <si>
    <t>grading</t>
  </si>
  <si>
    <t>श्रेणीकरण (न.)</t>
  </si>
  <si>
    <t>grading a transmission line</t>
  </si>
  <si>
    <t>पारेषण तारमार्ग श्रेणीकरण</t>
  </si>
  <si>
    <t>grading shield</t>
  </si>
  <si>
    <t>श्रेणीयन परिरक्षी</t>
  </si>
  <si>
    <t>gradual wedge clamp</t>
  </si>
  <si>
    <t>क्रमिक पकड खीळ</t>
  </si>
  <si>
    <t>grain oriented steel</t>
  </si>
  <si>
    <t>कण दिष्ट पोलाद</t>
  </si>
  <si>
    <t>gram calorie</t>
  </si>
  <si>
    <t>ग्रॅम कॅलरी</t>
  </si>
  <si>
    <t>also small calorie</t>
  </si>
  <si>
    <t>Gramme winding</t>
  </si>
  <si>
    <t>ग्रॅम कुंडलन</t>
  </si>
  <si>
    <t>granular</t>
  </si>
  <si>
    <t>रवाळ, कणीदार, दाणेदार</t>
  </si>
  <si>
    <t>granular carbon transmitter</t>
  </si>
  <si>
    <t>कार्बन कण पारेषिन्न</t>
  </si>
  <si>
    <t>granular coherer</t>
  </si>
  <si>
    <t>कणीय संसंजक</t>
  </si>
  <si>
    <t>graph</t>
  </si>
  <si>
    <t>आलेख (पु.)</t>
  </si>
  <si>
    <t>graphic instrument</t>
  </si>
  <si>
    <t>आलेखी उपकरण</t>
  </si>
  <si>
    <t>graphite</t>
  </si>
  <si>
    <t>ग्रॅफाइट (न.)</t>
  </si>
  <si>
    <t>graphite brush</t>
  </si>
  <si>
    <t>ग्रॅफाइट कुंचला</t>
  </si>
  <si>
    <t>gravity control</t>
  </si>
  <si>
    <t>गुरुत्व नियंत्रण</t>
  </si>
  <si>
    <t>grease spot photometer</t>
  </si>
  <si>
    <t>ग्रीझ बिंदु प्रकाशमापी</t>
  </si>
  <si>
    <t>grey spot</t>
  </si>
  <si>
    <t>धूसर बिंदु</t>
  </si>
  <si>
    <t>grid</t>
  </si>
  <si>
    <t>जाळी (स्त्री.), जाल (न.), ग्रिड(न.)</t>
  </si>
  <si>
    <t>grid battery</t>
  </si>
  <si>
    <t>ग्रिड बॅटरी</t>
  </si>
  <si>
    <t>grid bias</t>
  </si>
  <si>
    <t>ग्रिड अभिनति</t>
  </si>
  <si>
    <t>grid bias voltage</t>
  </si>
  <si>
    <t>ग्रिड अभिनति व्होल्टता</t>
  </si>
  <si>
    <t>grid circuit</t>
  </si>
  <si>
    <t>ग्रिड परिपथ</t>
  </si>
  <si>
    <t>grid coil</t>
  </si>
  <si>
    <t>ग्रिड कुंडल</t>
  </si>
  <si>
    <t>grid condenser</t>
  </si>
  <si>
    <t>ग्रिड धारी</t>
  </si>
  <si>
    <t>grid controlled arc rectifier</t>
  </si>
  <si>
    <t>ग्रिड नियंत्रित प्रज्योत दिष्टकारी</t>
  </si>
  <si>
    <t>grid current</t>
  </si>
  <si>
    <t>ग्रिड धारा</t>
  </si>
  <si>
    <t>grid emission</t>
  </si>
  <si>
    <t>ग्रिड उत्सर्जन</t>
  </si>
  <si>
    <t>grid heating</t>
  </si>
  <si>
    <t>ग्रिड ऊष्मन</t>
  </si>
  <si>
    <t>grid input admittance</t>
  </si>
  <si>
    <t>ग्रिड आदान संवहन</t>
  </si>
  <si>
    <t>grid leak</t>
  </si>
  <si>
    <t>ग्रिड गळ, ग्रिड गलन</t>
  </si>
  <si>
    <t>grid leak detection</t>
  </si>
  <si>
    <t>ग्रिड गळ शोधन</t>
  </si>
  <si>
    <t>grid leak detector</t>
  </si>
  <si>
    <t>ग्रिड गळ शोधी</t>
  </si>
  <si>
    <t>grid modulated amplifier</t>
  </si>
  <si>
    <t>ग्रिड आपरिवर्तित प्रवर्धी</t>
  </si>
  <si>
    <t>grid modulated class C amplifier</t>
  </si>
  <si>
    <t>ग्रिड आपरिवर्तित वर्ग C प्रवर्धी</t>
  </si>
  <si>
    <t>grid modulation</t>
  </si>
  <si>
    <t>ग्रिड आपरिवर्तन</t>
  </si>
  <si>
    <t>grid potentiometer</t>
  </si>
  <si>
    <t>ग्रिड विभवमापी</t>
  </si>
  <si>
    <t>grid resistance</t>
  </si>
  <si>
    <t>ग्रिड रोध</t>
  </si>
  <si>
    <t>gripping surface</t>
  </si>
  <si>
    <t>पकड पृष्ठ</t>
  </si>
  <si>
    <t>gross</t>
  </si>
  <si>
    <t>स्थूल</t>
  </si>
  <si>
    <t>ground</t>
  </si>
  <si>
    <t>भूसंपर्क करणे</t>
  </si>
  <si>
    <t>ground capacitance</t>
  </si>
  <si>
    <t>भूप्रत धारिता</t>
  </si>
  <si>
    <t>ground clamp</t>
  </si>
  <si>
    <t>भूसंपर्क पकड</t>
  </si>
  <si>
    <t>ground connection</t>
  </si>
  <si>
    <t>भूसंपर्क (पु.)</t>
  </si>
  <si>
    <t>ground constant</t>
  </si>
  <si>
    <t>भू स्थिरांक</t>
  </si>
  <si>
    <t>ground control approach</t>
  </si>
  <si>
    <t>भू नियंत्रण उपागम</t>
  </si>
  <si>
    <t>ground current</t>
  </si>
  <si>
    <t>ground detector</t>
  </si>
  <si>
    <t>भूसंपर्क शोधी</t>
  </si>
  <si>
    <t>ground effect on antenna</t>
  </si>
  <si>
    <t>आकाशगावरील भू प्रभाव</t>
  </si>
  <si>
    <t>ground equaliser inductor</t>
  </si>
  <si>
    <t>भूसमकारी प्रेरणी</t>
  </si>
  <si>
    <t>ground in armature</t>
  </si>
  <si>
    <t>आर्मेचरमधील भूसंपर्क</t>
  </si>
  <si>
    <t>ground line</t>
  </si>
  <si>
    <t>भूरेषा (स्त्री.)</t>
  </si>
  <si>
    <t>ground noise eliminator</t>
  </si>
  <si>
    <t>भूकुरव विलोपी</t>
  </si>
  <si>
    <t>ground plate</t>
  </si>
  <si>
    <t>भूसंपर्क पट्टिका</t>
  </si>
  <si>
    <t>ground return</t>
  </si>
  <si>
    <t>ground state</t>
  </si>
  <si>
    <t>भू अवस्था</t>
  </si>
  <si>
    <t>ground system for antenna</t>
  </si>
  <si>
    <t>आकाशगासाठी भू-पद्धति</t>
  </si>
  <si>
    <t>ground wave</t>
  </si>
  <si>
    <t>भूसंपर्क तरंग, भू तरंग (पु.)</t>
  </si>
  <si>
    <t>ground wire</t>
  </si>
  <si>
    <t>भूसंपर्क तार</t>
  </si>
  <si>
    <t>ground wire connection</t>
  </si>
  <si>
    <t>भू तार जोडणी</t>
  </si>
  <si>
    <t>grounded</t>
  </si>
  <si>
    <t>भूसंपर्कित</t>
  </si>
  <si>
    <t>grounded anode amplifier</t>
  </si>
  <si>
    <t>भूसंपर्कित ऍनोड प्रवर्धी</t>
  </si>
  <si>
    <t>grounded antenna</t>
  </si>
  <si>
    <t>भूसंपर्कित आकाशग</t>
  </si>
  <si>
    <t>grounded cathode amplifier</t>
  </si>
  <si>
    <t>भूसंपर्कित कॅथोड प्रवर्धी</t>
  </si>
  <si>
    <t>grounded circuit</t>
  </si>
  <si>
    <t>भूसंपर्कित परिपथ</t>
  </si>
  <si>
    <t>grounded grid amplifier</t>
  </si>
  <si>
    <t>भूसंपर्कित ग्रिड प्रवर्धी</t>
  </si>
  <si>
    <t>grounded grid circuit</t>
  </si>
  <si>
    <t>भूसंपर्कित ग्रिड परिपथ</t>
  </si>
  <si>
    <t>grounded part</t>
  </si>
  <si>
    <t>भूसंपर्कित भाग</t>
  </si>
  <si>
    <t>grounded tuning condenser</t>
  </si>
  <si>
    <t>भूसंपर्कित मेलन धारी</t>
  </si>
  <si>
    <t>grounded vertical antenna</t>
  </si>
  <si>
    <t>भूसंपर्कित उभा आकाशग</t>
  </si>
  <si>
    <t>grounding</t>
  </si>
  <si>
    <t>group</t>
  </si>
  <si>
    <t>गट (पु.), समूह (पु.)</t>
  </si>
  <si>
    <t>group automatic operation</t>
  </si>
  <si>
    <t>गट स्वयंचलित परिकर्म</t>
  </si>
  <si>
    <t>group connection</t>
  </si>
  <si>
    <t>गट संबंधन</t>
  </si>
  <si>
    <t>group controlled</t>
  </si>
  <si>
    <t>गट नियंत्रित</t>
  </si>
  <si>
    <t>group delay</t>
  </si>
  <si>
    <t>गट विलंब</t>
  </si>
  <si>
    <t>group drive</t>
  </si>
  <si>
    <t>गट चालन</t>
  </si>
  <si>
    <t>group frequency</t>
  </si>
  <si>
    <t>गट वारंवारता</t>
  </si>
  <si>
    <t>group selector</t>
  </si>
  <si>
    <t>गट वरणी</t>
  </si>
  <si>
    <t>group velocity</t>
  </si>
  <si>
    <t>group velocity in waveguides</t>
  </si>
  <si>
    <t>तरंगमार्गदर्शीतील गट वेग</t>
  </si>
  <si>
    <t>grouped cable</t>
  </si>
  <si>
    <t>समूहित केबल</t>
  </si>
  <si>
    <t>grouping</t>
  </si>
  <si>
    <t>समूहन (न.)</t>
  </si>
  <si>
    <t>grown diffused transistor</t>
  </si>
  <si>
    <t>वर्धित विसृत ट्रान्झिस्टर</t>
  </si>
  <si>
    <t>grown junction</t>
  </si>
  <si>
    <t>वर्धित संधि</t>
  </si>
  <si>
    <t>guard</t>
  </si>
  <si>
    <t>रक्षी (पु.)</t>
  </si>
  <si>
    <t>guard cradle</t>
  </si>
  <si>
    <t>रक्षी दोला</t>
  </si>
  <si>
    <t>guard net</t>
  </si>
  <si>
    <t>रक्षी जाल</t>
  </si>
  <si>
    <t>guard plate</t>
  </si>
  <si>
    <t>रक्षी पट्टिका</t>
  </si>
  <si>
    <t>guard ring</t>
  </si>
  <si>
    <t>रक्षी वलय</t>
  </si>
  <si>
    <t>guard ring capacitor</t>
  </si>
  <si>
    <t>रक्षी वलय धारी</t>
  </si>
  <si>
    <t>guard wire</t>
  </si>
  <si>
    <t>रक्षी तार</t>
  </si>
  <si>
    <t>guidance</t>
  </si>
  <si>
    <t>मार्गदर्शन (न.)</t>
  </si>
  <si>
    <t>guide rail</t>
  </si>
  <si>
    <t>मार्गदर्शी रुळ</t>
  </si>
  <si>
    <t>guide shoe</t>
  </si>
  <si>
    <t>मार्गदर्शी पाद</t>
  </si>
  <si>
    <t>guided waves</t>
  </si>
  <si>
    <t>मार्गदर्शित तरंग (पु.अ.व.)</t>
  </si>
  <si>
    <t>gun</t>
  </si>
  <si>
    <t>१ पिचकारी (स्त्री.) २ बंदुक (स्त्री.)</t>
  </si>
  <si>
    <t>gun current</t>
  </si>
  <si>
    <t>बंदुक धारा</t>
  </si>
  <si>
    <t>guy</t>
  </si>
  <si>
    <t>ताणदोर (पु.)</t>
  </si>
  <si>
    <t>guy wire</t>
  </si>
  <si>
    <t>ताण तार, स्थिरकारी तार</t>
  </si>
  <si>
    <t>gyration resistance</t>
  </si>
  <si>
    <t>परिघूर्णन रोध</t>
  </si>
  <si>
    <t>gyrator</t>
  </si>
  <si>
    <t>परिघूर्णी (पु.)</t>
  </si>
  <si>
    <t>gyroscope</t>
  </si>
  <si>
    <t>परिघूर्णनदर्शी (पु.)</t>
  </si>
  <si>
    <t>H armature</t>
  </si>
  <si>
    <t>H आर्मेचर (पु.)</t>
  </si>
  <si>
    <t>H bend</t>
  </si>
  <si>
    <t>H बाक (पु.)</t>
  </si>
  <si>
    <t>H type pole</t>
  </si>
  <si>
    <t>H आकारी खांब</t>
  </si>
  <si>
    <t>h.r.c fuse</t>
  </si>
  <si>
    <t>उच्च भंजन क्षमता वितळतार (उ.भं.क्ष.वितळतार)</t>
  </si>
  <si>
    <t>high rupturing capacity fuse</t>
  </si>
  <si>
    <t>half adder</t>
  </si>
  <si>
    <t>अर्धबेरजी (पु.)</t>
  </si>
  <si>
    <t>half coiled</t>
  </si>
  <si>
    <t>अर्धकुंडलित</t>
  </si>
  <si>
    <t>half coiled winding</t>
  </si>
  <si>
    <t>अर्धकुंडलित कुंडलन</t>
  </si>
  <si>
    <t>also hemitropic winding</t>
  </si>
  <si>
    <t>half deflection method</t>
  </si>
  <si>
    <t>अर्ध विक्षेपण पद्धति</t>
  </si>
  <si>
    <t>half duplex operation</t>
  </si>
  <si>
    <t>अर्ध द्विपथ परिकर्म</t>
  </si>
  <si>
    <t>half hoop magnet</t>
  </si>
  <si>
    <t>अर्ध नाल चुंबक</t>
  </si>
  <si>
    <t>half power point</t>
  </si>
  <si>
    <t>अर्ध शक्ति बिंदु</t>
  </si>
  <si>
    <t>half set repeater</t>
  </si>
  <si>
    <t>अर्ध सट पुनरावर्ती</t>
  </si>
  <si>
    <t>half wave</t>
  </si>
  <si>
    <t>अर्ध तरंग (पु.)</t>
  </si>
  <si>
    <t>half wave antenna</t>
  </si>
  <si>
    <t>अर्ध तरंग आकाशग</t>
  </si>
  <si>
    <t>half wave dipole</t>
  </si>
  <si>
    <t>अर्ध तरंग द्विधुव</t>
  </si>
  <si>
    <t>half wave length</t>
  </si>
  <si>
    <t>अर्ध तरंग लांबी</t>
  </si>
  <si>
    <t>half wave length antenna</t>
  </si>
  <si>
    <t>अर्ध तरंग लांबी आकाशग</t>
  </si>
  <si>
    <t>half wave rectification</t>
  </si>
  <si>
    <t>अर्ध तरंग दिष्टीकरण</t>
  </si>
  <si>
    <t>half wave rectifier</t>
  </si>
  <si>
    <t>अर्ध तरंग दिष्टकारी</t>
  </si>
  <si>
    <t>half wave transmission</t>
  </si>
  <si>
    <t>अर्ध तरंग पारेषण</t>
  </si>
  <si>
    <t>half wave transmitting antenna</t>
  </si>
  <si>
    <t>अर्धतरंग पारेषण आकाशग</t>
  </si>
  <si>
    <t>half wave voltage doubler</t>
  </si>
  <si>
    <t>अर्ध तरंग व्होल्टता द्विगुणक</t>
  </si>
  <si>
    <t>hammer break</t>
  </si>
  <si>
    <t>आघात वियोजन</t>
  </si>
  <si>
    <t>hammer test</t>
  </si>
  <si>
    <t>आघात चाचणी</t>
  </si>
  <si>
    <t>hammer vibrator</t>
  </si>
  <si>
    <t>आघात कंपित्र</t>
  </si>
  <si>
    <t>hand capacity</t>
  </si>
  <si>
    <t>हस्त धारिता</t>
  </si>
  <si>
    <t>hand counter</t>
  </si>
  <si>
    <t>हस्त गणित्र</t>
  </si>
  <si>
    <t>hand lamp</t>
  </si>
  <si>
    <t>हस्तदीप (पु.)</t>
  </si>
  <si>
    <t>hand regulation</t>
  </si>
  <si>
    <t>हस्त नियमन</t>
  </si>
  <si>
    <t>hand winding</t>
  </si>
  <si>
    <t>हस्त कुंडलन</t>
  </si>
  <si>
    <t>handle</t>
  </si>
  <si>
    <t>१ मूठ (स्त्री.) २ दांडा (पु.)</t>
  </si>
  <si>
    <t>hard drawn</t>
  </si>
  <si>
    <t>दृढ कर्षित</t>
  </si>
  <si>
    <t>hard drawn copper wire</t>
  </si>
  <si>
    <t>दृढ कर्षित ताम्र तार</t>
  </si>
  <si>
    <t>hard rays</t>
  </si>
  <si>
    <t>hard vacuum tube</t>
  </si>
  <si>
    <t>अतिनिर्वात नलिका</t>
  </si>
  <si>
    <t>hardy spectrophotometer</t>
  </si>
  <si>
    <t>हार्डी पिसारा प्रकाशमापी</t>
  </si>
  <si>
    <t>harmodotron</t>
  </si>
  <si>
    <t>हार्माएडोट्रोन (न.)</t>
  </si>
  <si>
    <t>harmonic</t>
  </si>
  <si>
    <t>संवादिक (न.), हार्माएनिक (न.)</t>
  </si>
  <si>
    <t>संवादी, हार्माएनिक</t>
  </si>
  <si>
    <t>harmonic aerial</t>
  </si>
  <si>
    <t>संवादी आकाशग</t>
  </si>
  <si>
    <t>harmonic ampliifer</t>
  </si>
  <si>
    <t>संवादी प्रवर्धी</t>
  </si>
  <si>
    <t>harmonic analyser</t>
  </si>
  <si>
    <t>हार्माएनिक विश्लेषी</t>
  </si>
  <si>
    <t>harmonic analysis</t>
  </si>
  <si>
    <t>हार्माएनिक विश्लेषण</t>
  </si>
  <si>
    <t>harmonic component</t>
  </si>
  <si>
    <t>संवादी घटक</t>
  </si>
  <si>
    <t>harmonic composition</t>
  </si>
  <si>
    <t>संवादी संघटन</t>
  </si>
  <si>
    <t>harmonic current</t>
  </si>
  <si>
    <t>संवादी धारा</t>
  </si>
  <si>
    <t>harmonic distortion</t>
  </si>
  <si>
    <t>संवादी विकृति</t>
  </si>
  <si>
    <t>harmonic flux</t>
  </si>
  <si>
    <t>संवादी अभिवाह</t>
  </si>
  <si>
    <t>harmonic frequency</t>
  </si>
  <si>
    <t>संवादी वारंवारता</t>
  </si>
  <si>
    <t>harmonic function</t>
  </si>
  <si>
    <t>संवादी फल</t>
  </si>
  <si>
    <t>harmonic generator</t>
  </si>
  <si>
    <t>संवादी जनित्र, संवादिक जनित्र</t>
  </si>
  <si>
    <t>harmonic radiation</t>
  </si>
  <si>
    <t>संवादिक प्रारण</t>
  </si>
  <si>
    <t>harmonic ringing</t>
  </si>
  <si>
    <t>संवादी नादन</t>
  </si>
  <si>
    <t>harmonic selective signalling</t>
  </si>
  <si>
    <t>संवादी निवडक संकेतन</t>
  </si>
  <si>
    <t>harmonic suppression</t>
  </si>
  <si>
    <t>संवादी दमन</t>
  </si>
  <si>
    <t>harmonic suppressor</t>
  </si>
  <si>
    <t>संवादी दमनकारी</t>
  </si>
  <si>
    <t>harmonics</t>
  </si>
  <si>
    <t>संवादिके (न.अ.व.)</t>
  </si>
  <si>
    <t>harmonics of current</t>
  </si>
  <si>
    <t>धारा संवादिके (न.अ.व.)</t>
  </si>
  <si>
    <t>Hartley oscillator</t>
  </si>
  <si>
    <t>हार्टली दोली</t>
  </si>
  <si>
    <t>haulage and winding machines</t>
  </si>
  <si>
    <t>ओढयंत्रे आणि कुंडलन यंत्रे (न.अ.व.)</t>
  </si>
  <si>
    <t>Hay bridge</t>
  </si>
  <si>
    <t>हे सेतु</t>
  </si>
  <si>
    <t>haze factor</t>
  </si>
  <si>
    <t>धुसरता अंक</t>
  </si>
  <si>
    <t>Hazeltine neutralisation</t>
  </si>
  <si>
    <t>हॅझेलटाइन निष्प्रभावन</t>
  </si>
  <si>
    <t>head</t>
  </si>
  <si>
    <t>शीर्ष (न.), शिर (न.)</t>
  </si>
  <si>
    <t>head amplifier</t>
  </si>
  <si>
    <t>शिर प्रवर्धी</t>
  </si>
  <si>
    <t>headphone</t>
  </si>
  <si>
    <t>शिरोश्रवणक (पु.), हेडफोन (पु.)</t>
  </si>
  <si>
    <t>headphone set</t>
  </si>
  <si>
    <t>शिरोश्रवणक सट, हेडफोन सट</t>
  </si>
  <si>
    <t>hearing aid</t>
  </si>
  <si>
    <t>श्रवण साधन</t>
  </si>
  <si>
    <t>hearing loudness level</t>
  </si>
  <si>
    <t>श्रवण प्रबलता पातळी</t>
  </si>
  <si>
    <t>heat load calculation</t>
  </si>
  <si>
    <t>ऊष्मा भार परिगणन</t>
  </si>
  <si>
    <t>heat resisting glass</t>
  </si>
  <si>
    <t>ऊष्मारोधी काच</t>
  </si>
  <si>
    <t>heated filament</t>
  </si>
  <si>
    <t>ऊष्मित तंतु</t>
  </si>
  <si>
    <t>heater</t>
  </si>
  <si>
    <t>ऊष्णिका (स्त्री.). ऊष्मिका (स्त्री.), हीटर (पु.)</t>
  </si>
  <si>
    <t>heater current</t>
  </si>
  <si>
    <t>ऊष्णिका धारा, ऊष्मिका धारा</t>
  </si>
  <si>
    <t>heater voltage</t>
  </si>
  <si>
    <t>ऊष्णिका व्होल्टता, ऊष्मिका व्होल्टता</t>
  </si>
  <si>
    <t>heating</t>
  </si>
  <si>
    <t>ऊष्णन (न.), ऊष्मन (न.)</t>
  </si>
  <si>
    <t>heating depth</t>
  </si>
  <si>
    <t>ऊष्मन गहनता</t>
  </si>
  <si>
    <t>heating element</t>
  </si>
  <si>
    <t>ऊष्मन अवयव, ऊष्मन घटक</t>
  </si>
  <si>
    <t>heating time</t>
  </si>
  <si>
    <t>ऊष्मन अवधि</t>
  </si>
  <si>
    <t>heavy current</t>
  </si>
  <si>
    <t>महा धारा</t>
  </si>
  <si>
    <t>also strong current (as against light current)</t>
  </si>
  <si>
    <t>height control</t>
  </si>
  <si>
    <t>ऊंची नियंत्रण</t>
  </si>
  <si>
    <t>height of antenna</t>
  </si>
  <si>
    <t>आकाशग उंची</t>
  </si>
  <si>
    <t>helical spring</t>
  </si>
  <si>
    <t>कुंतलाकार स्प्रिंग</t>
  </si>
  <si>
    <t>helix</t>
  </si>
  <si>
    <t>सर्पिला (स्त्री.), हेलिक्स (पु.),</t>
  </si>
  <si>
    <t>सर्पिल</t>
  </si>
  <si>
    <t>hemispherical pole pieces</t>
  </si>
  <si>
    <t>अर्धगोलीय धुवखंड (पु.अ.व.)</t>
  </si>
  <si>
    <t>henry</t>
  </si>
  <si>
    <t>हेन्री (एकक) (न.)</t>
  </si>
  <si>
    <t>heptode</t>
  </si>
  <si>
    <t>हेप्टोड (पु.), सप्ताग्री (पु.)</t>
  </si>
  <si>
    <t>hermetic sealing</t>
  </si>
  <si>
    <t>हवाबंद करणे</t>
  </si>
  <si>
    <t>hermetically sealed</t>
  </si>
  <si>
    <t>हवाबंद केलेले, हवाबंदिस्त, हवाबंद</t>
  </si>
  <si>
    <t>hermitropic winding</t>
  </si>
  <si>
    <t>heterochromatic photometer</t>
  </si>
  <si>
    <t>मिश्रवर्णी प्रकाशमापी</t>
  </si>
  <si>
    <t>heterodyne</t>
  </si>
  <si>
    <t>मिश्रबल (न.)</t>
  </si>
  <si>
    <t>heterodyne action</t>
  </si>
  <si>
    <t>मिश्रबल क्रिया</t>
  </si>
  <si>
    <t>heterodyne and autodyne principles</t>
  </si>
  <si>
    <t>मिश्रबल आणि स्वबल तत्त्वे (न.अ.व.)</t>
  </si>
  <si>
    <t>heterodyne detection</t>
  </si>
  <si>
    <t>मिश्रजन शोधन</t>
  </si>
  <si>
    <t>heterodyne detector</t>
  </si>
  <si>
    <t>मिश्रबल शोधी</t>
  </si>
  <si>
    <t>heterodyne frequency</t>
  </si>
  <si>
    <t>मिश्रबल वारंवारता</t>
  </si>
  <si>
    <t>heterodyne frequency meter</t>
  </si>
  <si>
    <t>मिश्रबल वारंवारतामापी</t>
  </si>
  <si>
    <t>heterodyne interference (whistle)</t>
  </si>
  <si>
    <t>मिश्रबल व्यत्यय</t>
  </si>
  <si>
    <t>heterodyne receiver</t>
  </si>
  <si>
    <t>मिश्रबल ग्राही</t>
  </si>
  <si>
    <t>heterodyne reception</t>
  </si>
  <si>
    <t>मिश्रबल ग्रहण</t>
  </si>
  <si>
    <t>heterodyne signal</t>
  </si>
  <si>
    <t>मिश्रबल संकेत</t>
  </si>
  <si>
    <t>heterodyne wave analyser</t>
  </si>
  <si>
    <t>मिश्रबल तरंग विश्लेषी</t>
  </si>
  <si>
    <t>heteropolar dynamo</t>
  </si>
  <si>
    <t>विषमधुवी जनित्र</t>
  </si>
  <si>
    <t>heteropolar inductor alternator</t>
  </si>
  <si>
    <t>विषमधुवी प्रेरणी प्रत्यावर्तित्र</t>
  </si>
  <si>
    <t>heterostatic</t>
  </si>
  <si>
    <t>विषमस्थितिक</t>
  </si>
  <si>
    <t>heterostatic electrometer</t>
  </si>
  <si>
    <t>विषमस्थितिक विद्युतमापी</t>
  </si>
  <si>
    <t>hexode</t>
  </si>
  <si>
    <t>हेक्सोड (पु.), षटाग्री (पु.)</t>
  </si>
  <si>
    <t>high</t>
  </si>
  <si>
    <t>उच्च</t>
  </si>
  <si>
    <t>high amperage discharge</t>
  </si>
  <si>
    <t>उच्च ँम्पिअरता विसर्जन</t>
  </si>
  <si>
    <t>high angle beam</t>
  </si>
  <si>
    <t>उच्च कोन शलाका</t>
  </si>
  <si>
    <t>high angle distribution</t>
  </si>
  <si>
    <t>उच्च कोन वितरण</t>
  </si>
  <si>
    <t>high bar</t>
  </si>
  <si>
    <t>उंच पट्टी</t>
  </si>
  <si>
    <t>high definition capacity</t>
  </si>
  <si>
    <t>उच्च विसर्जन क्षमता</t>
  </si>
  <si>
    <t>high efficiency amplifier</t>
  </si>
  <si>
    <t>उच्च कार्यक्षमता प्रवर्धी</t>
  </si>
  <si>
    <t>high fault setting</t>
  </si>
  <si>
    <t>उच्च दोष समयोजन</t>
  </si>
  <si>
    <t>high fidelity amplifier</t>
  </si>
  <si>
    <t>उच्च तदरुपता प्रवर्धी</t>
  </si>
  <si>
    <t>high fidelity receiver</t>
  </si>
  <si>
    <t>उच्च तदरुपता ग्राही</t>
  </si>
  <si>
    <t>high fidelity reception</t>
  </si>
  <si>
    <t>उच्च तदरुपता ग्रहण</t>
  </si>
  <si>
    <t>high frequency</t>
  </si>
  <si>
    <t>उच्च वारंवारता</t>
  </si>
  <si>
    <t>high frequency alternator</t>
  </si>
  <si>
    <t>उच्च वारंवारता प्रत्यावर्तित्र</t>
  </si>
  <si>
    <t>high frequency carrier</t>
  </si>
  <si>
    <t>उच्च वारंवारता वाहनिक</t>
  </si>
  <si>
    <t>high frequency dielectric heating</t>
  </si>
  <si>
    <t>उच्च वारंवारता पराविद्युत ऊष्मन</t>
  </si>
  <si>
    <t>high frequency discharge</t>
  </si>
  <si>
    <t>उच्च वारंवारता विसर्जन</t>
  </si>
  <si>
    <t>high frequency disturbance</t>
  </si>
  <si>
    <t>उच्च वारंवारता विक्षोभ</t>
  </si>
  <si>
    <t>high frequency energy</t>
  </si>
  <si>
    <t>उच्च वारंवारता ऊर्जा</t>
  </si>
  <si>
    <t>high frequency furnace</t>
  </si>
  <si>
    <t>उच्च वारंवारता भट्टी</t>
  </si>
  <si>
    <t>high frequency instrument</t>
  </si>
  <si>
    <t>उच्च वारंवारता उपकरण</t>
  </si>
  <si>
    <t>high frequency lightning voltage</t>
  </si>
  <si>
    <t>उच्च वारंवारता तडित व्होल्टता</t>
  </si>
  <si>
    <t>high frequency oscillator</t>
  </si>
  <si>
    <t>उच्च वारंवारता दोली</t>
  </si>
  <si>
    <t>high frequency potential</t>
  </si>
  <si>
    <t>उच्च वारंवारता विभव</t>
  </si>
  <si>
    <t>high frequency resistance</t>
  </si>
  <si>
    <t>उच्च वारंवारता रोध</t>
  </si>
  <si>
    <t>high frequency resistor</t>
  </si>
  <si>
    <t>उच्च वारंवारता रोधी</t>
  </si>
  <si>
    <t>high frequency treatment</t>
  </si>
  <si>
    <t>उच्च वारंवारता उपचार</t>
  </si>
  <si>
    <t>high frequency wave</t>
  </si>
  <si>
    <t>उच्च वारंवारता तरंग</t>
  </si>
  <si>
    <t>high intensity light</t>
  </si>
  <si>
    <t>उच्च तीव्रता प्रकाश</t>
  </si>
  <si>
    <t>high level modulation</t>
  </si>
  <si>
    <t>उच्च स्तर आपरिवर्तन</t>
  </si>
  <si>
    <t>high line voltage</t>
  </si>
  <si>
    <t>उच्च तारमार्ग व्होल्टता</t>
  </si>
  <si>
    <t>high pass filter</t>
  </si>
  <si>
    <t>उच्च पार गाळणी</t>
  </si>
  <si>
    <t>high pressure distribution system</t>
  </si>
  <si>
    <t>उच्च दाब वितरण पद्धति</t>
  </si>
  <si>
    <t>high pressure system</t>
  </si>
  <si>
    <t>उच्च दाब पद्धति</t>
  </si>
  <si>
    <t>high reactance transformer</t>
  </si>
  <si>
    <t>उच्च प्रतिरोध परिवर्तित्र</t>
  </si>
  <si>
    <t>high resistance</t>
  </si>
  <si>
    <t>उच्च रोध</t>
  </si>
  <si>
    <t>high resistance film</t>
  </si>
  <si>
    <t>उच्च रोध तवंग</t>
  </si>
  <si>
    <t>high rupturing capacity</t>
  </si>
  <si>
    <t>उच्च भंजन क्षमता, क्षमता वितळतार</t>
  </si>
  <si>
    <t>high speed</t>
  </si>
  <si>
    <t>द्रुत चाल, द्रुत क्रिया</t>
  </si>
  <si>
    <t>high speed circuit breaker</t>
  </si>
  <si>
    <t>द्रुत चाल परिपथ वियोजी</t>
  </si>
  <si>
    <t>high speed excitation system</t>
  </si>
  <si>
    <t>द्रुत क्रिया उत्तेजन पद्धति</t>
  </si>
  <si>
    <t>high speed lift</t>
  </si>
  <si>
    <t>द्रुत चाल उद्वाही</t>
  </si>
  <si>
    <t>high temperature radiation</t>
  </si>
  <si>
    <t>उच्च तापमान प्रारण</t>
  </si>
  <si>
    <t>high tension</t>
  </si>
  <si>
    <t>उच्च विभव (न.), उच्च व्होल्टता (स्त्री.)</t>
  </si>
  <si>
    <t>high tension bushing</t>
  </si>
  <si>
    <t>उच्च विभव बुशिंग, उच्च व्होल्टता बुशिंग</t>
  </si>
  <si>
    <t>high tension current</t>
  </si>
  <si>
    <t>उच्च विभव धारा, उच्च व्होल्टता धारा</t>
  </si>
  <si>
    <t>high tension ignition</t>
  </si>
  <si>
    <t>उच्च विभव प्रज्वलन उच्च व्होल्टता प्रज्वलन</t>
  </si>
  <si>
    <t>high tension test</t>
  </si>
  <si>
    <t>उच्च विभव परीक्षण, उच्च व्होल्टता परीक्षण</t>
  </si>
  <si>
    <t>high tension wire</t>
  </si>
  <si>
    <t>उच्च विभव तार, उच्च व्होल्टता तार</t>
  </si>
  <si>
    <t>high vacuum rectifier</t>
  </si>
  <si>
    <t>उच्च निर्वात दिष्टकारी</t>
  </si>
  <si>
    <t>high vacuum tube</t>
  </si>
  <si>
    <t>उच्च निर्वात नलिका</t>
  </si>
  <si>
    <t>high voltage</t>
  </si>
  <si>
    <t>उच्च व्होल्टता</t>
  </si>
  <si>
    <t>high voltage energy</t>
  </si>
  <si>
    <t>उच्च व्होल्टता ऊर्जा</t>
  </si>
  <si>
    <t>high voltage personnel protection</t>
  </si>
  <si>
    <t>उच्च व्होल्टतेपासून कर्मचाऱ्यांचे रक्षण</t>
  </si>
  <si>
    <t>high voltage test</t>
  </si>
  <si>
    <t>उच्च व्होल्टता चाचणी</t>
  </si>
  <si>
    <t>high voltage transmission line</t>
  </si>
  <si>
    <t>उच्च व्होल्टता पारेषण तारमार्ग</t>
  </si>
  <si>
    <t>hindrance</t>
  </si>
  <si>
    <t>अवरोध (पु.)</t>
  </si>
  <si>
    <t>impedance संरोध, reactanceप्रतिरोध reluctance अभिरोध, अभिवाहरोध resistance रोध</t>
  </si>
  <si>
    <t>hissing arc</t>
  </si>
  <si>
    <t>सीत्कारी प्रज्योत</t>
  </si>
  <si>
    <t>hoist</t>
  </si>
  <si>
    <t>आरोही (पु.)</t>
  </si>
  <si>
    <t>hold control</t>
  </si>
  <si>
    <t>पकड नियंत्रण</t>
  </si>
  <si>
    <t>holder</t>
  </si>
  <si>
    <t>धारक (पु.)</t>
  </si>
  <si>
    <t>holding anode</t>
  </si>
  <si>
    <t>holding beam</t>
  </si>
  <si>
    <t>स्थिरक शलाका</t>
  </si>
  <si>
    <t>holding time</t>
  </si>
  <si>
    <t>स्थिरक काल</t>
  </si>
  <si>
    <t>hole</t>
  </si>
  <si>
    <t>वंचिका (स्त्री.), छिद्र (न.)</t>
  </si>
  <si>
    <t>hole current</t>
  </si>
  <si>
    <t>वंचिका धारा</t>
  </si>
  <si>
    <t>hole density</t>
  </si>
  <si>
    <t>वंचिका घनता</t>
  </si>
  <si>
    <t>hole injection</t>
  </si>
  <si>
    <t>वंचिका अंतःक्षेपण</t>
  </si>
  <si>
    <t>hole trap</t>
  </si>
  <si>
    <t>वंचिका सापळा</t>
  </si>
  <si>
    <t>holophane globe</t>
  </si>
  <si>
    <t>पूर्णविसरण गोल</t>
  </si>
  <si>
    <t>homing</t>
  </si>
  <si>
    <t>अनुलक्ष्य (न.)</t>
  </si>
  <si>
    <t>homing beacon</t>
  </si>
  <si>
    <t>अनुलक्ष्य द्योतक</t>
  </si>
  <si>
    <t>homing device</t>
  </si>
  <si>
    <t>अनुलक्ष्य साधन</t>
  </si>
  <si>
    <t>homing guidance</t>
  </si>
  <si>
    <t>अनुलक्ष्य मार्गदर्शन</t>
  </si>
  <si>
    <t>homodyne</t>
  </si>
  <si>
    <t>समबल (न.)</t>
  </si>
  <si>
    <t>homodyne reception</t>
  </si>
  <si>
    <t>समबल ग्रहण</t>
  </si>
  <si>
    <t>homogeneous</t>
  </si>
  <si>
    <t>१ समाघात २ समविध ३ एकजीव</t>
  </si>
  <si>
    <t>homopolar dynamo</t>
  </si>
  <si>
    <t>समधुवी जनित्र</t>
  </si>
  <si>
    <t>homopolar inductor alternator</t>
  </si>
  <si>
    <t>समधुवी प्रेरणी प्रत्यावर्तित्र</t>
  </si>
  <si>
    <t>homopolar magnet</t>
  </si>
  <si>
    <t>समधुवी चुंबके</t>
  </si>
  <si>
    <t>honey comb coil</t>
  </si>
  <si>
    <t>मधुकोष कुंडल</t>
  </si>
  <si>
    <t>hood</t>
  </si>
  <si>
    <t>छत्र (न.), हूड (न.)</t>
  </si>
  <si>
    <t>hook</t>
  </si>
  <si>
    <t>आकडी (स्त्री.), आकडा (पु.)</t>
  </si>
  <si>
    <t>hook switch</t>
  </si>
  <si>
    <t>आकडी स्विच</t>
  </si>
  <si>
    <t>hook up wire</t>
  </si>
  <si>
    <t>आकडी तार</t>
  </si>
  <si>
    <t>Hopkinson tariff</t>
  </si>
  <si>
    <t>हॉपकिन्सन प्रशुल्क</t>
  </si>
  <si>
    <t>horizon sensor</t>
  </si>
  <si>
    <t>क्षितिज संवेदी</t>
  </si>
  <si>
    <t>horizontal blanking</t>
  </si>
  <si>
    <t>क्षैतिज विलोपन</t>
  </si>
  <si>
    <t>horizontal centring control</t>
  </si>
  <si>
    <t>१ क्षैतिज केंद्रकारी नियंत्रण २ क्षैतिज केंद्रकारी नियंत्री</t>
  </si>
  <si>
    <t>horizontal hold control</t>
  </si>
  <si>
    <t>१ क्षैतिज स्थिरक नियंत्रण २ क्षैतिज स्थिरक नियंत्री</t>
  </si>
  <si>
    <t>horizontal line frequency</t>
  </si>
  <si>
    <t>क्षैतिज रेखा वारंवारता</t>
  </si>
  <si>
    <t>horizontal polarisation</t>
  </si>
  <si>
    <t>क्षैतिज धुवीकरण</t>
  </si>
  <si>
    <t>horizontal resolution</t>
  </si>
  <si>
    <t>क्षैतिज वियोजन</t>
  </si>
  <si>
    <t>horizontal retrace</t>
  </si>
  <si>
    <t>क्षैतिज पुनर्रेखन</t>
  </si>
  <si>
    <t>horizontal spacing</t>
  </si>
  <si>
    <t>क्षैतिज अंतरालन</t>
  </si>
  <si>
    <t>horizontal synchronising pulse</t>
  </si>
  <si>
    <t>क्षैतिज संकालन स्पंद</t>
  </si>
  <si>
    <t>horizontally polarised wave</t>
  </si>
  <si>
    <t>क्षैतिज धुवित तरंग</t>
  </si>
  <si>
    <t>horn</t>
  </si>
  <si>
    <t>शिंग (न.), शृंग (न.)</t>
  </si>
  <si>
    <t>horn antenna</t>
  </si>
  <si>
    <t>शृंगाकार आकाशग</t>
  </si>
  <si>
    <t>horn gap</t>
  </si>
  <si>
    <t>शृंगान्तर (न.)</t>
  </si>
  <si>
    <t>horn gap arrester</t>
  </si>
  <si>
    <t>शृंगान्तर प्रग्राही</t>
  </si>
  <si>
    <t>horse power</t>
  </si>
  <si>
    <t>अश्वशक्ति (स्त्री.)</t>
  </si>
  <si>
    <t>horseshoe magnet</t>
  </si>
  <si>
    <t>नालचुंबक</t>
  </si>
  <si>
    <t>horseshoe shaped</t>
  </si>
  <si>
    <t>नालाकार</t>
  </si>
  <si>
    <t>horseshoe shaped electromagnet</t>
  </si>
  <si>
    <t>नालाकार विद्युतचुंबक</t>
  </si>
  <si>
    <t>hose reel</t>
  </si>
  <si>
    <t>होज रीळ</t>
  </si>
  <si>
    <t>hot cathode</t>
  </si>
  <si>
    <t>तप्त कॅथोड</t>
  </si>
  <si>
    <t>hot cathode lamp</t>
  </si>
  <si>
    <t>तप्त कॅथोड दीप</t>
  </si>
  <si>
    <t>hot cathode tube</t>
  </si>
  <si>
    <t>तप्त कॅथोड नलिका</t>
  </si>
  <si>
    <t>hot cathode x ray tube</t>
  </si>
  <si>
    <t>तप्त कॅथोड क्ष किरण नलिका</t>
  </si>
  <si>
    <t>hot line technique</t>
  </si>
  <si>
    <t>सचेत तार यंत्र</t>
  </si>
  <si>
    <t>hot line tool</t>
  </si>
  <si>
    <t>सचेत तार अवजार, सचेत तार हत्यार</t>
  </si>
  <si>
    <t>hot plate</t>
  </si>
  <si>
    <t>तवा (पु.)</t>
  </si>
  <si>
    <t>(also warming plate)</t>
  </si>
  <si>
    <t>hot spot</t>
  </si>
  <si>
    <t>उष्ण ठिपका</t>
  </si>
  <si>
    <t>hot wire</t>
  </si>
  <si>
    <t>उष्ण तार</t>
  </si>
  <si>
    <t>hot wire ammeter</t>
  </si>
  <si>
    <t>उष्ण तार ऍमीटर</t>
  </si>
  <si>
    <t>hot wire instrument</t>
  </si>
  <si>
    <t>उष्ण तार उपकरण</t>
  </si>
  <si>
    <t>hot wire voltmeter</t>
  </si>
  <si>
    <t>उष्ण तार व्होल्टमापी</t>
  </si>
  <si>
    <t>hour meter</t>
  </si>
  <si>
    <t>तासमापी (पु.)</t>
  </si>
  <si>
    <t>house main</t>
  </si>
  <si>
    <t>गृह प्रधानवाही</t>
  </si>
  <si>
    <t>house service meter</t>
  </si>
  <si>
    <t>गृह सेवा मापी</t>
  </si>
  <si>
    <t>housing</t>
  </si>
  <si>
    <t>निवसन (न.)</t>
  </si>
  <si>
    <t>howler</t>
  </si>
  <si>
    <t>कोलाहलित्र (न.)</t>
  </si>
  <si>
    <t>howling</t>
  </si>
  <si>
    <t>कोलाहलन (न.)</t>
  </si>
  <si>
    <t>sound</t>
  </si>
  <si>
    <t>hub</t>
  </si>
  <si>
    <t>नाभि (स्त्री.), हब (न.)</t>
  </si>
  <si>
    <t>hue</t>
  </si>
  <si>
    <t>वर्णछटा (स्त्री.)</t>
  </si>
  <si>
    <t>hum</t>
  </si>
  <si>
    <t>गुंजारव (पु.)</t>
  </si>
  <si>
    <t>hum in amplifier</t>
  </si>
  <si>
    <t>प्रवर्धीतील गुंजन</t>
  </si>
  <si>
    <t>hum modulation</t>
  </si>
  <si>
    <t>गुंजन आपरिवर्तन</t>
  </si>
  <si>
    <t>hum redution</t>
  </si>
  <si>
    <t>गुंजन क्षपण</t>
  </si>
  <si>
    <t>humid atmosphere</t>
  </si>
  <si>
    <t>आर्द्र वातावरण</t>
  </si>
  <si>
    <t>humidifier</t>
  </si>
  <si>
    <t>आर्द्रकारी (पु.)</t>
  </si>
  <si>
    <t>humidistat</t>
  </si>
  <si>
    <t>आर्द्रतास्थापी (पु.)</t>
  </si>
  <si>
    <t>humidity</t>
  </si>
  <si>
    <t>आर्द्रता (स्त्री.)</t>
  </si>
  <si>
    <t>humidity control</t>
  </si>
  <si>
    <t>आर्द्रता नियंत्रण</t>
  </si>
  <si>
    <t>hummer</t>
  </si>
  <si>
    <t>गुंजनी (पु.)</t>
  </si>
  <si>
    <t>humming</t>
  </si>
  <si>
    <t>गुंजन (न.)</t>
  </si>
  <si>
    <t>humming of transformer</t>
  </si>
  <si>
    <t>परिवर्तित्राचे गुंजन</t>
  </si>
  <si>
    <t>hunting</t>
  </si>
  <si>
    <t>चालदोलन (न.)</t>
  </si>
  <si>
    <t>hunting of rotary converter</t>
  </si>
  <si>
    <t>घूर्णी रुपांतरित्राचे चालदोलन</t>
  </si>
  <si>
    <t>hybrid</t>
  </si>
  <si>
    <t>संकरित</t>
  </si>
  <si>
    <t>hybrid coil</t>
  </si>
  <si>
    <t>संकरित कुंडल</t>
  </si>
  <si>
    <t>hybrid electromagnetic wave</t>
  </si>
  <si>
    <t>संकरित विद्युत चुंबकीय तरंग</t>
  </si>
  <si>
    <t>hybrid junction</t>
  </si>
  <si>
    <t>संकरित संधिस्थान</t>
  </si>
  <si>
    <t>hybrid ring junction</t>
  </si>
  <si>
    <t>संकरित वलय संधिस्थान</t>
  </si>
  <si>
    <t>hybrid tee</t>
  </si>
  <si>
    <t>hybrid transformer</t>
  </si>
  <si>
    <t>संकरित परिवर्तित्र</t>
  </si>
  <si>
    <t>hydraulic</t>
  </si>
  <si>
    <t>द्रविक, द्रवचलित</t>
  </si>
  <si>
    <t>hydraulic dynamometer</t>
  </si>
  <si>
    <t>द्रवचलित गतिजमापी</t>
  </si>
  <si>
    <t>hydraulic turbine</t>
  </si>
  <si>
    <t>द्रवचलित टर्बाइन</t>
  </si>
  <si>
    <t>hydro electric plant</t>
  </si>
  <si>
    <t>जल विद्युत संयंत्र</t>
  </si>
  <si>
    <t>hydro-electric device</t>
  </si>
  <si>
    <t>जल विद्युत साधन</t>
  </si>
  <si>
    <t>hydro-electric power station</t>
  </si>
  <si>
    <t>hydrogen</t>
  </si>
  <si>
    <t>हायड्रोजन (पु.)</t>
  </si>
  <si>
    <t>hydrometer</t>
  </si>
  <si>
    <t>तरकाटा (पु.)</t>
  </si>
  <si>
    <t>hyperholic angle</t>
  </si>
  <si>
    <t>अपास्तिक कोन</t>
  </si>
  <si>
    <t>hyperon</t>
  </si>
  <si>
    <t>अतिका (स्त्री.), हायपेरॉन (पु.)</t>
  </si>
  <si>
    <t>hypothetical</t>
  </si>
  <si>
    <t>परिकल्पित</t>
  </si>
  <si>
    <t>hypothetical flux</t>
  </si>
  <si>
    <t>परिकल्पित अभिवाह</t>
  </si>
  <si>
    <t>hyrbid set</t>
  </si>
  <si>
    <t>संकरित सट</t>
  </si>
  <si>
    <t>hysteresis</t>
  </si>
  <si>
    <t>पश्चशीलता (स्त्री.)</t>
  </si>
  <si>
    <t>hysteresis coefficient</t>
  </si>
  <si>
    <t>पश्चशीलता गुणांक</t>
  </si>
  <si>
    <t>hysteresis loop</t>
  </si>
  <si>
    <t>पश्चशीलता लूप</t>
  </si>
  <si>
    <t>hysteresis loss</t>
  </si>
  <si>
    <t>पश्चशीलता हानि</t>
  </si>
  <si>
    <t>I armature</t>
  </si>
  <si>
    <t>I आर्मेचर (पु.)</t>
  </si>
  <si>
    <t>I2R loss (copper loss)</t>
  </si>
  <si>
    <t>I२R हानि</t>
  </si>
  <si>
    <t>(The loss caused by the flow of a current I through a resistance R)</t>
  </si>
  <si>
    <t>Iconoscope</t>
  </si>
  <si>
    <t>प्रतिमादर्शी (पु.), आयकोनोस्कोप (पु.)</t>
  </si>
  <si>
    <t>iconotron</t>
  </si>
  <si>
    <t>आयकोनोट्रॉन (पु.)</t>
  </si>
  <si>
    <t>ideal element</t>
  </si>
  <si>
    <t>शुद्ध घटक</t>
  </si>
  <si>
    <t>ideal noise diode</t>
  </si>
  <si>
    <t>आदर्श कुरव डायोड</t>
  </si>
  <si>
    <t>ideal transducer</t>
  </si>
  <si>
    <t>आदर्श पारणी</t>
  </si>
  <si>
    <t>ideal transformer</t>
  </si>
  <si>
    <t>आदर्श परिवर्तित्र</t>
  </si>
  <si>
    <t>idiostatic</t>
  </si>
  <si>
    <t>आत्मस्थितिक</t>
  </si>
  <si>
    <t>idiostatic method</t>
  </si>
  <si>
    <t>आत्मस्थितिक पद्धति</t>
  </si>
  <si>
    <t>idle</t>
  </si>
  <si>
    <t>निष्क्रीय</t>
  </si>
  <si>
    <t>idle coil</t>
  </si>
  <si>
    <t>idle component</t>
  </si>
  <si>
    <t>निष्क्रीय घटक</t>
  </si>
  <si>
    <t>idle current</t>
  </si>
  <si>
    <t>निष्क्रीय धारा</t>
  </si>
  <si>
    <t>ignition</t>
  </si>
  <si>
    <t>प्रज्वलन-</t>
  </si>
  <si>
    <t>ignition interference</t>
  </si>
  <si>
    <t>प्रज्वलन व्यत्यय</t>
  </si>
  <si>
    <t>ignition noise</t>
  </si>
  <si>
    <t>प्रज्वलन कुरव</t>
  </si>
  <si>
    <t>ignition strip</t>
  </si>
  <si>
    <t>प्रज्वलन पट्टिका</t>
  </si>
  <si>
    <t>ignitor electrode</t>
  </si>
  <si>
    <t>प्रज्वलन इलेक्ट्रोड</t>
  </si>
  <si>
    <t>ignitron</t>
  </si>
  <si>
    <t>इग्निट्रॉन (पु.)</t>
  </si>
  <si>
    <t>ignitron rectifier</t>
  </si>
  <si>
    <t>इग्निट्रॉन दिष्टकारी</t>
  </si>
  <si>
    <t>ilgner system</t>
  </si>
  <si>
    <t>इल्ग्नर पद्धति</t>
  </si>
  <si>
    <t>illuminant</t>
  </si>
  <si>
    <t>दीपनद्रव्य (न.)</t>
  </si>
  <si>
    <t>illumination</t>
  </si>
  <si>
    <t>दीपन (न.), रोषणाई (स्त्री.)</t>
  </si>
  <si>
    <t>illuminometer</t>
  </si>
  <si>
    <t>दीपनमापी (पु.)</t>
  </si>
  <si>
    <t>image</t>
  </si>
  <si>
    <t>प्रतिमा (स्त्री.), प्रतिबिंब (न.)</t>
  </si>
  <si>
    <t>image admittance</t>
  </si>
  <si>
    <t>प्रतिमा संवहन</t>
  </si>
  <si>
    <t>image antenna</t>
  </si>
  <si>
    <t>प्रतिमा आकाशग</t>
  </si>
  <si>
    <t>image attenuation constant</t>
  </si>
  <si>
    <t>प्रतिमा क्षीणन स्थिरांक</t>
  </si>
  <si>
    <t>image conductor</t>
  </si>
  <si>
    <t>प्रतिमा वाही</t>
  </si>
  <si>
    <t>image converter tube</t>
  </si>
  <si>
    <t>प्रतिमा रुपांतरी नलिका</t>
  </si>
  <si>
    <t>image dissector</t>
  </si>
  <si>
    <t>प्रतिमा विच्छेदी, प्रतिमा विच्छेदक</t>
  </si>
  <si>
    <t>image dissector tube</t>
  </si>
  <si>
    <t>प्रतिमा विच्छेदी नलिका</t>
  </si>
  <si>
    <t>image impedance</t>
  </si>
  <si>
    <t>प्रतिमा संरोध</t>
  </si>
  <si>
    <t>image orthicon</t>
  </si>
  <si>
    <t>प्रतिमा ऑर्थिकॉन</t>
  </si>
  <si>
    <t>image phase constant</t>
  </si>
  <si>
    <t>प्रतिमा प्रावस्था स्थिरांक</t>
  </si>
  <si>
    <t>image ratio</t>
  </si>
  <si>
    <t>प्रतिमा गुणोत्तर</t>
  </si>
  <si>
    <t>image rejection</t>
  </si>
  <si>
    <t>प्रतिमा अस्वीकार</t>
  </si>
  <si>
    <t>image response</t>
  </si>
  <si>
    <t>प्रतिमा अनुक्रिया</t>
  </si>
  <si>
    <t>image transfer constant</t>
  </si>
  <si>
    <t>प्रतिमा बदल स्थिरांक</t>
  </si>
  <si>
    <t>imaginary</t>
  </si>
  <si>
    <t>अधिकल्पित</t>
  </si>
  <si>
    <t>immersed liquid quenched fuse</t>
  </si>
  <si>
    <t>निमज्जित द्रवशामित वितळतार</t>
  </si>
  <si>
    <t>immersible</t>
  </si>
  <si>
    <t>निमज्जनीय</t>
  </si>
  <si>
    <t>immersion heater</t>
  </si>
  <si>
    <t>निमज्जन ऊष्णिका</t>
  </si>
  <si>
    <t>impact fluroescence</t>
  </si>
  <si>
    <t>आघात प्रतिदीप्ति</t>
  </si>
  <si>
    <t>impedance</t>
  </si>
  <si>
    <t>संरोध (पु.)</t>
  </si>
  <si>
    <t>impedance balancing</t>
  </si>
  <si>
    <t>संरोध संतुलन, संरोध अनुरुपण</t>
  </si>
  <si>
    <t>also impedance matching</t>
  </si>
  <si>
    <t>impedance bond</t>
  </si>
  <si>
    <t>संरोध बंध</t>
  </si>
  <si>
    <t>impedance bridge</t>
  </si>
  <si>
    <t>संरोध सेतु</t>
  </si>
  <si>
    <t>impedance coil</t>
  </si>
  <si>
    <t>संरोध कुंडल</t>
  </si>
  <si>
    <t>impedance coupled</t>
  </si>
  <si>
    <t>संरोध युग्मित</t>
  </si>
  <si>
    <t>impedance coupled amplifier</t>
  </si>
  <si>
    <t>संरोध युग्मित प्रवर्धी</t>
  </si>
  <si>
    <t>impedance coupling</t>
  </si>
  <si>
    <t>संरोध युग्मन</t>
  </si>
  <si>
    <t>impedance drop</t>
  </si>
  <si>
    <t>संरोध पात</t>
  </si>
  <si>
    <t>impedance factor</t>
  </si>
  <si>
    <t>संरोध अंक</t>
  </si>
  <si>
    <t>impedance matching</t>
  </si>
  <si>
    <t>impedance relation in antenna</t>
  </si>
  <si>
    <t>आकाशगातील संरोध संबंध</t>
  </si>
  <si>
    <t>impedance triangle</t>
  </si>
  <si>
    <t>संरोध त्रिकोण</t>
  </si>
  <si>
    <t>impedance voltage</t>
  </si>
  <si>
    <t>संरोध व्होल्टता</t>
  </si>
  <si>
    <t>impedance wavetrap</t>
  </si>
  <si>
    <t>संरोध तरंगसापळा</t>
  </si>
  <si>
    <t>imperfect capacitance</t>
  </si>
  <si>
    <t>अपूर्ण धारिता, सदोष धारिता</t>
  </si>
  <si>
    <t>also leaky capacitance or lossy capacitance</t>
  </si>
  <si>
    <t>imperfect capacitor</t>
  </si>
  <si>
    <t>न्यून धारी</t>
  </si>
  <si>
    <t>imperfect dielectric</t>
  </si>
  <si>
    <t>न्यून पराविद्युत</t>
  </si>
  <si>
    <t>imposed load</t>
  </si>
  <si>
    <t>लादलेला भार</t>
  </si>
  <si>
    <t>impregnated</t>
  </si>
  <si>
    <t>१ अंतर्भरित २ व्यापित</t>
  </si>
  <si>
    <t>impregnated cable</t>
  </si>
  <si>
    <t>अंतर्भरित केबल</t>
  </si>
  <si>
    <t>impregnated carbon</t>
  </si>
  <si>
    <t>अंतर्भरित कार्बन</t>
  </si>
  <si>
    <t>impregnated cathode</t>
  </si>
  <si>
    <t>अंतर्भरित कॅथोड</t>
  </si>
  <si>
    <t>impregnating material</t>
  </si>
  <si>
    <t>अंतर्भरण द्रव्य</t>
  </si>
  <si>
    <t>impressed</t>
  </si>
  <si>
    <t>प्ररोपित</t>
  </si>
  <si>
    <t>impulse</t>
  </si>
  <si>
    <t>विस्पंद (पु.)</t>
  </si>
  <si>
    <t>विस्पंदी, विस्पंद-</t>
  </si>
  <si>
    <t>impulse circuit</t>
  </si>
  <si>
    <t>विस्पंद परिपथ</t>
  </si>
  <si>
    <t>impulse circuit breaker</t>
  </si>
  <si>
    <t>विस्पंद परिपथ वियोजी</t>
  </si>
  <si>
    <t>impulse count</t>
  </si>
  <si>
    <t>विस्पंद गणना</t>
  </si>
  <si>
    <t>impulse current</t>
  </si>
  <si>
    <t>विस्पंद धारा</t>
  </si>
  <si>
    <t>impulse driven clock</t>
  </si>
  <si>
    <t>विस्पंद चालित घड्याळ</t>
  </si>
  <si>
    <t>impulse excitation</t>
  </si>
  <si>
    <t>आघाती उत्तेजन</t>
  </si>
  <si>
    <t>also shock excitation</t>
  </si>
  <si>
    <t>impulse flashover voltage</t>
  </si>
  <si>
    <t>विस्पंद स्फुल्लिंगन व्होल्टता</t>
  </si>
  <si>
    <t>impulse frequency</t>
  </si>
  <si>
    <t>विस्पंद वारंवारता</t>
  </si>
  <si>
    <t>impulse generator</t>
  </si>
  <si>
    <t>विस्पंद जनित्र</t>
  </si>
  <si>
    <t>impulse machine</t>
  </si>
  <si>
    <t>विस्पंद यंत्र</t>
  </si>
  <si>
    <t>impulse network</t>
  </si>
  <si>
    <t>विस्पंद जालव्युह</t>
  </si>
  <si>
    <t>impulse noise</t>
  </si>
  <si>
    <t>विस्पंद कुरव</t>
  </si>
  <si>
    <t>impulse period</t>
  </si>
  <si>
    <t>विस्पंद काल</t>
  </si>
  <si>
    <t>impulse protective gap</t>
  </si>
  <si>
    <t>विस्पंद रक्षी अंतर</t>
  </si>
  <si>
    <t>impulse puncture voltage</t>
  </si>
  <si>
    <t>विस्पंद वेध व्होल्टता</t>
  </si>
  <si>
    <t>impulse ratio</t>
  </si>
  <si>
    <t>विस्पंद गुणोत्तर</t>
  </si>
  <si>
    <t>impulse ratio for flashover</t>
  </si>
  <si>
    <t>स्फुल्लिंगनाचे विस्पंद गुणोत्तर</t>
  </si>
  <si>
    <t>impulse ratio for puncture</t>
  </si>
  <si>
    <t>वेधनाचे विस्पंद गुणोत्तर</t>
  </si>
  <si>
    <t>impulse repeater</t>
  </si>
  <si>
    <t>विस्पंद पुनरावर्ती</t>
  </si>
  <si>
    <t>impulse speed</t>
  </si>
  <si>
    <t>विस्पंद चाल</t>
  </si>
  <si>
    <t>impulse spring</t>
  </si>
  <si>
    <t>विस्पंद स्प्रिंग</t>
  </si>
  <si>
    <t>impulse train</t>
  </si>
  <si>
    <t>विस्पंद क्रम</t>
  </si>
  <si>
    <t>impulse voltage</t>
  </si>
  <si>
    <t>विस्पंद व्होल्टता</t>
  </si>
  <si>
    <t>impulsing signal</t>
  </si>
  <si>
    <t>विस्पंदी संकेत</t>
  </si>
  <si>
    <t>impulsive rush</t>
  </si>
  <si>
    <t>विस्पंदी प्रधाव</t>
  </si>
  <si>
    <t>in phase</t>
  </si>
  <si>
    <t>प्रावस्थिक, प्रावस्थी</t>
  </si>
  <si>
    <t>in phase component</t>
  </si>
  <si>
    <t>प्रावस्थिक घटक, प्रावस्थी घटक</t>
  </si>
  <si>
    <t>in phase component of voltage</t>
  </si>
  <si>
    <t>व्होल्टतेचा प्रावस्थी घटक</t>
  </si>
  <si>
    <t>in phase quadrature</t>
  </si>
  <si>
    <t>जात्य प्रावस्थी</t>
  </si>
  <si>
    <t>incandescence</t>
  </si>
  <si>
    <t>तापदीप्ति (स्त्री.)</t>
  </si>
  <si>
    <t>incandescent lamp</t>
  </si>
  <si>
    <t>तापदीप्त दिवा</t>
  </si>
  <si>
    <t>incandescent mantle</t>
  </si>
  <si>
    <t>तापदीप्ति प्रावरण</t>
  </si>
  <si>
    <t>incidence</t>
  </si>
  <si>
    <t>आपतन (न.)</t>
  </si>
  <si>
    <t>incidence matrix</t>
  </si>
  <si>
    <t>निबद्धता सारणी</t>
  </si>
  <si>
    <t>incident side</t>
  </si>
  <si>
    <t>ऐलबाजू (स्त्री.), आपाती बाजू</t>
  </si>
  <si>
    <t>incident wave</t>
  </si>
  <si>
    <t>आपाती तरंग</t>
  </si>
  <si>
    <t>inclined catenary construction</t>
  </si>
  <si>
    <t>अभिनतरज्जुका संरचना</t>
  </si>
  <si>
    <t>inclined chord catenary construction</t>
  </si>
  <si>
    <t>अभिनत जीवा रज्जुका संरचना</t>
  </si>
  <si>
    <t>income</t>
  </si>
  <si>
    <t>आगत (न.), आवक (स्त्री.)</t>
  </si>
  <si>
    <t>incoming</t>
  </si>
  <si>
    <t>अंतर्गामी</t>
  </si>
  <si>
    <t>incoming wire</t>
  </si>
  <si>
    <t>अंतर्गामी तार</t>
  </si>
  <si>
    <t>incremental inductance</t>
  </si>
  <si>
    <t>वर्धिष्णु प्रेरितता</t>
  </si>
  <si>
    <t>incremental induction</t>
  </si>
  <si>
    <t>वर्धिष्णु प्रेरण</t>
  </si>
  <si>
    <t>incremental permeability</t>
  </si>
  <si>
    <t>वर्धिष्णु पार्यता</t>
  </si>
  <si>
    <t>independent counter weight</t>
  </si>
  <si>
    <t>स्वतंत्र प्रतिभार</t>
  </si>
  <si>
    <t>independent feeder</t>
  </si>
  <si>
    <t>स्वतंत्र परिदायी</t>
  </si>
  <si>
    <t>independent time lag</t>
  </si>
  <si>
    <t>independent trip</t>
  </si>
  <si>
    <t>स्वतंत्र सटक</t>
  </si>
  <si>
    <t>independent variable</t>
  </si>
  <si>
    <t>स्वचल (पु.)</t>
  </si>
  <si>
    <t>index</t>
  </si>
  <si>
    <t>निर्देशांक (पु.)</t>
  </si>
  <si>
    <t>index of modulation</t>
  </si>
  <si>
    <t>आपरिवर्तनांक (पु.)</t>
  </si>
  <si>
    <t>index of refraction</t>
  </si>
  <si>
    <t>अपवर्तनांक (पु.)</t>
  </si>
  <si>
    <t>Indian standard</t>
  </si>
  <si>
    <t>भारतीय मानक</t>
  </si>
  <si>
    <t>indicating instrument</t>
  </si>
  <si>
    <t>दर्शी उपकरण</t>
  </si>
  <si>
    <t>indicator</t>
  </si>
  <si>
    <t>सूचक (पु.), दर्शी (पु.)</t>
  </si>
  <si>
    <t>indicator gate</t>
  </si>
  <si>
    <t>दर्शी द्वार</t>
  </si>
  <si>
    <t>indigenous lamp</t>
  </si>
  <si>
    <t>देशी द्वीप</t>
  </si>
  <si>
    <t>indirect</t>
  </si>
  <si>
    <t>असरल</t>
  </si>
  <si>
    <t>indirect arc furnace</t>
  </si>
  <si>
    <t>असरल प्रज्योत भट्टी</t>
  </si>
  <si>
    <t>indirect induction heating</t>
  </si>
  <si>
    <t>असरल प्रेरण ऊष्मन</t>
  </si>
  <si>
    <t>indirect lighting</t>
  </si>
  <si>
    <t>असरल दीपन</t>
  </si>
  <si>
    <t>indirect lightning surge</t>
  </si>
  <si>
    <t>असरल तडित उल्लोल</t>
  </si>
  <si>
    <t>indirect ray</t>
  </si>
  <si>
    <t>असरल किरण</t>
  </si>
  <si>
    <t>indirect resistance heating</t>
  </si>
  <si>
    <t>असरल रोध ऊष्मन</t>
  </si>
  <si>
    <t>indirect stroke</t>
  </si>
  <si>
    <t>असरल आघात</t>
  </si>
  <si>
    <t>indirectly heated cathode</t>
  </si>
  <si>
    <t>असरल ऊष्मित कॅथोड</t>
  </si>
  <si>
    <t>individual drive</t>
  </si>
  <si>
    <t>वैयक्तिक चालन</t>
  </si>
  <si>
    <t>individual line</t>
  </si>
  <si>
    <t>American name for direct line</t>
  </si>
  <si>
    <t>indoor</t>
  </si>
  <si>
    <t>अंतर्गेही</t>
  </si>
  <si>
    <t>induce</t>
  </si>
  <si>
    <t>प्रेरित करणे</t>
  </si>
  <si>
    <t>induced</t>
  </si>
  <si>
    <t>प्रेरित</t>
  </si>
  <si>
    <t>induced charge</t>
  </si>
  <si>
    <t>प्रेरित भार</t>
  </si>
  <si>
    <t>induced current</t>
  </si>
  <si>
    <t>प्रेरित धारा</t>
  </si>
  <si>
    <t>induced draught</t>
  </si>
  <si>
    <t>१ प्रेरित प्रपात २ प्रेरित प्रवात</t>
  </si>
  <si>
    <t>induced electric surgings</t>
  </si>
  <si>
    <t>प्रेरित विद्युत लाटा (स्त्री.अ.व.)</t>
  </si>
  <si>
    <t>induced electromotive force</t>
  </si>
  <si>
    <t>प्रेरित विद्युतगामी बल</t>
  </si>
  <si>
    <t>induced electrostatic charge</t>
  </si>
  <si>
    <t>प्रेरित विद्युतस्थितिक प्रभार</t>
  </si>
  <si>
    <t>induced lightning discharge</t>
  </si>
  <si>
    <t>प्रेरित तडित विसर्जन</t>
  </si>
  <si>
    <t>induced lightning surge</t>
  </si>
  <si>
    <t>प्रेरित तडित उल्लोल</t>
  </si>
  <si>
    <t>induced lightning voltage</t>
  </si>
  <si>
    <t>प्रेरित तडित व्होल्टता</t>
  </si>
  <si>
    <t>induced magnetism</t>
  </si>
  <si>
    <t>प्रेरित चुंबकत्व</t>
  </si>
  <si>
    <t>induced magnetism indutance</t>
  </si>
  <si>
    <t>प्रेरित चुंबकत्व प्रेरितता</t>
  </si>
  <si>
    <t>induced moving magnet instrument</t>
  </si>
  <si>
    <t>प्रेरित चल चुंबक उपकरण</t>
  </si>
  <si>
    <t>inductance</t>
  </si>
  <si>
    <t>प्रेरितता (स्त्री.)</t>
  </si>
  <si>
    <t>admitance</t>
  </si>
  <si>
    <t>inductance antenna</t>
  </si>
  <si>
    <t>प्रेरितता आकाशग</t>
  </si>
  <si>
    <t>inductance bridge</t>
  </si>
  <si>
    <t>प्रेरितता सेतु</t>
  </si>
  <si>
    <t>inductance coil</t>
  </si>
  <si>
    <t>प्रेरितता कुंडल</t>
  </si>
  <si>
    <t>inductance coupled</t>
  </si>
  <si>
    <t>प्रेरितता युग्मित</t>
  </si>
  <si>
    <t>inductance filter</t>
  </si>
  <si>
    <t>प्रेरितता गाळणी</t>
  </si>
  <si>
    <t>induction</t>
  </si>
  <si>
    <t>प्रेरण (न.)</t>
  </si>
  <si>
    <t>induction coil</t>
  </si>
  <si>
    <t>प्रेरण कुंडल</t>
  </si>
  <si>
    <t>induction field</t>
  </si>
  <si>
    <t>प्रेरण क्षेत्र</t>
  </si>
  <si>
    <t>induction fields about antennas</t>
  </si>
  <si>
    <t>आकाशगांभोवतीची प्रेरण क्षेत्रे (न.अ.व.)</t>
  </si>
  <si>
    <t>induction furnace</t>
  </si>
  <si>
    <t>प्रेरण भट्टी</t>
  </si>
  <si>
    <t>induction generator</t>
  </si>
  <si>
    <t>प्रेरण जनित्र</t>
  </si>
  <si>
    <t>induction instrument</t>
  </si>
  <si>
    <t>प्रेरित उपकरण</t>
  </si>
  <si>
    <t>induction machine flux</t>
  </si>
  <si>
    <t>प्रेरण यंत्र अभिवाह</t>
  </si>
  <si>
    <t>induction meter</t>
  </si>
  <si>
    <t>प्रेरणमापी (पु.)</t>
  </si>
  <si>
    <t>induction motor</t>
  </si>
  <si>
    <t>प्रेरण चलित्र</t>
  </si>
  <si>
    <t>induction regulator</t>
  </si>
  <si>
    <t>प्रेरण नियामी</t>
  </si>
  <si>
    <t>induction switch type voltage regulator</t>
  </si>
  <si>
    <t>प्रेरण स्विच व्होल्टता नियामी</t>
  </si>
  <si>
    <t>inductive</t>
  </si>
  <si>
    <t>प्रेरितीय</t>
  </si>
  <si>
    <t>inductive coupling</t>
  </si>
  <si>
    <t>प्रेरितीय युग्मन</t>
  </si>
  <si>
    <t>inductive feedback</t>
  </si>
  <si>
    <t>प्रेरितीय पश्चप्रदाय</t>
  </si>
  <si>
    <t>inductive interference</t>
  </si>
  <si>
    <t>प्रेरितीय व्यत्यय</t>
  </si>
  <si>
    <t>inductive load</t>
  </si>
  <si>
    <t>प्रेरितीय भार</t>
  </si>
  <si>
    <t>inductive reactance</t>
  </si>
  <si>
    <t>प्रेरितीय प्रतिरोध</t>
  </si>
  <si>
    <t>inductive resistance</t>
  </si>
  <si>
    <t>प्रेरितीय रोध</t>
  </si>
  <si>
    <t>inductive tuning</t>
  </si>
  <si>
    <t>प्रेरितीय मेलन</t>
  </si>
  <si>
    <t>inductively coupled</t>
  </si>
  <si>
    <t>प्रेरिततः युग्मित</t>
  </si>
  <si>
    <t>inductively coupled amplifier</t>
  </si>
  <si>
    <t>प्रेरिततः युग्मित प्रवर्धी</t>
  </si>
  <si>
    <t>inductor</t>
  </si>
  <si>
    <t>प्रेरणी (पु.)</t>
  </si>
  <si>
    <t>inductor alternator</t>
  </si>
  <si>
    <t>प्रेरणी प्रत्यावर्तित्र</t>
  </si>
  <si>
    <t>inductor coupled</t>
  </si>
  <si>
    <t>प्रेरणी युग्मित</t>
  </si>
  <si>
    <t>inductor type</t>
  </si>
  <si>
    <t>प्रेरणी प्रकार</t>
  </si>
  <si>
    <t>industrial electric furnace</t>
  </si>
  <si>
    <t>औद्योगिक विद्युत भट्टी</t>
  </si>
  <si>
    <t>industrial establishment</t>
  </si>
  <si>
    <t>औद्योगिक संस्था</t>
  </si>
  <si>
    <t>industrial lighting</t>
  </si>
  <si>
    <t>औद्योगिक दीपन</t>
  </si>
  <si>
    <t>industrial reflector</t>
  </si>
  <si>
    <t>औद्योगिक परावर्तक</t>
  </si>
  <si>
    <t>inelastic collision</t>
  </si>
  <si>
    <t>अप्रत्यास्थ समाघात</t>
  </si>
  <si>
    <t>inert cell</t>
  </si>
  <si>
    <t>अक्रिय घट</t>
  </si>
  <si>
    <t>a dry cell containing ingredients which only form an electrolyte when water is added.</t>
  </si>
  <si>
    <t>inertia</t>
  </si>
  <si>
    <t>जडत्व (न.)</t>
  </si>
  <si>
    <t>inertia gas filled enclosure</t>
  </si>
  <si>
    <t>अक्रिय वायुपूरित परिवेष्टन</t>
  </si>
  <si>
    <t>inertia switch</t>
  </si>
  <si>
    <t>जडत्व स्विच</t>
  </si>
  <si>
    <t>inertial control</t>
  </si>
  <si>
    <t>जडत्वीय नियंत्रण</t>
  </si>
  <si>
    <t>inertial navigation</t>
  </si>
  <si>
    <t>जडत्वीय नौकानयन</t>
  </si>
  <si>
    <t>infinite busbar</t>
  </si>
  <si>
    <t>अनंत महावाही</t>
  </si>
  <si>
    <t>infinite input impedance</t>
  </si>
  <si>
    <t>अनंत आदान संरोध</t>
  </si>
  <si>
    <t>infinitely long source</t>
  </si>
  <si>
    <t>अनंत दीर्घ प्रभव</t>
  </si>
  <si>
    <t>influence machine</t>
  </si>
  <si>
    <t>प्रभाव यंत्र</t>
  </si>
  <si>
    <t>infra black region</t>
  </si>
  <si>
    <t>अवकृष्ण प्रदेश</t>
  </si>
  <si>
    <t>infra red image convertor</t>
  </si>
  <si>
    <t>अवरक्त प्रतिमा रुपांतरित्र</t>
  </si>
  <si>
    <t>infra red phosphor</t>
  </si>
  <si>
    <t>अवरक्त स्फुरद्रव्य, अवरक्त फॉस्फर</t>
  </si>
  <si>
    <t>infra red radiation</t>
  </si>
  <si>
    <t>अवरक्त प्रारण</t>
  </si>
  <si>
    <t>infra red therapy</t>
  </si>
  <si>
    <t>अवरक्त चाचणी, अवरक्त चिकित्सा</t>
  </si>
  <si>
    <t>infrasonic frequency</t>
  </si>
  <si>
    <t>अवश्रव्य वारंवारता</t>
  </si>
  <si>
    <t>inherent regulation</t>
  </si>
  <si>
    <t>अंगभूत नियमन</t>
  </si>
  <si>
    <t>inherent voltage variation</t>
  </si>
  <si>
    <t>अंगभूत व्होल्टता विचरण</t>
  </si>
  <si>
    <t>inherited error</t>
  </si>
  <si>
    <t>वारसा त्रुटि</t>
  </si>
  <si>
    <t>initial charge</t>
  </si>
  <si>
    <t>प्रारंभिक प्रभार</t>
  </si>
  <si>
    <t>initial condition</t>
  </si>
  <si>
    <t>प्रारंभिक स्थिति</t>
  </si>
  <si>
    <t>initial current rush</t>
  </si>
  <si>
    <t>प्रारंभिक धारा उल्लोल</t>
  </si>
  <si>
    <t>initial value theorem</t>
  </si>
  <si>
    <t>प्रारंभिक मूल्य प्रमेय</t>
  </si>
  <si>
    <t>inject</t>
  </si>
  <si>
    <t>अंतःक्षेप करणे</t>
  </si>
  <si>
    <t>injection</t>
  </si>
  <si>
    <t>अंतःक्षेपण (न.)</t>
  </si>
  <si>
    <t>injection method</t>
  </si>
  <si>
    <t>अंतःक्षेपण पद्धति</t>
  </si>
  <si>
    <t>inlet plug</t>
  </si>
  <si>
    <t>आगम निग (पु.)</t>
  </si>
  <si>
    <t>inlet plug and socket</t>
  </si>
  <si>
    <t>आगम निग व खोबण</t>
  </si>
  <si>
    <t>inlet socket</t>
  </si>
  <si>
    <t>आगम खोबण</t>
  </si>
  <si>
    <t>input</t>
  </si>
  <si>
    <t>आदान (न.)</t>
  </si>
  <si>
    <t>input admittance</t>
  </si>
  <si>
    <t>आदान संवहन</t>
  </si>
  <si>
    <t>input admittance of ampliier</t>
  </si>
  <si>
    <t>प्रवर्धीचे आदान संवहन</t>
  </si>
  <si>
    <t>input capacitance</t>
  </si>
  <si>
    <t>आदान धारिता</t>
  </si>
  <si>
    <t>input impedance</t>
  </si>
  <si>
    <t>आदान संरोध</t>
  </si>
  <si>
    <t>input impedance network</t>
  </si>
  <si>
    <t>आदान संरोध जालव्यूह</t>
  </si>
  <si>
    <t>input kilowatt</t>
  </si>
  <si>
    <t>आदान किलोवॅट</t>
  </si>
  <si>
    <t>input power</t>
  </si>
  <si>
    <t>आदान शक्ति</t>
  </si>
  <si>
    <t>input resistance</t>
  </si>
  <si>
    <t>आदान रोध</t>
  </si>
  <si>
    <t>input transformer</t>
  </si>
  <si>
    <t>आदान परिवर्तित्र</t>
  </si>
  <si>
    <t>insectproof</t>
  </si>
  <si>
    <t>कीटकरक्षित</t>
  </si>
  <si>
    <t>insert</t>
  </si>
  <si>
    <t>मधे घालणे</t>
  </si>
  <si>
    <t>inserted</t>
  </si>
  <si>
    <t>निवेशित, प्रविष्ट, अंतःसारित</t>
  </si>
  <si>
    <t>inserted tip</t>
  </si>
  <si>
    <t>अंतःसारित टोक, प्रविष्ट टोक</t>
  </si>
  <si>
    <t>insertion</t>
  </si>
  <si>
    <t>निवेश (पु.)</t>
  </si>
  <si>
    <t>insertion gain</t>
  </si>
  <si>
    <t>निवेश लब्धि</t>
  </si>
  <si>
    <t>insertion loss</t>
  </si>
  <si>
    <t>निवेश हानि</t>
  </si>
  <si>
    <t>insertion loss in network</t>
  </si>
  <si>
    <t>जालव्यूह निवेश हानि</t>
  </si>
  <si>
    <t>insertion power ratio</t>
  </si>
  <si>
    <t>निवेश शक्ति गुणोत्तर</t>
  </si>
  <si>
    <t>inside colour sprayed lamp</t>
  </si>
  <si>
    <t>अंतर्वर्ण तुषारित दीप</t>
  </si>
  <si>
    <t>inside frosted lamp</t>
  </si>
  <si>
    <t>अंतर्धूसरित दीप, अंतर्धूसर दीप</t>
  </si>
  <si>
    <t>also pearl lamp</t>
  </si>
  <si>
    <t>inspection cover</t>
  </si>
  <si>
    <t>निरीक्षण झाकण</t>
  </si>
  <si>
    <t>inspection fitting</t>
  </si>
  <si>
    <t>निरीक्षण जुळण</t>
  </si>
  <si>
    <t>inspetion lamp</t>
  </si>
  <si>
    <t>निरीक्षण दीप</t>
  </si>
  <si>
    <t>installation</t>
  </si>
  <si>
    <t>प्रतिष्ठापन (न.), अधिष्ठापन (न.), संचमांडणी (स्त्री.)</t>
  </si>
  <si>
    <t>installed</t>
  </si>
  <si>
    <t>प्रतिस्थाआपित, अधिस्थापित</t>
  </si>
  <si>
    <t>installed load</t>
  </si>
  <si>
    <t>प्रतिस्थापित भार, अधिष्ठापित भार</t>
  </si>
  <si>
    <t>instant start circuit</t>
  </si>
  <si>
    <t>क्षणारंभ परिपथ</t>
  </si>
  <si>
    <t>instantaneous</t>
  </si>
  <si>
    <t>तत्क्षणिक</t>
  </si>
  <si>
    <t>instantaneous current</t>
  </si>
  <si>
    <t>तत्क्षणिक धारा</t>
  </si>
  <si>
    <t>instantaneous force</t>
  </si>
  <si>
    <t>तत्क्षणिक बल</t>
  </si>
  <si>
    <t>instantaneous frequency</t>
  </si>
  <si>
    <t>तत्क्षणिक वारंवारता</t>
  </si>
  <si>
    <t>instantaneous overload release</t>
  </si>
  <si>
    <t>तत्क्षणिक अतिभार विमोचनी</t>
  </si>
  <si>
    <t>instantaneous power</t>
  </si>
  <si>
    <t>तत्क्षणिक शक्ति</t>
  </si>
  <si>
    <t>instantaneous relay</t>
  </si>
  <si>
    <t>तत्क्षणिक पुनरेषी</t>
  </si>
  <si>
    <t>instantaneous safety device</t>
  </si>
  <si>
    <t>तत्क्षणिक सुरक्षा साधन</t>
  </si>
  <si>
    <t>instantaneous safety gear</t>
  </si>
  <si>
    <t>तत्क्षणिक सुरक्षा उपस्कर, तत्क्षणिक सुरक्षा सामग्री</t>
  </si>
  <si>
    <t>instantaneous value</t>
  </si>
  <si>
    <t>तत्क्षणिक मूल्य</t>
  </si>
  <si>
    <t>instantaneous value of current</t>
  </si>
  <si>
    <t>धारेचे तत्क्षणिक मूल्य</t>
  </si>
  <si>
    <t>instrument</t>
  </si>
  <si>
    <t>उपकरण (न.)</t>
  </si>
  <si>
    <t>instrument error</t>
  </si>
  <si>
    <t>उपकरण त्रुटि</t>
  </si>
  <si>
    <t>(also instrumental error)</t>
  </si>
  <si>
    <t>instrument for absolute measurement</t>
  </si>
  <si>
    <t>instrument landing system</t>
  </si>
  <si>
    <t>उपकरण अवतारण पद्धति</t>
  </si>
  <si>
    <t>instrument room</t>
  </si>
  <si>
    <t>उउपकरण कक्ष</t>
  </si>
  <si>
    <t>instrument transformer</t>
  </si>
  <si>
    <t>उपकरण परिवर्तित्र</t>
  </si>
  <si>
    <t>insul;ation failure</t>
  </si>
  <si>
    <t>निरोधन बिघाड</t>
  </si>
  <si>
    <t>insulance</t>
  </si>
  <si>
    <t>निरोधन रोध (पु.)</t>
  </si>
  <si>
    <t>also insulation resistance</t>
  </si>
  <si>
    <t>insulate</t>
  </si>
  <si>
    <t>निरोध करणे, निरोधणे</t>
  </si>
  <si>
    <t>insulated</t>
  </si>
  <si>
    <t>निरोधित</t>
  </si>
  <si>
    <t>insulated cable</t>
  </si>
  <si>
    <t>निरोधित केबल</t>
  </si>
  <si>
    <t>insulated clip</t>
  </si>
  <si>
    <t>निरोधित चाप</t>
  </si>
  <si>
    <t>insulated hook</t>
  </si>
  <si>
    <t>निरोधित आकडा, निरोधित आकडी</t>
  </si>
  <si>
    <t>insulated return system</t>
  </si>
  <si>
    <t>निरोधित प्रत्यागमन पद्धति</t>
  </si>
  <si>
    <t>insulated screw eye</t>
  </si>
  <si>
    <t>निरोधित पेचनेढा</t>
  </si>
  <si>
    <t>insulated system</t>
  </si>
  <si>
    <t>निरोधित पद्धति</t>
  </si>
  <si>
    <t>insulating barrier</t>
  </si>
  <si>
    <t>निरोधी बांध</t>
  </si>
  <si>
    <t>insulating material</t>
  </si>
  <si>
    <t>निरोधन द्रव्य, निरोधी द्रव्य, निरोधी पदार्थ</t>
  </si>
  <si>
    <t>insulating oil</t>
  </si>
  <si>
    <t>निरोधन तेल</t>
  </si>
  <si>
    <t>insulating spacer</t>
  </si>
  <si>
    <t>निरोधी अंतरक</t>
  </si>
  <si>
    <t>insulating spool</t>
  </si>
  <si>
    <t>निरोधी रीळ</t>
  </si>
  <si>
    <t>insulating tape</t>
  </si>
  <si>
    <t>निरोधन फीत</t>
  </si>
  <si>
    <t>insulation</t>
  </si>
  <si>
    <t>१ निरोधन (न.) २ निरोध (पु.)</t>
  </si>
  <si>
    <t>insulation lining</t>
  </si>
  <si>
    <t>निरोधन अस्तर</t>
  </si>
  <si>
    <t>insulation of guy wire in antenna</t>
  </si>
  <si>
    <t>१ आकाशग ताणवार निरोध २ आकाशग ताणतार निरोधन</t>
  </si>
  <si>
    <t>insulation resistance</t>
  </si>
  <si>
    <t>insulation tester</t>
  </si>
  <si>
    <t>निरोधन परीक्षी</t>
  </si>
  <si>
    <t>insulation testing megger</t>
  </si>
  <si>
    <t>निरोधन परीक्षण मेगर</t>
  </si>
  <si>
    <t>insulation testing set</t>
  </si>
  <si>
    <t>निरोधन परीक्षण सट, निरोधन चाचणी सट</t>
  </si>
  <si>
    <t>insulation varnish</t>
  </si>
  <si>
    <t>निरोधन वार्निश</t>
  </si>
  <si>
    <t>insulator</t>
  </si>
  <si>
    <t>निरोधी (पु.), निरोधक (पु.)</t>
  </si>
  <si>
    <t>insulator shell</t>
  </si>
  <si>
    <t>निरोधी कवच</t>
  </si>
  <si>
    <t>insulator tester</t>
  </si>
  <si>
    <t>निरोधी परीक्षी</t>
  </si>
  <si>
    <t>intake</t>
  </si>
  <si>
    <t>आग्रहण (न.), आदान (न.)</t>
  </si>
  <si>
    <t>integer slot winding</t>
  </si>
  <si>
    <t>१ पूर्णांक खाच कुंडलन २ पूर्णांक खाच कुंडल</t>
  </si>
  <si>
    <t>integrating circuit</t>
  </si>
  <si>
    <t>संकलक परिपथ</t>
  </si>
  <si>
    <t>integrating frequency meter</t>
  </si>
  <si>
    <t>संकलक वारंवारता मापी</t>
  </si>
  <si>
    <t>integrating instrument</t>
  </si>
  <si>
    <t>संकलक उपकरण</t>
  </si>
  <si>
    <t>integrating meter</t>
  </si>
  <si>
    <t>संकलक मापी</t>
  </si>
  <si>
    <t>integrating photometer</t>
  </si>
  <si>
    <t>संकलक प्रकाशमापी</t>
  </si>
  <si>
    <t>integrating watt hour meter</t>
  </si>
  <si>
    <t>संकलक वॉटतास मापी</t>
  </si>
  <si>
    <t>integrating wattmeter</t>
  </si>
  <si>
    <t>संकलक वॉटमापी</t>
  </si>
  <si>
    <t>integrator</t>
  </si>
  <si>
    <t>संकलनी (पु.)</t>
  </si>
  <si>
    <t>integrodifferential equation</t>
  </si>
  <si>
    <t>संकलन विकलन समीकरण</t>
  </si>
  <si>
    <t>intensifier electrode</t>
  </si>
  <si>
    <t>तीव्रक इलेक्ट्रोड</t>
  </si>
  <si>
    <t>intensify</t>
  </si>
  <si>
    <t>तीव्र करणे</t>
  </si>
  <si>
    <t>intensifying</t>
  </si>
  <si>
    <t>तीव्रकारी</t>
  </si>
  <si>
    <t>intensifying screen</t>
  </si>
  <si>
    <t>तीव्रकारी पट, तीव्रकारी पटल</t>
  </si>
  <si>
    <t>intensity</t>
  </si>
  <si>
    <t>तीव्रता (स्त्री.)</t>
  </si>
  <si>
    <t>intensity effect</t>
  </si>
  <si>
    <t>तीव्रता प्रभाव</t>
  </si>
  <si>
    <t>intensity of magnetisation</t>
  </si>
  <si>
    <t>चुंबकन तीव्रता</t>
  </si>
  <si>
    <t>inter atomic ether</t>
  </si>
  <si>
    <t>आंतर अण्वीय ईथर</t>
  </si>
  <si>
    <t>inter electrode capacitance</t>
  </si>
  <si>
    <t>आंतर इलेक्ट्रोड धारिता</t>
  </si>
  <si>
    <t>inter ferric gap</t>
  </si>
  <si>
    <t>आंतरलोही अंतर</t>
  </si>
  <si>
    <t>inter ferric space</t>
  </si>
  <si>
    <t>inter linking</t>
  </si>
  <si>
    <t>साखळीबद्ध, शृंखलित</t>
  </si>
  <si>
    <t>inter reflection ratio</t>
  </si>
  <si>
    <t>आंतर परावर्तन गुणोत्तर</t>
  </si>
  <si>
    <t>inter-</t>
  </si>
  <si>
    <t>अंतर-, आंतर-</t>
  </si>
  <si>
    <t>inter-linked polyphase system</t>
  </si>
  <si>
    <t>आंतरयोजित बहुप्रावस्था पद्धति</t>
  </si>
  <si>
    <t>interaction</t>
  </si>
  <si>
    <t>अन्योन्यक्रिया (स्त्री.)</t>
  </si>
  <si>
    <t>interaction factor</t>
  </si>
  <si>
    <t>आंतरक्रिया अंक</t>
  </si>
  <si>
    <t>interaction gap</t>
  </si>
  <si>
    <t>आंतरक्रिया अंतर</t>
  </si>
  <si>
    <t>(an interaction space in a microcwave tube)</t>
  </si>
  <si>
    <t>interaction impedance</t>
  </si>
  <si>
    <t>आंतरक्रिया संरोध</t>
  </si>
  <si>
    <t>interaction space</t>
  </si>
  <si>
    <t>आंतरक्रिया स्थान</t>
  </si>
  <si>
    <t>interactive line impedance</t>
  </si>
  <si>
    <t>आंतरतार संरोध</t>
  </si>
  <si>
    <t>interaxial distance</t>
  </si>
  <si>
    <t>आंतराक्षीय अंतर</t>
  </si>
  <si>
    <t>interbase current</t>
  </si>
  <si>
    <t>आंतरतल धारा</t>
  </si>
  <si>
    <t>intercarrier amplification</t>
  </si>
  <si>
    <t>आंतरवाहनिक प्रवर्धन</t>
  </si>
  <si>
    <t>interceptive collective control</t>
  </si>
  <si>
    <t>आंतररोधीय संग्राही नियंत्रण</t>
  </si>
  <si>
    <t>interceptor missile</t>
  </si>
  <si>
    <t>आंतररोधी क्षेपणास्त्र</t>
  </si>
  <si>
    <t>intercom</t>
  </si>
  <si>
    <t>आंतरभाव (पु.)</t>
  </si>
  <si>
    <t>interconnected system</t>
  </si>
  <si>
    <t>आंतरबद्ध पद्धति</t>
  </si>
  <si>
    <t>interconnecting</t>
  </si>
  <si>
    <t>आंतरबंधी</t>
  </si>
  <si>
    <t>interconnecting feeder</t>
  </si>
  <si>
    <t>आंतरबंधी प्रदायी</t>
  </si>
  <si>
    <t>interconnection</t>
  </si>
  <si>
    <t>आंतरबंधन (न.)</t>
  </si>
  <si>
    <t>interconnector</t>
  </si>
  <si>
    <t>आंतरबंधक (पु.)</t>
  </si>
  <si>
    <t>intercore fault</t>
  </si>
  <si>
    <t>आंतरक्रोड दोष</t>
  </si>
  <si>
    <t>interface impedance</t>
  </si>
  <si>
    <t>आंतरपृष्ठ संरोध</t>
  </si>
  <si>
    <t>interference</t>
  </si>
  <si>
    <t>व्यतिकरण (न.), व्यत्यय (पु.)</t>
  </si>
  <si>
    <t>interference eliminator</t>
  </si>
  <si>
    <t>व्यतिकरण विलोपी</t>
  </si>
  <si>
    <t>interference fading</t>
  </si>
  <si>
    <t>व्यतिकरण परिमंदन</t>
  </si>
  <si>
    <t>interference inverter</t>
  </si>
  <si>
    <t>व्यतिकरण व्यस्तकारी</t>
  </si>
  <si>
    <t>interference pattern</t>
  </si>
  <si>
    <t>व्यतिकरण आदिरुप</t>
  </si>
  <si>
    <t>interference suppressor</t>
  </si>
  <si>
    <t>व्यतिकरण दमनकारी</t>
  </si>
  <si>
    <t>interferometer</t>
  </si>
  <si>
    <t>व्यतिकरणमापी (पु.)</t>
  </si>
  <si>
    <t>interior conduit</t>
  </si>
  <si>
    <t>अंतर्गेही वाहनळी</t>
  </si>
  <si>
    <t>interleaved coil</t>
  </si>
  <si>
    <t>आंतरपटलित कुंडल</t>
  </si>
  <si>
    <t>interleaving</t>
  </si>
  <si>
    <t>आंतरपटलन (न.)</t>
  </si>
  <si>
    <t>interlock</t>
  </si>
  <si>
    <t>आंतरपाश (पु.)</t>
  </si>
  <si>
    <t>interlock protection</t>
  </si>
  <si>
    <t>आंतरपाश रक्षण</t>
  </si>
  <si>
    <t>interlock system</t>
  </si>
  <si>
    <t>आंतरपाश पद्धति</t>
  </si>
  <si>
    <t>interlocked field rheostat</t>
  </si>
  <si>
    <t>आंतरपाशित क्षेत्र चलरोधी</t>
  </si>
  <si>
    <t>interlocking</t>
  </si>
  <si>
    <t>आंतरपाशन (न.)</t>
  </si>
  <si>
    <t>interlocking apparatus</t>
  </si>
  <si>
    <t>आंतरपाशन उपकरण</t>
  </si>
  <si>
    <t>interlocking circuit</t>
  </si>
  <si>
    <t>आंतरपाशी परिपथ</t>
  </si>
  <si>
    <t>intermediate</t>
  </si>
  <si>
    <t>मध्य (पु.)</t>
  </si>
  <si>
    <t>मध्य</t>
  </si>
  <si>
    <t>intermediate cable</t>
  </si>
  <si>
    <t>मध्य केबल</t>
  </si>
  <si>
    <t>intermediate current supply</t>
  </si>
  <si>
    <t>मध्य धारा पुरवठा</t>
  </si>
  <si>
    <t>intermediate cylinder</t>
  </si>
  <si>
    <t>मध्य दंडगोल</t>
  </si>
  <si>
    <t>intermediate distributing board</t>
  </si>
  <si>
    <t>मध्य वितरण फलक</t>
  </si>
  <si>
    <t>intermediate floor switch</t>
  </si>
  <si>
    <t>मध्य मजला स्विच</t>
  </si>
  <si>
    <t>intermediate frequency</t>
  </si>
  <si>
    <t>मध्य वारंवारता</t>
  </si>
  <si>
    <t>(i-f)</t>
  </si>
  <si>
    <t>intermediate frequency amplifier</t>
  </si>
  <si>
    <t>मध्य वारंवारता प्रवर्धी</t>
  </si>
  <si>
    <t>intermediate switch</t>
  </si>
  <si>
    <t>मध्य स्विच</t>
  </si>
  <si>
    <t>intermediate transformer</t>
  </si>
  <si>
    <t>मध्य परिवर्तित्र</t>
  </si>
  <si>
    <t>intermittent</t>
  </si>
  <si>
    <t>अंतरित, सविराम</t>
  </si>
  <si>
    <t>intermittent contact</t>
  </si>
  <si>
    <t>अंतरित संपर्क, सविराम संपर्क</t>
  </si>
  <si>
    <t>intermittent current</t>
  </si>
  <si>
    <t>अंतरित धारा, सविराम धारा</t>
  </si>
  <si>
    <t>intermittent disconnection</t>
  </si>
  <si>
    <t>अंतरित विसंधान, सविराम विसंधान, अंतरित तोडणी, सविराम तोडणी</t>
  </si>
  <si>
    <t>intermittent disturbance</t>
  </si>
  <si>
    <t>अंतरित विक्षोभ, सविराम विक्षोभ</t>
  </si>
  <si>
    <t>intermittent duty</t>
  </si>
  <si>
    <t>अंतरित सेवा, सविराम सेवा</t>
  </si>
  <si>
    <t>intermittent earth</t>
  </si>
  <si>
    <t>अंतरित भूसंपर्क, सविराम भूसंपर्क</t>
  </si>
  <si>
    <t>intermittent load</t>
  </si>
  <si>
    <t>अंतरित भार, सविराम भार</t>
  </si>
  <si>
    <t>intermittent loading</t>
  </si>
  <si>
    <t>अंतरित भारण, सविराम भारण</t>
  </si>
  <si>
    <t>intermittent operation</t>
  </si>
  <si>
    <t>अंतरित परिकर्म, सविराम परिकर्म</t>
  </si>
  <si>
    <t>intermittent rating</t>
  </si>
  <si>
    <t>अंतरित क्षमता निर्देशन, सविराम क्षमता निर्देशन, अंतरित क्षमता इयत्ता, सविराम क्षमता इयत्ता</t>
  </si>
  <si>
    <t>intermodulation</t>
  </si>
  <si>
    <t>अंतर आपरिवर्तन (न.)</t>
  </si>
  <si>
    <t>intermodulation distortion</t>
  </si>
  <si>
    <t>अंतरापरिवर्तन विकृति</t>
  </si>
  <si>
    <t>internal</t>
  </si>
  <si>
    <t>आंतरिक</t>
  </si>
  <si>
    <t>internal braking</t>
  </si>
  <si>
    <t>आंतरिक आरोधन</t>
  </si>
  <si>
    <t>internal capacitance</t>
  </si>
  <si>
    <t>आंतरिक धारिता</t>
  </si>
  <si>
    <t>internal capacity</t>
  </si>
  <si>
    <t>internal cell resistance</t>
  </si>
  <si>
    <t>घट अंतर्राएध</t>
  </si>
  <si>
    <t>internal characteristic curve</t>
  </si>
  <si>
    <t>आंतरिक अभिलक्षण वक्र</t>
  </si>
  <si>
    <t>internal characteristics</t>
  </si>
  <si>
    <t>आंतरिक अभिलक्षणे (न.अ.व.)</t>
  </si>
  <si>
    <t>internal combustion engine</t>
  </si>
  <si>
    <t>अंतर्दहन अभियंत्र</t>
  </si>
  <si>
    <t>internal conductor</t>
  </si>
  <si>
    <t>आंतरिक वाही</t>
  </si>
  <si>
    <t>internal correction voltage</t>
  </si>
  <si>
    <t>आंतरिक संशुद्धि व्होल्टता</t>
  </si>
  <si>
    <t>internal drop</t>
  </si>
  <si>
    <t>आंतरिक पात</t>
  </si>
  <si>
    <t>internal memory</t>
  </si>
  <si>
    <t>आंतरिक स्मृति</t>
  </si>
  <si>
    <t>internal polarisation</t>
  </si>
  <si>
    <t>आंतरिक धुवीकरण</t>
  </si>
  <si>
    <t>internal resistance</t>
  </si>
  <si>
    <t>आंतरिक रोध</t>
  </si>
  <si>
    <t>international ampere</t>
  </si>
  <si>
    <t>आंतरराष्ट्रीय ँम्पिअर</t>
  </si>
  <si>
    <t>international candle</t>
  </si>
  <si>
    <t>आंतरराष्ट्रीय कँडल</t>
  </si>
  <si>
    <t>international Morse code</t>
  </si>
  <si>
    <t>आंतरराष्ट्रीय मोर्स कूट</t>
  </si>
  <si>
    <t>international ohm</t>
  </si>
  <si>
    <t>आंतरराष्ट्रीय ओम</t>
  </si>
  <si>
    <t>international standard</t>
  </si>
  <si>
    <t>आंतरराष्ट्रीय मानक</t>
  </si>
  <si>
    <t>international volt</t>
  </si>
  <si>
    <t>आंतरराष्ट्रीय व्होल्ट</t>
  </si>
  <si>
    <t>interphase transformer</t>
  </si>
  <si>
    <t>आंतरप्रावस्था परिवर्तित्र</t>
  </si>
  <si>
    <t>interpolar gap</t>
  </si>
  <si>
    <t>आंतरधुवीय अंतर</t>
  </si>
  <si>
    <t>interpolation</t>
  </si>
  <si>
    <t>अंतर्वेशन (न.)</t>
  </si>
  <si>
    <t>interpole</t>
  </si>
  <si>
    <t>आंतरधुव (पु.)</t>
  </si>
  <si>
    <t>interpole dynamo</t>
  </si>
  <si>
    <t>आंतरधुव जनित्र</t>
  </si>
  <si>
    <t>interpole motor</t>
  </si>
  <si>
    <t>आंतरधुव चलित्र</t>
  </si>
  <si>
    <t>interpole motor characteristics</t>
  </si>
  <si>
    <t>आंतरधुव चलित्र अभिलक्षणे (न.अ.व.)</t>
  </si>
  <si>
    <t>interpole winding</t>
  </si>
  <si>
    <t>आंतरधुव कुंडलन</t>
  </si>
  <si>
    <t>interpreter</t>
  </si>
  <si>
    <t>आंतरभाषी (पु.)</t>
  </si>
  <si>
    <t>interrogator</t>
  </si>
  <si>
    <t>पृच्छक (पु.)</t>
  </si>
  <si>
    <t>interrupted</t>
  </si>
  <si>
    <t>खंडित</t>
  </si>
  <si>
    <t>interrupted continuous waves</t>
  </si>
  <si>
    <t>खंडित अविराम धारा (स्त्री.अ.व.)</t>
  </si>
  <si>
    <t>I.C.W.</t>
  </si>
  <si>
    <t>interrupted current system</t>
  </si>
  <si>
    <t>खंडित धारा पद्धति</t>
  </si>
  <si>
    <t>interrupted direct current</t>
  </si>
  <si>
    <t>खंडित दिष्ट धारा</t>
  </si>
  <si>
    <t>interrupted ringing</t>
  </si>
  <si>
    <t>खंडित नादन</t>
  </si>
  <si>
    <t>interrupter</t>
  </si>
  <si>
    <t>खंडकारी (पु.), अंतरायक (पु.)</t>
  </si>
  <si>
    <t>interruption</t>
  </si>
  <si>
    <t>१ खंड (पु.) २ खंडन (न.)</t>
  </si>
  <si>
    <t>intersection</t>
  </si>
  <si>
    <t>१ छेद (पु.), २ छेदन (न.)</t>
  </si>
  <si>
    <t>intersheath</t>
  </si>
  <si>
    <t>आंतरकोष (पु.)</t>
  </si>
  <si>
    <t>interstage coupling</t>
  </si>
  <si>
    <t>आंतरपदीय युग्मन</t>
  </si>
  <si>
    <t>interstage coupling transformer</t>
  </si>
  <si>
    <t>आंतरपदीय युग्मन परिवर्तित्र</t>
  </si>
  <si>
    <t>interstage transformer</t>
  </si>
  <si>
    <t>आंतरपदीय परिवर्तित्र</t>
  </si>
  <si>
    <t>interstation interference</t>
  </si>
  <si>
    <t>आंतरकेंद्र अंतराय</t>
  </si>
  <si>
    <t>intra polar electrolysis</t>
  </si>
  <si>
    <t>अंतर्धुवीय विद्युत अपघटन</t>
  </si>
  <si>
    <t>intrinsic semiconductor</t>
  </si>
  <si>
    <t>निज अर्धवाही, अंतर्भूत अर्धवाही</t>
  </si>
  <si>
    <t>intrinsically safe</t>
  </si>
  <si>
    <t>जात्या सुरक्षित</t>
  </si>
  <si>
    <t>intrrogator responser</t>
  </si>
  <si>
    <t>पृच्छक प्रतिसादी (पु.)</t>
  </si>
  <si>
    <t>invariant</t>
  </si>
  <si>
    <t>निश्चल (पु.)</t>
  </si>
  <si>
    <t>inverse impedance</t>
  </si>
  <si>
    <t>व्यस्त संरोध</t>
  </si>
  <si>
    <t>inverse speed motor</t>
  </si>
  <si>
    <t>व्यस्तचाल चलित्र</t>
  </si>
  <si>
    <t>inverse time delay</t>
  </si>
  <si>
    <t>व्यस्त काल विलंब</t>
  </si>
  <si>
    <t>inverse time element</t>
  </si>
  <si>
    <t>व्यस्त काल घटक</t>
  </si>
  <si>
    <t>inverse time lag</t>
  </si>
  <si>
    <t>व्यस्त काल पश्चता</t>
  </si>
  <si>
    <t>inverse time limit</t>
  </si>
  <si>
    <t>व्यस्त काल सीमा</t>
  </si>
  <si>
    <t>inverse time relay</t>
  </si>
  <si>
    <t>व्यस्त काल पुनरेषी</t>
  </si>
  <si>
    <t>inverse transform</t>
  </si>
  <si>
    <t>व्यस्त रुपांतर</t>
  </si>
  <si>
    <t>inversion integral</t>
  </si>
  <si>
    <t>व्यस्त संकलक</t>
  </si>
  <si>
    <t>inverted</t>
  </si>
  <si>
    <t>पर्यस्त, व्यस्त, उलटा</t>
  </si>
  <si>
    <t>inverted amplifier</t>
  </si>
  <si>
    <t>व्यस्त प्रवर्धी, पर्यस्त प्रवर्धी</t>
  </si>
  <si>
    <t>inverted L antenna</t>
  </si>
  <si>
    <t>व्यस्त L आकाशग</t>
  </si>
  <si>
    <t>inverted tubes</t>
  </si>
  <si>
    <t>व्यस्त नलिका (स्त्री.अ.व.)</t>
  </si>
  <si>
    <t>inverted V antenna</t>
  </si>
  <si>
    <t>व्यस्त V आकाशग</t>
  </si>
  <si>
    <t>inverter</t>
  </si>
  <si>
    <t>व्यस्तित्र (न.), व्यस्तकारी (पु.)</t>
  </si>
  <si>
    <t>also invertor</t>
  </si>
  <si>
    <t>investigation</t>
  </si>
  <si>
    <t>अन्वेषण (न.)</t>
  </si>
  <si>
    <t>ion</t>
  </si>
  <si>
    <t>Chem. आयन (पु.)</t>
  </si>
  <si>
    <t>ion density</t>
  </si>
  <si>
    <t>आयन घनता</t>
  </si>
  <si>
    <t>ion exchange</t>
  </si>
  <si>
    <t>आयन विनिमय</t>
  </si>
  <si>
    <t>ion migration</t>
  </si>
  <si>
    <t>आयन स्थानांतरण</t>
  </si>
  <si>
    <t>ion mobility</t>
  </si>
  <si>
    <t>आयन गतिशीलता</t>
  </si>
  <si>
    <t>ion spot</t>
  </si>
  <si>
    <t>आयन बिंदु</t>
  </si>
  <si>
    <t>ion trap</t>
  </si>
  <si>
    <t>आयन सापळा (पु.)</t>
  </si>
  <si>
    <t>ionic bombardment</t>
  </si>
  <si>
    <t>आयनिक भडिमार</t>
  </si>
  <si>
    <t>ionic medication</t>
  </si>
  <si>
    <t>आयनिक औषधीकरण, आयनिक औषधयोजना</t>
  </si>
  <si>
    <t>ionic mobility</t>
  </si>
  <si>
    <t>आयनिक चलनशीलता</t>
  </si>
  <si>
    <t>ionic potential</t>
  </si>
  <si>
    <t>आयनिक विभव</t>
  </si>
  <si>
    <t>ionisation</t>
  </si>
  <si>
    <t>आयनन (न.), आयनीकरण (न.)</t>
  </si>
  <si>
    <t>ionisation chamber</t>
  </si>
  <si>
    <t>आयनन कक्ष</t>
  </si>
  <si>
    <t>ionisation counter</t>
  </si>
  <si>
    <t>आयनन गणित्र</t>
  </si>
  <si>
    <t>ionisation current</t>
  </si>
  <si>
    <t>आयनन धारा</t>
  </si>
  <si>
    <t>ionisation gauge</t>
  </si>
  <si>
    <t>आयनन प्रमापी</t>
  </si>
  <si>
    <t>ionisation gauge valve (tube)</t>
  </si>
  <si>
    <t>आयनन प्रमापी झडप (नलिका)</t>
  </si>
  <si>
    <t>ionisation potential</t>
  </si>
  <si>
    <t>आयनन विभव</t>
  </si>
  <si>
    <t>ionisation spectrometer</t>
  </si>
  <si>
    <t>आयनन पिसारणमापी</t>
  </si>
  <si>
    <t>ionisation test</t>
  </si>
  <si>
    <t>आयनन परीक्षण</t>
  </si>
  <si>
    <t>ionisation time</t>
  </si>
  <si>
    <t>आयनन काल</t>
  </si>
  <si>
    <t>ionised medium</t>
  </si>
  <si>
    <t>आयनित माध्यम</t>
  </si>
  <si>
    <t>ionising potential</t>
  </si>
  <si>
    <t>आयनीकरण विभव</t>
  </si>
  <si>
    <t>ionosphere</t>
  </si>
  <si>
    <t>आयनावरण (न.)</t>
  </si>
  <si>
    <t>ionosphere investigation</t>
  </si>
  <si>
    <t>आयनावरण अन्वेषण</t>
  </si>
  <si>
    <t>ionosphere region</t>
  </si>
  <si>
    <t>आयनावरण प्रदेश</t>
  </si>
  <si>
    <t>ionosphere storm</t>
  </si>
  <si>
    <t>आयनावरणातील वादळ</t>
  </si>
  <si>
    <t>ionospheric ray</t>
  </si>
  <si>
    <t>आयनावरणी किरण</t>
  </si>
  <si>
    <t>ionospheric wave</t>
  </si>
  <si>
    <t>आयनावरणी तरंग</t>
  </si>
  <si>
    <t>iris</t>
  </si>
  <si>
    <t>बाहुली (स्त्री.), परितारका (स्त्री.)</t>
  </si>
  <si>
    <t>iron</t>
  </si>
  <si>
    <t>लोह (न.)</t>
  </si>
  <si>
    <t>iron core coil</t>
  </si>
  <si>
    <t>लोह क्रोड कुंडल</t>
  </si>
  <si>
    <t>iron core reactor</t>
  </si>
  <si>
    <t>लोह क्रोड प्रतिरोधी</t>
  </si>
  <si>
    <t>iron cored choke</t>
  </si>
  <si>
    <t>लोह क्रोडित चोक</t>
  </si>
  <si>
    <t>iron cored coil</t>
  </si>
  <si>
    <t>लोह क्रोडित कुंडल</t>
  </si>
  <si>
    <t>iron lamination</t>
  </si>
  <si>
    <t>लोह पत्र</t>
  </si>
  <si>
    <t>iron loss</t>
  </si>
  <si>
    <t>लोह हानि</t>
  </si>
  <si>
    <t>iron magnetic circuit</t>
  </si>
  <si>
    <t>चुंबकीय लोह परिपथ</t>
  </si>
  <si>
    <t>ironclad switch</t>
  </si>
  <si>
    <t>लोहवेष्टित स्विच</t>
  </si>
  <si>
    <t>irradiation</t>
  </si>
  <si>
    <t>अंतःप्रारण (न.)</t>
  </si>
  <si>
    <t>irregularity factor</t>
  </si>
  <si>
    <t>अनियमितता अंक</t>
  </si>
  <si>
    <t>irreversibel process</t>
  </si>
  <si>
    <t>अव्युत्क्रमी प्रक्रिया</t>
  </si>
  <si>
    <t>irreversible electrode</t>
  </si>
  <si>
    <t>अव्युत्क्रमी इलेक्ट्रोड</t>
  </si>
  <si>
    <t>isocandle diagram</t>
  </si>
  <si>
    <t>समकँडल आकृति</t>
  </si>
  <si>
    <t>isochronism</t>
  </si>
  <si>
    <t>समकालत्व (न.)</t>
  </si>
  <si>
    <t>isocline</t>
  </si>
  <si>
    <t>समनति (स्त्री.)</t>
  </si>
  <si>
    <t>isoelectric point</t>
  </si>
  <si>
    <t>समविद्युत बिंदु</t>
  </si>
  <si>
    <t>isolated</t>
  </si>
  <si>
    <t>एकलित</t>
  </si>
  <si>
    <t>isolated generating plant</t>
  </si>
  <si>
    <t>एकलित जनन संयंत्र</t>
  </si>
  <si>
    <t>isolated neutral</t>
  </si>
  <si>
    <t>एकलित तटस्थिका</t>
  </si>
  <si>
    <t>isolated tranformer station</t>
  </si>
  <si>
    <t>एकलित परिवर्तित्र केंद्र</t>
  </si>
  <si>
    <t>isolating link</t>
  </si>
  <si>
    <t>एकलन दुवा</t>
  </si>
  <si>
    <t>isolating mechanism</t>
  </si>
  <si>
    <t>एकलन यंत्रणा</t>
  </si>
  <si>
    <t>isolating switch</t>
  </si>
  <si>
    <t>एकलन स्विच</t>
  </si>
  <si>
    <t>isophot curve</t>
  </si>
  <si>
    <t>समदीपन वक्र</t>
  </si>
  <si>
    <t>isophot diagram</t>
  </si>
  <si>
    <t>समदीपन आकृति</t>
  </si>
  <si>
    <t>isotope</t>
  </si>
  <si>
    <t>Phys. समप्रोटान (पु.)</t>
  </si>
  <si>
    <t>समप्रोटानिक</t>
  </si>
  <si>
    <t>iteration</t>
  </si>
  <si>
    <t>पुनरावृत्ति (स्त्री.)</t>
  </si>
  <si>
    <t>iterative impedance</t>
  </si>
  <si>
    <t>पुनरावृत्ति संरोध</t>
  </si>
  <si>
    <t>iterative impedance operation network</t>
  </si>
  <si>
    <t>पुनरावृत्ति संरोध परिकर्म जालव्यूह</t>
  </si>
  <si>
    <t>iterative transfer constant</t>
  </si>
  <si>
    <t>पुनरावृत्ति बदल स्थिरांक</t>
  </si>
  <si>
    <t>itter</t>
  </si>
  <si>
    <t>थरथर (स्त्री.)</t>
  </si>
  <si>
    <t>jack</t>
  </si>
  <si>
    <t>जॅक (पु.)</t>
  </si>
  <si>
    <t>jack box</t>
  </si>
  <si>
    <t>जॅक पेटी</t>
  </si>
  <si>
    <t>jammer</t>
  </si>
  <si>
    <t>संकुली (पु.), संकुलक (पु.)</t>
  </si>
  <si>
    <t>jamming</t>
  </si>
  <si>
    <t>संकुलन (न.)</t>
  </si>
  <si>
    <t>jar</t>
  </si>
  <si>
    <t>बरणी (स्त्री.)</t>
  </si>
  <si>
    <t>Jenna radiation filter</t>
  </si>
  <si>
    <t>जेना प्रारण गाळणी</t>
  </si>
  <si>
    <t>Jenny pole support</t>
  </si>
  <si>
    <t>जेनी घिरा</t>
  </si>
  <si>
    <t>jet pressure</t>
  </si>
  <si>
    <t>जेट दाब, प्रक्षेप दाब</t>
  </si>
  <si>
    <t>jigger</t>
  </si>
  <si>
    <t>जिगर (न.)</t>
  </si>
  <si>
    <t>jitter scope</t>
  </si>
  <si>
    <t>थरथरदर्शी (पु.)</t>
  </si>
  <si>
    <t>Johnson noise</t>
  </si>
  <si>
    <t>जॉन्सन कुरव</t>
  </si>
  <si>
    <t>joint</t>
  </si>
  <si>
    <t>संयुक्त</t>
  </si>
  <si>
    <t>जोड (पु.), संधि (पु.), सांधा (पु.)</t>
  </si>
  <si>
    <t>joint admittance</t>
  </si>
  <si>
    <t>संयुक्त संवहन</t>
  </si>
  <si>
    <t>joint box</t>
  </si>
  <si>
    <t>जोड पेटी</t>
  </si>
  <si>
    <t>joint clamp</t>
  </si>
  <si>
    <t>जोड पकड</t>
  </si>
  <si>
    <t>joint conductance</t>
  </si>
  <si>
    <t>संयुक्त प्रवहन</t>
  </si>
  <si>
    <t>jointing chamber</t>
  </si>
  <si>
    <t>जोडण कक्ष</t>
  </si>
  <si>
    <t>Joshi effect</t>
  </si>
  <si>
    <t>जोशी शोध</t>
  </si>
  <si>
    <t>joule</t>
  </si>
  <si>
    <t>Phys. जूल (न.)</t>
  </si>
  <si>
    <t>Joule effect</t>
  </si>
  <si>
    <t>जूल शोध, जूल प्रभाव</t>
  </si>
  <si>
    <t>Joule magnetotriction</t>
  </si>
  <si>
    <t>जूल चुंबकीआकारभेद</t>
  </si>
  <si>
    <t>Joule meter</t>
  </si>
  <si>
    <t>जूलमापी (पु.)</t>
  </si>
  <si>
    <t>Joule's law</t>
  </si>
  <si>
    <t>जूलचा नियम</t>
  </si>
  <si>
    <t>journal</t>
  </si>
  <si>
    <t>धारवा रोही (पु.)</t>
  </si>
  <si>
    <t>jump</t>
  </si>
  <si>
    <t>झेप (स्त्री.)</t>
  </si>
  <si>
    <t>jump spark ignition</t>
  </si>
  <si>
    <t>झेप ठिणगी प्रज्वलन, झेप स्फुल्लिंग प्रज्वलन</t>
  </si>
  <si>
    <t>jumper</t>
  </si>
  <si>
    <t>झेपी (पु.)</t>
  </si>
  <si>
    <t>jumper cable</t>
  </si>
  <si>
    <t>झेप केबल (स्त्री.)</t>
  </si>
  <si>
    <t>jumper loop</t>
  </si>
  <si>
    <t>झेपी लूप</t>
  </si>
  <si>
    <t>jumper wire</t>
  </si>
  <si>
    <t>झेप तर (स्त्री.)</t>
  </si>
  <si>
    <t>junction</t>
  </si>
  <si>
    <t>संधिस्थान (न.), संयोग (पु.), संधि (पु.)</t>
  </si>
  <si>
    <t>junction box</t>
  </si>
  <si>
    <t>संयोग पेटी (स्त्री.)</t>
  </si>
  <si>
    <t>junction coupling</t>
  </si>
  <si>
    <t>संयोग युग्मन</t>
  </si>
  <si>
    <t>keep alive arc</t>
  </si>
  <si>
    <t>keep alive circuit</t>
  </si>
  <si>
    <t>चेत परिपथ</t>
  </si>
  <si>
    <t>Kelvin balance</t>
  </si>
  <si>
    <t>केल्विन तुला, केल्विन तराजु</t>
  </si>
  <si>
    <t>Kelvin bridge</t>
  </si>
  <si>
    <t>केल्विन सेतु</t>
  </si>
  <si>
    <t>Kelvin effect</t>
  </si>
  <si>
    <t>केल्विन प्रभाव</t>
  </si>
  <si>
    <t>Kelvin scale</t>
  </si>
  <si>
    <t>केल्विन मापनी</t>
  </si>
  <si>
    <t>Kelvin's law</t>
  </si>
  <si>
    <t>केल्विनचा नियम</t>
  </si>
  <si>
    <t>Kemelly Heaviside layer</t>
  </si>
  <si>
    <t>केनेली हेविसाईड स्तर</t>
  </si>
  <si>
    <t>kenopliotron</t>
  </si>
  <si>
    <t>केनोप्लिओट्रॉन (पु.)</t>
  </si>
  <si>
    <t>kenotron</t>
  </si>
  <si>
    <t>केनोट्रॉन (पु.)</t>
  </si>
  <si>
    <t>Kerr effect</t>
  </si>
  <si>
    <t>कार शोध</t>
  </si>
  <si>
    <t>key</t>
  </si>
  <si>
    <t>१ कळ (स्त्री.) २ चावी (स्त्री.)</t>
  </si>
  <si>
    <t>key click</t>
  </si>
  <si>
    <t>कळ खटका</t>
  </si>
  <si>
    <t>keying</t>
  </si>
  <si>
    <t>१ कळभरण (न.) २ कळचालन (न.)</t>
  </si>
  <si>
    <t>keying method</t>
  </si>
  <si>
    <t>कळचालन पद्धति</t>
  </si>
  <si>
    <t>keying transient</t>
  </si>
  <si>
    <t>कळचालन क्षणिक</t>
  </si>
  <si>
    <t>keystone distortion</t>
  </si>
  <si>
    <t>कळशीला विकृति</t>
  </si>
  <si>
    <t>kick</t>
  </si>
  <si>
    <t>फेक (स्त्री.)</t>
  </si>
  <si>
    <t>kilo</t>
  </si>
  <si>
    <t>किलो-</t>
  </si>
  <si>
    <t>denoting 1000</t>
  </si>
  <si>
    <t>kilo calories</t>
  </si>
  <si>
    <t>किलो कॅलरी</t>
  </si>
  <si>
    <t>kilovolt ampere</t>
  </si>
  <si>
    <t>किलो व्होल्ट ऍम्पिअर (पु.)</t>
  </si>
  <si>
    <t>abbr. KVA</t>
  </si>
  <si>
    <t>kilovolt ampere charge</t>
  </si>
  <si>
    <t>किलो व्होल्ट ऍम्पिअर आकार</t>
  </si>
  <si>
    <t>kilovolt ampere rating</t>
  </si>
  <si>
    <t>किलो व्होल्ट ऍम्पिअर निर्धारण</t>
  </si>
  <si>
    <t>kilowatt</t>
  </si>
  <si>
    <t>किलोवॅट (न.)</t>
  </si>
  <si>
    <t>kilowatt charge</t>
  </si>
  <si>
    <t>१ किलोवॅट आकार २ किलोवॅट प्रभार</t>
  </si>
  <si>
    <t>kilowatt demand charge</t>
  </si>
  <si>
    <t>किलोवॅट मागणी आकार</t>
  </si>
  <si>
    <t>kilowatt hour</t>
  </si>
  <si>
    <t>किलोवॅट तास (पु.)</t>
  </si>
  <si>
    <t>kilowatt input</t>
  </si>
  <si>
    <t>किलोवॅट आदान</t>
  </si>
  <si>
    <t>kilowatt output</t>
  </si>
  <si>
    <t>किलोवॅट प्रदान</t>
  </si>
  <si>
    <t>kinescope</t>
  </si>
  <si>
    <t>किनेस्कोप (पु.)</t>
  </si>
  <si>
    <t>kinetic energy</t>
  </si>
  <si>
    <t>गतिज ऊर्जा</t>
  </si>
  <si>
    <t>kinetics</t>
  </si>
  <si>
    <t>शुद्धगतिकी (स्त्री.)</t>
  </si>
  <si>
    <t>kinterlaced scanning</t>
  </si>
  <si>
    <t>आंतरग्रथित क्रमवीक्षण</t>
  </si>
  <si>
    <t>kiosk</t>
  </si>
  <si>
    <t>कुटी (स्त्री.)</t>
  </si>
  <si>
    <t>klydonograph</t>
  </si>
  <si>
    <t>क्लिडोनोलेखी (पु.)</t>
  </si>
  <si>
    <t>klystron</t>
  </si>
  <si>
    <t>क्लाईस्ट्रॉन (पु.)</t>
  </si>
  <si>
    <t>Klystron amplifier</t>
  </si>
  <si>
    <t>क्लाईस्ट्रॉन प्रवर्धी</t>
  </si>
  <si>
    <t>Klystron frequency multiplier</t>
  </si>
  <si>
    <t>क्लाईस्ट्रॉन वारंवारता गुणक</t>
  </si>
  <si>
    <t>Klystron oscillator</t>
  </si>
  <si>
    <t>क्लाईस्ट्रॉन दोली</t>
  </si>
  <si>
    <t>knee</t>
  </si>
  <si>
    <t>जानु (पु.)</t>
  </si>
  <si>
    <t>knife break switch</t>
  </si>
  <si>
    <t>वियोजी पाते स्विच</t>
  </si>
  <si>
    <t>knife switch</t>
  </si>
  <si>
    <t>पाते स्विच (पु.)</t>
  </si>
  <si>
    <t>knob</t>
  </si>
  <si>
    <t>मूठ (स्त्री.)</t>
  </si>
  <si>
    <t>kva</t>
  </si>
  <si>
    <t>किव्होऍ</t>
  </si>
  <si>
    <t>(abbr. for kilovolt ampere)</t>
  </si>
  <si>
    <t>kva charge</t>
  </si>
  <si>
    <t>किव्होऍ आकार</t>
  </si>
  <si>
    <t>kva demand charge</t>
  </si>
  <si>
    <t>किव्होऍ मागणी आकार</t>
  </si>
  <si>
    <t>kva meter</t>
  </si>
  <si>
    <t>किव्होऍ मापी</t>
  </si>
  <si>
    <t>kymograph</t>
  </si>
  <si>
    <t>स्पंदलेखी (पु.)</t>
  </si>
  <si>
    <t>L C Filter</t>
  </si>
  <si>
    <t>L C गाळणी</t>
  </si>
  <si>
    <t>L section</t>
  </si>
  <si>
    <t>L विभाग (पु.)</t>
  </si>
  <si>
    <t>L.T. (low tension) distribution</t>
  </si>
  <si>
    <t>निम्न व्होल्टता वितरण</t>
  </si>
  <si>
    <t>labile</t>
  </si>
  <si>
    <t>सुचल</t>
  </si>
  <si>
    <t>labile galvanisation</t>
  </si>
  <si>
    <t>सुचल गॅव्हानीकरण</t>
  </si>
  <si>
    <t>labyrinth</t>
  </si>
  <si>
    <t>व्यूह (पु.)</t>
  </si>
  <si>
    <t>labyrinth loudspeaker</t>
  </si>
  <si>
    <t>व्यूह ध्वनिवर्धी</t>
  </si>
  <si>
    <t>lacquering</t>
  </si>
  <si>
    <t>लाखरोगण (न.), लाखटन (न.)</t>
  </si>
  <si>
    <t>ladder attenuator</t>
  </si>
  <si>
    <t>सोपान क्षीणनकारी</t>
  </si>
  <si>
    <t>ladder network</t>
  </si>
  <si>
    <t>सोपान जालव्यूह, शिडी जालव्यूह</t>
  </si>
  <si>
    <t>lag</t>
  </si>
  <si>
    <t>१ पश्चता (स्त्री.) २ पश्च (पु.)</t>
  </si>
  <si>
    <t>lag and lead</t>
  </si>
  <si>
    <t>पश्च आणि अग्र</t>
  </si>
  <si>
    <t>lagging</t>
  </si>
  <si>
    <t>पश्चगमन (न.)</t>
  </si>
  <si>
    <t>पश्चशील</t>
  </si>
  <si>
    <t>lagging current</t>
  </si>
  <si>
    <t>पश्चशील धारा</t>
  </si>
  <si>
    <t>lagging load</t>
  </si>
  <si>
    <t>पश्चशील भार</t>
  </si>
  <si>
    <t>lagging phase</t>
  </si>
  <si>
    <t>पश्चशील प्रावस्था</t>
  </si>
  <si>
    <t>lagging power factor</t>
  </si>
  <si>
    <t>पश्चशील शक्ति अंक</t>
  </si>
  <si>
    <t>lagging quadrature component</t>
  </si>
  <si>
    <t>पश्चशील जात्य घटक</t>
  </si>
  <si>
    <t>lambert</t>
  </si>
  <si>
    <t>लँबर्ट (न.)</t>
  </si>
  <si>
    <t>laminated</t>
  </si>
  <si>
    <t>स्तरित, सस्तर</t>
  </si>
  <si>
    <t>laminated brush</t>
  </si>
  <si>
    <t>स्तरित कुंचा, सस्तर कुंचा</t>
  </si>
  <si>
    <t>laminated brush switch</t>
  </si>
  <si>
    <t>स्तरित कुंचा स्विच, स्तरित कुंचला स्विच</t>
  </si>
  <si>
    <t>laminated conductor</t>
  </si>
  <si>
    <t>स्तरित वाही</t>
  </si>
  <si>
    <t>laminated contact</t>
  </si>
  <si>
    <t>स्तरित संपर्की</t>
  </si>
  <si>
    <t>laminated core</t>
  </si>
  <si>
    <t>स्तरित क्रोड</t>
  </si>
  <si>
    <t>laminated magnet</t>
  </si>
  <si>
    <t>स्तरित चुंबक</t>
  </si>
  <si>
    <t>laminated pole</t>
  </si>
  <si>
    <t>स्तरित धुव</t>
  </si>
  <si>
    <t>laminated pole shoe</t>
  </si>
  <si>
    <t>स्तरित धुव पाद</t>
  </si>
  <si>
    <t>laminated yoke</t>
  </si>
  <si>
    <t>स्तरित जू</t>
  </si>
  <si>
    <t>lamination</t>
  </si>
  <si>
    <t>१ स्तरपत्र (न.), पत्र (न.) २ स्तरीकरण (न.), स्तरविन्यास (पु.)</t>
  </si>
  <si>
    <t>lamp</t>
  </si>
  <si>
    <t>दिवा (पु.), दीप (पु.)</t>
  </si>
  <si>
    <t>arc lamp प्रज्योत दीप carbon lamp = carbon filament lamp कर्ब दीप, कर्ब तंतु दीप, कार्बन दीप, कार्बन तंतु दीप electric discharge lamp विद्युत निर्भारण दीप filament lamp तंतु दीप flash lamp चमक दीप frosted lamp धूसारित दीप gas filled lamp वायुपूरित दीप hand lamp हस्त दीप inside frosted lamp = pearl lamp अंतर्धूसरित दीप, अंतर्धूसर दीप inspection lamp निरीक्षण दीप miner's lamp खाण दीप neon lamp निऑन दीप opal lamp उपल दीप portable lamp सुवाह्य दीप tubular lamp नलिका दीप tungsten lamp टंगस्टन दीप</t>
  </si>
  <si>
    <t>lamp annunciator</t>
  </si>
  <si>
    <t>दीप अभिसूची</t>
  </si>
  <si>
    <t>lamp base</t>
  </si>
  <si>
    <t>दीप तल</t>
  </si>
  <si>
    <t>lamp cap</t>
  </si>
  <si>
    <t>दीप टोपी</t>
  </si>
  <si>
    <t>lamp filament</t>
  </si>
  <si>
    <t>दीप तंतु</t>
  </si>
  <si>
    <t>lamp socket</t>
  </si>
  <si>
    <t>दीप खोबण</t>
  </si>
  <si>
    <t>lampblack</t>
  </si>
  <si>
    <t>Chem. दीपकाजळी (स्त्री.)</t>
  </si>
  <si>
    <t>lampholder</t>
  </si>
  <si>
    <t>दीपाधार (पु.), दीपधारी (पु.)</t>
  </si>
  <si>
    <t>lampholder plug</t>
  </si>
  <si>
    <t>दीपधारी निग</t>
  </si>
  <si>
    <t>landing</t>
  </si>
  <si>
    <t>१ अवतरण (न.) २ रमणा (पु.)</t>
  </si>
  <si>
    <t>landing apron</t>
  </si>
  <si>
    <t>रमणा रक्षापट</t>
  </si>
  <si>
    <t>landing call push</t>
  </si>
  <si>
    <t>रमणापाचारण दाबगुंडी, रमणापाचारण दाबबटन</t>
  </si>
  <si>
    <t>landing door</t>
  </si>
  <si>
    <t>रमणा द्वार</t>
  </si>
  <si>
    <t>landing flood light</t>
  </si>
  <si>
    <t>अवतरण प्रकाश झोत</t>
  </si>
  <si>
    <t>landing gate</t>
  </si>
  <si>
    <t>landing instrument</t>
  </si>
  <si>
    <t>अवतरण उपकरण</t>
  </si>
  <si>
    <t>landing level</t>
  </si>
  <si>
    <t>रमणा पातळी</t>
  </si>
  <si>
    <t>landing switch</t>
  </si>
  <si>
    <t>रमणा स्विच (पु.)</t>
  </si>
  <si>
    <t>landing zone</t>
  </si>
  <si>
    <t>रमणा क्षेत्र</t>
  </si>
  <si>
    <t>lantern slide projector</t>
  </si>
  <si>
    <t>दीप सरकचित्र प्रक्षेपी</t>
  </si>
  <si>
    <t>lap</t>
  </si>
  <si>
    <t>चढाव (पु.)</t>
  </si>
  <si>
    <t>lap joint</t>
  </si>
  <si>
    <t>चढाव सांधा</t>
  </si>
  <si>
    <t>lap winding</t>
  </si>
  <si>
    <t>लेप कुंडलन</t>
  </si>
  <si>
    <t>lap wound</t>
  </si>
  <si>
    <t>लेप कुंडलित</t>
  </si>
  <si>
    <t>lapping</t>
  </si>
  <si>
    <t>१ विशाणन (न.) २ लेपन (न.)</t>
  </si>
  <si>
    <t>laryngophone</t>
  </si>
  <si>
    <t>कंठश्रवणी (पु.)</t>
  </si>
  <si>
    <t>laser</t>
  </si>
  <si>
    <t>लेसर (पु.)</t>
  </si>
  <si>
    <t>latent heat</t>
  </si>
  <si>
    <t>अप्रकट ऊष्मा</t>
  </si>
  <si>
    <t>lateral recording</t>
  </si>
  <si>
    <t>पार्श्व अभिलेखन</t>
  </si>
  <si>
    <t>lattice</t>
  </si>
  <si>
    <t>कर्णजाल (न.)</t>
  </si>
  <si>
    <t>lattice diagram</t>
  </si>
  <si>
    <t>कर्णजाल रेखाकृति</t>
  </si>
  <si>
    <t>lattice filter</t>
  </si>
  <si>
    <t>कर्णजाल गाळणी</t>
  </si>
  <si>
    <t>lattice network</t>
  </si>
  <si>
    <t>कर्णजालव्यूह (पु.)</t>
  </si>
  <si>
    <t>lattice section</t>
  </si>
  <si>
    <t>कर्णजाल खंड, कर्णजाल विभाग</t>
  </si>
  <si>
    <t>lattice steel broad base structure</t>
  </si>
  <si>
    <t>कर्णजाल पोलादी रुंद तल संरचना</t>
  </si>
  <si>
    <t>Lauritsen electroscope</t>
  </si>
  <si>
    <t>लॉरिट्सेन विद्युतदर्शी</t>
  </si>
  <si>
    <t>law</t>
  </si>
  <si>
    <t>नियम (पु.)</t>
  </si>
  <si>
    <t>lay</t>
  </si>
  <si>
    <t>पीळलांबी (स्त्री.), पीळ अभ्यंतर (न.)</t>
  </si>
  <si>
    <t>length of lay</t>
  </si>
  <si>
    <t>lay of cable</t>
  </si>
  <si>
    <t>केबल पीळलांबी</t>
  </si>
  <si>
    <t>length of the lay of cable</t>
  </si>
  <si>
    <t>lay ratio</t>
  </si>
  <si>
    <t>पीळलांबी गुणोत्तर</t>
  </si>
  <si>
    <t>layer</t>
  </si>
  <si>
    <t>स्तर (पु.)</t>
  </si>
  <si>
    <t>layer of ionosphere</t>
  </si>
  <si>
    <t>आयनावरण स्तर</t>
  </si>
  <si>
    <t>laying</t>
  </si>
  <si>
    <t>मांडणी (स्त्री.)</t>
  </si>
  <si>
    <t>laying method</t>
  </si>
  <si>
    <t>मांडणी पद्धति</t>
  </si>
  <si>
    <t>lead</t>
  </si>
  <si>
    <t>१ अग्र (न.) २ अग्रता (स्त्री.) ३ Met. शिसे (न.)</t>
  </si>
  <si>
    <t>lead accumulator</t>
  </si>
  <si>
    <t>शिसे संचयी</t>
  </si>
  <si>
    <t>lead acid accumulator</t>
  </si>
  <si>
    <t>शिसे आम्ल संचायी</t>
  </si>
  <si>
    <t>lead covered cable</t>
  </si>
  <si>
    <t>शिसेकोषित केबल</t>
  </si>
  <si>
    <t>also lead sheathed cable</t>
  </si>
  <si>
    <t>lead grip</t>
  </si>
  <si>
    <t>शिसे पकड</t>
  </si>
  <si>
    <t>lead in</t>
  </si>
  <si>
    <t>अंतर्वाही (पु.), अंतर्याएजी (पु.)</t>
  </si>
  <si>
    <t>lead in insulator</t>
  </si>
  <si>
    <t>अंतर्नेयी निरोधी, प्रवेशी निरोधी</t>
  </si>
  <si>
    <t>lead in wire</t>
  </si>
  <si>
    <t>lead sheathed</t>
  </si>
  <si>
    <t>शिसेकोषित</t>
  </si>
  <si>
    <t>lead sheathed cable</t>
  </si>
  <si>
    <t>leader stroke</t>
  </si>
  <si>
    <t>अग्रगामी आघात</t>
  </si>
  <si>
    <t>leading</t>
  </si>
  <si>
    <t>अग्रशील, अग्रिम</t>
  </si>
  <si>
    <t>leading and trailing</t>
  </si>
  <si>
    <t>अग्रिम व अनुसर्पी</t>
  </si>
  <si>
    <t>leading current</t>
  </si>
  <si>
    <t>अग्रशील धारा</t>
  </si>
  <si>
    <t>leading edge</t>
  </si>
  <si>
    <t>अग्रशील काठ</t>
  </si>
  <si>
    <t>leading in</t>
  </si>
  <si>
    <t>अंतर्याएजन (न.)</t>
  </si>
  <si>
    <t>अंतर्याएजी, प्रवेशी</t>
  </si>
  <si>
    <t>leading in cable</t>
  </si>
  <si>
    <t>अंतर्याएजी केबल</t>
  </si>
  <si>
    <t>leading in wire</t>
  </si>
  <si>
    <t>प्रवेशी तार</t>
  </si>
  <si>
    <t>(also lead in wire)</t>
  </si>
  <si>
    <t>leading load</t>
  </si>
  <si>
    <t>अग्रशील भार</t>
  </si>
  <si>
    <t>leading phase</t>
  </si>
  <si>
    <t>अग्रशील प्रावस्था</t>
  </si>
  <si>
    <t>leading power factor</t>
  </si>
  <si>
    <t>अग्रशील शक्ति अंक</t>
  </si>
  <si>
    <t>leading pulley</t>
  </si>
  <si>
    <t>अग्रगामी कप्पी</t>
  </si>
  <si>
    <t>leading quadrature component</t>
  </si>
  <si>
    <t>अग्रशील जात्य घटक</t>
  </si>
  <si>
    <t>leading ramp</t>
  </si>
  <si>
    <t>अग्रशील प्रवण</t>
  </si>
  <si>
    <t>leading tip</t>
  </si>
  <si>
    <t>अग्रशील टोक</t>
  </si>
  <si>
    <t>leaf</t>
  </si>
  <si>
    <t>पत्र (न.)</t>
  </si>
  <si>
    <t>leak</t>
  </si>
  <si>
    <t>गळ (स्त्री.)</t>
  </si>
  <si>
    <t>leakage</t>
  </si>
  <si>
    <t>गलन (न.), गळती (स्त्री.)</t>
  </si>
  <si>
    <t>leakage coefficient</t>
  </si>
  <si>
    <t>गलन गुणांक</t>
  </si>
  <si>
    <t>leakage conductance</t>
  </si>
  <si>
    <t>गलन प्रवहन</t>
  </si>
  <si>
    <t>leakage current</t>
  </si>
  <si>
    <t>गलन धारा</t>
  </si>
  <si>
    <t>leakage detector</t>
  </si>
  <si>
    <t>गलन शोधी</t>
  </si>
  <si>
    <t>leakage factor</t>
  </si>
  <si>
    <t>गलनांक (पु.)</t>
  </si>
  <si>
    <t>leakage field</t>
  </si>
  <si>
    <t>गळती क्षेत्र</t>
  </si>
  <si>
    <t>leakage flux</t>
  </si>
  <si>
    <t>गलन अभिवाह</t>
  </si>
  <si>
    <t>leakage indicator</t>
  </si>
  <si>
    <t>गलनदर्शी (पु.)</t>
  </si>
  <si>
    <t>leakage inductance</t>
  </si>
  <si>
    <t>गलन प्रेरितता</t>
  </si>
  <si>
    <t>leakage path</t>
  </si>
  <si>
    <t>गलनपथ (पु.)</t>
  </si>
  <si>
    <t>leakage power</t>
  </si>
  <si>
    <t>गलन शक्ति</t>
  </si>
  <si>
    <t>leakage protection</t>
  </si>
  <si>
    <t>गलन रक्षण</t>
  </si>
  <si>
    <t>leakage protective device</t>
  </si>
  <si>
    <t>गलनरक्षी साधन</t>
  </si>
  <si>
    <t>leakage protective gear</t>
  </si>
  <si>
    <t>गलनरक्षी यंत्रावली</t>
  </si>
  <si>
    <t>leakage protective system</t>
  </si>
  <si>
    <t>गलनरक्षी पद्धति</t>
  </si>
  <si>
    <t>leakage reactance</t>
  </si>
  <si>
    <t>गलन प्रतिरोध</t>
  </si>
  <si>
    <t>leakance</t>
  </si>
  <si>
    <t>गलनता (स्त्री.)</t>
  </si>
  <si>
    <t>leaky capacitance</t>
  </si>
  <si>
    <t>least square error</t>
  </si>
  <si>
    <t>लघुतम वर्ग त्रुटि</t>
  </si>
  <si>
    <t>Leblanc connection</t>
  </si>
  <si>
    <t>लब्लांक संधान, लब्लांक जोडणी, लब्लांक बंध</t>
  </si>
  <si>
    <t>Leblanc phase advancer</t>
  </si>
  <si>
    <t>लब्लांक प्रावस्था अग्रित्र</t>
  </si>
  <si>
    <t>Lecher line</t>
  </si>
  <si>
    <t>लशे तारमार्ग</t>
  </si>
  <si>
    <t>Lecher wire</t>
  </si>
  <si>
    <t>लशे तार</t>
  </si>
  <si>
    <t>Lecher wire measurement</t>
  </si>
  <si>
    <t>लशे तार मापन</t>
  </si>
  <si>
    <t>Leclanche cell</t>
  </si>
  <si>
    <t>लक्लांशे घट</t>
  </si>
  <si>
    <t>Leduc current</t>
  </si>
  <si>
    <t>लदुक धारा</t>
  </si>
  <si>
    <t>leg of a transformer</t>
  </si>
  <si>
    <t>परिवर्तित्राची तंगडी</t>
  </si>
  <si>
    <t>Lenard rays</t>
  </si>
  <si>
    <t>लनार्ट किरण (पु.अ.व.)</t>
  </si>
  <si>
    <t>Lenard tube</t>
  </si>
  <si>
    <t>लनार्ट नलिका</t>
  </si>
  <si>
    <t>length</t>
  </si>
  <si>
    <t>पीळलांबी (स्त्री.), पीळाभ्यंतर (न.)</t>
  </si>
  <si>
    <t>length of span</t>
  </si>
  <si>
    <t>प्रांतर लांबी</t>
  </si>
  <si>
    <t>lens</t>
  </si>
  <si>
    <t>भिंग (न.)</t>
  </si>
  <si>
    <t>Lenz's law</t>
  </si>
  <si>
    <t>लेंझचा नियम</t>
  </si>
  <si>
    <t>lepton</t>
  </si>
  <si>
    <t>लेप्टॉन (पु.)</t>
  </si>
  <si>
    <t>level</t>
  </si>
  <si>
    <t>१ तल (पु.) २ समतल (पु.) ३ पातळी (स्त्री.)</t>
  </si>
  <si>
    <t>level compensator</t>
  </si>
  <si>
    <t>समतल प्रतिपूरी</t>
  </si>
  <si>
    <t>level compounded</t>
  </si>
  <si>
    <t>समसंयुक्त</t>
  </si>
  <si>
    <t>level compounded generator</t>
  </si>
  <si>
    <t>समसंयुक्त जनित्र</t>
  </si>
  <si>
    <t>lever type brush holder</t>
  </si>
  <si>
    <t>तरफ सदृश कुंचलीधारक</t>
  </si>
  <si>
    <t>Leyden jar</t>
  </si>
  <si>
    <t>लेडन बरणी</t>
  </si>
  <si>
    <t>life test</t>
  </si>
  <si>
    <t>आयु चाचणी</t>
  </si>
  <si>
    <t>lift</t>
  </si>
  <si>
    <t>उद्वाही (पु.), लिफ्ट (स्त्री.)</t>
  </si>
  <si>
    <t>lift car</t>
  </si>
  <si>
    <t>उद्वाही यान (न.)</t>
  </si>
  <si>
    <t>lift enclosure</t>
  </si>
  <si>
    <t>उद्वाही समावरण</t>
  </si>
  <si>
    <t>lift landing</t>
  </si>
  <si>
    <t>उद्वाही रमणा</t>
  </si>
  <si>
    <t>lift limit</t>
  </si>
  <si>
    <t>धावमाया (स्त्री.)</t>
  </si>
  <si>
    <t>lift machine</t>
  </si>
  <si>
    <t>उद्वाही यंत्र (न.)</t>
  </si>
  <si>
    <t>lift motor</t>
  </si>
  <si>
    <t>उद्वाही चलित्र (न.)</t>
  </si>
  <si>
    <t>lift pit</t>
  </si>
  <si>
    <t>उद्वाही तलकक्ष</t>
  </si>
  <si>
    <t>lift shaft</t>
  </si>
  <si>
    <t>उद्वाही कूप</t>
  </si>
  <si>
    <t>lift T section guide</t>
  </si>
  <si>
    <t>उद्वाहीचा T छेद मार्गदर्शी</t>
  </si>
  <si>
    <t>lift well</t>
  </si>
  <si>
    <t>lifting force</t>
  </si>
  <si>
    <t>उद्वाही बल</t>
  </si>
  <si>
    <t>lifting magnet</t>
  </si>
  <si>
    <t>उद्वाही चुंबक</t>
  </si>
  <si>
    <t>lifting power</t>
  </si>
  <si>
    <t>उद्वाही शक्ति</t>
  </si>
  <si>
    <t>light</t>
  </si>
  <si>
    <t>१ प्रकाश (पु.) २ दिवा (पु.), दीप (पु.)</t>
  </si>
  <si>
    <t>light centre length</t>
  </si>
  <si>
    <t>प्रकाश केंद्र अंतर</t>
  </si>
  <si>
    <t>light current</t>
  </si>
  <si>
    <t>लघु तारा</t>
  </si>
  <si>
    <t>also weak current (as heavy current)</t>
  </si>
  <si>
    <t>light flux</t>
  </si>
  <si>
    <t>प्रकाश अभिवाह</t>
  </si>
  <si>
    <t>lighting</t>
  </si>
  <si>
    <t>१ दीपन (न.), प्रकाश (पु.) २ प्रकाशयोजना (स्त्री.)</t>
  </si>
  <si>
    <t>lighting load</t>
  </si>
  <si>
    <t>प्रकाश भार</t>
  </si>
  <si>
    <t>lightning</t>
  </si>
  <si>
    <t>तडित (स्त्री.)</t>
  </si>
  <si>
    <t>lightning arrester</t>
  </si>
  <si>
    <t>तडित प्रग्राही</t>
  </si>
  <si>
    <t>lightning arrester classification</t>
  </si>
  <si>
    <t>तडित प्रग्राही वर्गीकरण</t>
  </si>
  <si>
    <t>lightning bolt</t>
  </si>
  <si>
    <t>तडित लोळ</t>
  </si>
  <si>
    <t>lightning conductor</t>
  </si>
  <si>
    <t>तडित वाही</t>
  </si>
  <si>
    <t>lightning flash</t>
  </si>
  <si>
    <t>तडित चमक</t>
  </si>
  <si>
    <t>lightning protection</t>
  </si>
  <si>
    <t>तडित रक्षण</t>
  </si>
  <si>
    <t>lightning protective apparatus</t>
  </si>
  <si>
    <t>तडित रक्षी उपकरणसंच</t>
  </si>
  <si>
    <t>lightning protector</t>
  </si>
  <si>
    <t>तडित रक्षी</t>
  </si>
  <si>
    <t>lightning protector cage</t>
  </si>
  <si>
    <t>तडित रक्षी पंजर</t>
  </si>
  <si>
    <t>lightning rod</t>
  </si>
  <si>
    <t>तडित दंड</t>
  </si>
  <si>
    <t>lightning stroke</t>
  </si>
  <si>
    <t>तडित आघात</t>
  </si>
  <si>
    <t>lightning surge</t>
  </si>
  <si>
    <t>तडित उल्लोल</t>
  </si>
  <si>
    <t>like poles</t>
  </si>
  <si>
    <t>सम धुव (पु.अ.व.)</t>
  </si>
  <si>
    <t>Lillie wire joint</t>
  </si>
  <si>
    <t>लिली तार जोड</t>
  </si>
  <si>
    <t>limb of a transformer</t>
  </si>
  <si>
    <t>परिवर्तित्राचा बाहु</t>
  </si>
  <si>
    <t>limit</t>
  </si>
  <si>
    <t>१ सीमा (स्त्री.) २ माया (स्त्री.)</t>
  </si>
  <si>
    <t>limit switch</t>
  </si>
  <si>
    <t>सीमा स्विच (पु.)</t>
  </si>
  <si>
    <t>limited signal</t>
  </si>
  <si>
    <t>सीमित संकेत</t>
  </si>
  <si>
    <t>limited stability</t>
  </si>
  <si>
    <t>सीमित स्थायित्व</t>
  </si>
  <si>
    <t>limiter</t>
  </si>
  <si>
    <t>सीमाकारी (पु.)</t>
  </si>
  <si>
    <t>limiting</t>
  </si>
  <si>
    <t>सीमाकारी</t>
  </si>
  <si>
    <t>limiting amplifier</t>
  </si>
  <si>
    <t>सीमाकारी प्रवर्धी</t>
  </si>
  <si>
    <t>limiting and clamping circuit</t>
  </si>
  <si>
    <t>सीमाकारी आणि पकड परिपथ</t>
  </si>
  <si>
    <t>Lindemann electrometer</t>
  </si>
  <si>
    <t>लिंडेमन विद्युतमापी</t>
  </si>
  <si>
    <t>line</t>
  </si>
  <si>
    <t>१ रेखा (स्त्री.), रेषा (स्त्री.) २ तार (स्त्री.), तारमार्ग (पु.)</t>
  </si>
  <si>
    <t>line adjuster</t>
  </si>
  <si>
    <t>तार अनुयोजी</t>
  </si>
  <si>
    <t>line amplifier</t>
  </si>
  <si>
    <t>रेखा प्रवर्धी</t>
  </si>
  <si>
    <t>line arrester</t>
  </si>
  <si>
    <t>तारमार्ग प्रग्राही</t>
  </si>
  <si>
    <t>line attenuation</t>
  </si>
  <si>
    <t>रेखा क्षीणन</t>
  </si>
  <si>
    <t>line battery</t>
  </si>
  <si>
    <t>तारमार्ग बॅटरी</t>
  </si>
  <si>
    <t>line bias</t>
  </si>
  <si>
    <t>तारमार्ग अभिनति</t>
  </si>
  <si>
    <t>line breaker</t>
  </si>
  <si>
    <t>तार वियोजी (पु.)</t>
  </si>
  <si>
    <t>line drop</t>
  </si>
  <si>
    <t>तारमार्ग पात</t>
  </si>
  <si>
    <t>line drop compensator</t>
  </si>
  <si>
    <t>तारमार्ग पात प्रतिपूरी</t>
  </si>
  <si>
    <t>line drop indicator</t>
  </si>
  <si>
    <t>तारमार्ग पात सूची</t>
  </si>
  <si>
    <t>line dynamometer</t>
  </si>
  <si>
    <t>तारमार्ग ताणमापी</t>
  </si>
  <si>
    <t>line equaliser</t>
  </si>
  <si>
    <t>तारमार्ग समकारी</t>
  </si>
  <si>
    <t>line frequency</t>
  </si>
  <si>
    <t>तारमार्ग वारंवारता</t>
  </si>
  <si>
    <t>line of electric flux</t>
  </si>
  <si>
    <t>विद्युत अभिवाह रेषा, विद्युत अभिवाह रेषा</t>
  </si>
  <si>
    <t>line of electric force</t>
  </si>
  <si>
    <t>विद्युत बल रेषा, विद्युत बल रेखा</t>
  </si>
  <si>
    <t>line of force</t>
  </si>
  <si>
    <t>बल रेषा, बल रेखा</t>
  </si>
  <si>
    <t>line of induction</t>
  </si>
  <si>
    <t>प्रेरण रेषा, प्रेरण रेखा</t>
  </si>
  <si>
    <t>line of magnetic flux</t>
  </si>
  <si>
    <t>चुंबकीय अभिवाह रेषा, चुंबकीय अभिवाह रेखा</t>
  </si>
  <si>
    <t>line of magnetic flux density</t>
  </si>
  <si>
    <t>चुंबकीय अभिवाह घनता रेषा, चुंबकीय अभिवाह घनता रेखा</t>
  </si>
  <si>
    <t>line of magnetic force</t>
  </si>
  <si>
    <t>चुंबकीय बल रेषा, चुंबकीय बल रेखा</t>
  </si>
  <si>
    <t>line of magnetic induction</t>
  </si>
  <si>
    <t>चुंबकीय प्रेरण रेषा, चुंबकीय प्रेरण रेखा</t>
  </si>
  <si>
    <t>line oscillator</t>
  </si>
  <si>
    <t>तारमार्ग दोली</t>
  </si>
  <si>
    <t>line reflection</t>
  </si>
  <si>
    <t>तारमार्ग परावर्तन</t>
  </si>
  <si>
    <t>line scanning frequency</t>
  </si>
  <si>
    <t>रेखीय क्रमवीक्षण वारंवारता</t>
  </si>
  <si>
    <t>line support</t>
  </si>
  <si>
    <t>तारमार्ग आधार</t>
  </si>
  <si>
    <t>line synchronising pulse</t>
  </si>
  <si>
    <t>तारमार्ग संकालन स्पंद</t>
  </si>
  <si>
    <t>line to ground fault</t>
  </si>
  <si>
    <t>प्रावस्थिका भू दोष</t>
  </si>
  <si>
    <t>line to line fault</t>
  </si>
  <si>
    <t>आंतर प्रावस्थिका दोष</t>
  </si>
  <si>
    <t>line volt</t>
  </si>
  <si>
    <t>आंतर प्रावस्थिका व्होल्टता, तार व्होल्टता</t>
  </si>
  <si>
    <t>lineal decrement</t>
  </si>
  <si>
    <t>रेखीय क्षय, रेखीय क्षयांक</t>
  </si>
  <si>
    <t>linear</t>
  </si>
  <si>
    <t>रेखीय</t>
  </si>
  <si>
    <t>linear amplification</t>
  </si>
  <si>
    <t>रेखीय प्रवर्धन</t>
  </si>
  <si>
    <t>linear amplifier</t>
  </si>
  <si>
    <t>रेखीय प्रवर्धी</t>
  </si>
  <si>
    <t>linear capacitance</t>
  </si>
  <si>
    <t>रेखीय धारिता</t>
  </si>
  <si>
    <t>linear detection</t>
  </si>
  <si>
    <t>रेखीय शोधन</t>
  </si>
  <si>
    <t>linear detector</t>
  </si>
  <si>
    <t>रेखीय शोधी</t>
  </si>
  <si>
    <t>linear distortion</t>
  </si>
  <si>
    <t>रेखीय विकृति</t>
  </si>
  <si>
    <t>linear modulation</t>
  </si>
  <si>
    <t>रेखीय आपरिवर्तन</t>
  </si>
  <si>
    <t>linear rectification</t>
  </si>
  <si>
    <t>रेखीय दिष्टीकरण</t>
  </si>
  <si>
    <t>linear scan</t>
  </si>
  <si>
    <t>रेखीय क्रमवीक्षण</t>
  </si>
  <si>
    <t>linear sweep</t>
  </si>
  <si>
    <t>रेखीय प्रसर्प</t>
  </si>
  <si>
    <t>linear time base oscillator</t>
  </si>
  <si>
    <t>रेखीय कालाधार दोली</t>
  </si>
  <si>
    <t>linear voltage amplifier</t>
  </si>
  <si>
    <t>रेखीय व्होल्टता प्रवर्धी</t>
  </si>
  <si>
    <t>linearity control</t>
  </si>
  <si>
    <t>१ रेखीयता नियंत्रण २ रेखीय नियंत्री</t>
  </si>
  <si>
    <t>lineman</t>
  </si>
  <si>
    <t>तारमार्गतंत्री (पु.)</t>
  </si>
  <si>
    <t>lineman's safety belt</t>
  </si>
  <si>
    <t>तारमार्गतंत्री सुरक्षा पट्टा</t>
  </si>
  <si>
    <t>liner</t>
  </si>
  <si>
    <t>अस्तर (न.)</t>
  </si>
  <si>
    <t>link</t>
  </si>
  <si>
    <t>दुवा (पु.), कडी (स्त्री.)</t>
  </si>
  <si>
    <t>link coupling</t>
  </si>
  <si>
    <t>कडी युग्मन</t>
  </si>
  <si>
    <t>link fuse</t>
  </si>
  <si>
    <t>दुवा वितळतार</t>
  </si>
  <si>
    <t>link insulator</t>
  </si>
  <si>
    <t>दुवा निरोधी</t>
  </si>
  <si>
    <t>link shoe</t>
  </si>
  <si>
    <t>दुवा पाद</t>
  </si>
  <si>
    <t>linkage</t>
  </si>
  <si>
    <t>ग्रथन (न.), ग्रंथन (न.)</t>
  </si>
  <si>
    <t>linked switch</t>
  </si>
  <si>
    <t>दुवाबद्ध स्विच, ग्रथित स्विच</t>
  </si>
  <si>
    <t>lip microphone</t>
  </si>
  <si>
    <t>ओठ ध्वनिग्राही, ओठ सूक्ष्मध्वनि, ओठ माईक</t>
  </si>
  <si>
    <t>liquid controller</t>
  </si>
  <si>
    <t>द्रव नियंत्री, द्रव रोधी</t>
  </si>
  <si>
    <t>(also liquid resistance)</t>
  </si>
  <si>
    <t>liquid quenched fuse</t>
  </si>
  <si>
    <t>द्रवशामित वितळतार, द्रवशामित फ्यूज</t>
  </si>
  <si>
    <t>liquid resistance</t>
  </si>
  <si>
    <t>liquid rheostat</t>
  </si>
  <si>
    <t>द्रव चलरोधी</t>
  </si>
  <si>
    <t>liquid starter</t>
  </si>
  <si>
    <t>द्रव प्रवर्ती, द्रव आरंभी</t>
  </si>
  <si>
    <t>Lissajous figure</t>
  </si>
  <si>
    <t>लिस्साकज् आकृति</t>
  </si>
  <si>
    <t>lithium</t>
  </si>
  <si>
    <t>Met. लिथियम (न.)</t>
  </si>
  <si>
    <t>litz wire</t>
  </si>
  <si>
    <t>लिट्ज तार, गोफ तार</t>
  </si>
  <si>
    <t>live</t>
  </si>
  <si>
    <t>जागृत, सचेतन, सचेत</t>
  </si>
  <si>
    <t>live circuit</t>
  </si>
  <si>
    <t>सचेतन परिपथ</t>
  </si>
  <si>
    <t>live conductor</t>
  </si>
  <si>
    <t>सचेतन वाही</t>
  </si>
  <si>
    <t>live wire</t>
  </si>
  <si>
    <t>सचेतन तार, सचेत तार</t>
  </si>
  <si>
    <t>load</t>
  </si>
  <si>
    <t>भार (पु.)</t>
  </si>
  <si>
    <t>load balancing</t>
  </si>
  <si>
    <t>भार संतुलन</t>
  </si>
  <si>
    <t>(also load matching)</t>
  </si>
  <si>
    <t>load characteristic</t>
  </si>
  <si>
    <t>भार अभिलक्षण</t>
  </si>
  <si>
    <t>load circuit efficiency</t>
  </si>
  <si>
    <t>भार परिपथ कार्यक्षमता</t>
  </si>
  <si>
    <t>load coil</t>
  </si>
  <si>
    <t>भार कुंडल</t>
  </si>
  <si>
    <t>load component</t>
  </si>
  <si>
    <t>भार घटक</t>
  </si>
  <si>
    <t>load current</t>
  </si>
  <si>
    <t>भार धारा</t>
  </si>
  <si>
    <t>load curve</t>
  </si>
  <si>
    <t>भार वक्र</t>
  </si>
  <si>
    <t>load cycle</t>
  </si>
  <si>
    <t>भार चक्र</t>
  </si>
  <si>
    <t>load density</t>
  </si>
  <si>
    <t>भार घनता</t>
  </si>
  <si>
    <t>load despatcher</t>
  </si>
  <si>
    <t>भार प्रेषक, भार प्रेषी</t>
  </si>
  <si>
    <t>load division</t>
  </si>
  <si>
    <t>भार विभाजन</t>
  </si>
  <si>
    <t>load end</t>
  </si>
  <si>
    <t>भार टोक</t>
  </si>
  <si>
    <t>load equalising</t>
  </si>
  <si>
    <t>भार समकरण</t>
  </si>
  <si>
    <t>load factor</t>
  </si>
  <si>
    <t>भारांक (पु.)</t>
  </si>
  <si>
    <t>load impedance</t>
  </si>
  <si>
    <t>भार संरोध</t>
  </si>
  <si>
    <t>load impedance diagram</t>
  </si>
  <si>
    <t>भार संरोध आकृति</t>
  </si>
  <si>
    <t>load indicating resistor</t>
  </si>
  <si>
    <t>भार सूची रोधी</t>
  </si>
  <si>
    <t>load lead</t>
  </si>
  <si>
    <t>भार ताराग्र</t>
  </si>
  <si>
    <t>load limiting resistor</t>
  </si>
  <si>
    <t>भार सीमाकारी रोधी</t>
  </si>
  <si>
    <t>load line</t>
  </si>
  <si>
    <t>भार रेषा</t>
  </si>
  <si>
    <t>load matching</t>
  </si>
  <si>
    <t>load rate prepayment meter</t>
  </si>
  <si>
    <t>यथाभार पूर्वप्रदानमापी</t>
  </si>
  <si>
    <t>load rate tariff</t>
  </si>
  <si>
    <t>भार दर प्रशुल्क, यथाभार प्रशुल्क</t>
  </si>
  <si>
    <t>load regulator</t>
  </si>
  <si>
    <t>भार नियामी</t>
  </si>
  <si>
    <t>load resistance</t>
  </si>
  <si>
    <t>भार रोध</t>
  </si>
  <si>
    <t>load side</t>
  </si>
  <si>
    <t>भार बाजू</t>
  </si>
  <si>
    <t>load test</t>
  </si>
  <si>
    <t>भार चाचणी</t>
  </si>
  <si>
    <t>load transfer switch</t>
  </si>
  <si>
    <t>भार बदली स्विच</t>
  </si>
  <si>
    <t>loaded antenna</t>
  </si>
  <si>
    <t>भारित आकाशग</t>
  </si>
  <si>
    <t>loaded line</t>
  </si>
  <si>
    <t>भारित तारमार्ग</t>
  </si>
  <si>
    <t>loaded transformer</t>
  </si>
  <si>
    <t>भारित परिवर्तित्र</t>
  </si>
  <si>
    <t>loaded transmission line</t>
  </si>
  <si>
    <t>भारित पारेषण तारमार्ग</t>
  </si>
  <si>
    <t>loading</t>
  </si>
  <si>
    <t>भारण (न.)</t>
  </si>
  <si>
    <t>loading coil</t>
  </si>
  <si>
    <t>भारण कुंडल</t>
  </si>
  <si>
    <t>loading inductance</t>
  </si>
  <si>
    <t>भारण प्रेरणी</t>
  </si>
  <si>
    <t>loadstone</t>
  </si>
  <si>
    <t>lobe</t>
  </si>
  <si>
    <t>पालि (स्त्री.)</t>
  </si>
  <si>
    <t>lobe switching</t>
  </si>
  <si>
    <t>पालि स्विचन</t>
  </si>
  <si>
    <t>local action</t>
  </si>
  <si>
    <t>स्थानीय क्रिया</t>
  </si>
  <si>
    <t>local armature current</t>
  </si>
  <si>
    <t>स्थानीय आर्मेचर धारा</t>
  </si>
  <si>
    <t>local control</t>
  </si>
  <si>
    <t>१ स्थानीय नियंत्रण २ स्थानीय नियंत्री</t>
  </si>
  <si>
    <t>local currents</t>
  </si>
  <si>
    <t>स्थानीय धारा (स्त्री.अ.व.)</t>
  </si>
  <si>
    <t>local lighting</t>
  </si>
  <si>
    <t>स्थानीय दीपक, स्थानीय प्रकाशयोजना</t>
  </si>
  <si>
    <t>local oscillator</t>
  </si>
  <si>
    <t>स्थानीय दोली</t>
  </si>
  <si>
    <t>local oscillator valve</t>
  </si>
  <si>
    <t>स्थानीय दोली झडप</t>
  </si>
  <si>
    <t>localised capacitance</t>
  </si>
  <si>
    <t>स्थानीकृत धारकता</t>
  </si>
  <si>
    <t>localiser</t>
  </si>
  <si>
    <t>स्थानसीमक (पु.)</t>
  </si>
  <si>
    <t>locate</t>
  </si>
  <si>
    <t>स्थान ठरवणे</t>
  </si>
  <si>
    <t>location</t>
  </si>
  <si>
    <t>स्थाननिर्धारण (न.), स्थितिनिर्धारण (न.), स्थाननिश्चयन (न.)</t>
  </si>
  <si>
    <t>lock</t>
  </si>
  <si>
    <t>पाश (पु.)</t>
  </si>
  <si>
    <t>lock contact</t>
  </si>
  <si>
    <t>पाश संपर्क</t>
  </si>
  <si>
    <t>locked</t>
  </si>
  <si>
    <t>पाशित</t>
  </si>
  <si>
    <t>locked coil conductor</t>
  </si>
  <si>
    <t>पाशित कुंडल वाही</t>
  </si>
  <si>
    <t>locked cover switch</t>
  </si>
  <si>
    <t>पाशित आवरण स्विच</t>
  </si>
  <si>
    <t>locked rotor test</t>
  </si>
  <si>
    <t>पाशित भ्रमिता चाचणी</t>
  </si>
  <si>
    <t>locking</t>
  </si>
  <si>
    <t>पाशन (न.)</t>
  </si>
  <si>
    <t>locking lampholder</t>
  </si>
  <si>
    <t>पाशनीय दीपाधार</t>
  </si>
  <si>
    <t>locking off door</t>
  </si>
  <si>
    <t>सुरक्षा पाशन द्वार</t>
  </si>
  <si>
    <t>locking on</t>
  </si>
  <si>
    <t>प्राशन (न.)</t>
  </si>
  <si>
    <t>locking relay</t>
  </si>
  <si>
    <t>पाशन पुनरेषी</t>
  </si>
  <si>
    <t>locking switch</t>
  </si>
  <si>
    <t>पाशित स्विच</t>
  </si>
  <si>
    <t>also asylum switch or secret switch</t>
  </si>
  <si>
    <t>locus of spectral column</t>
  </si>
  <si>
    <t>पिसारा स्तंभ बिंदुपथ</t>
  </si>
  <si>
    <t>lodestone</t>
  </si>
  <si>
    <t>Min. चुंबकाश्म (पु.)</t>
  </si>
  <si>
    <t>also loadstone</t>
  </si>
  <si>
    <t>logarithm</t>
  </si>
  <si>
    <t>Maths. लाग (पु.)</t>
  </si>
  <si>
    <t>logarithmic decrement</t>
  </si>
  <si>
    <t>लाग घट, लागीय घट</t>
  </si>
  <si>
    <t>logarithmic horn</t>
  </si>
  <si>
    <t>लाग शृंग, लाग शिंग</t>
  </si>
  <si>
    <t>logarithmic network</t>
  </si>
  <si>
    <t>लाग जालव्यूह</t>
  </si>
  <si>
    <t>logarithmic resistor</t>
  </si>
  <si>
    <t>लागरोधी</t>
  </si>
  <si>
    <t>logarithmic vacuum tube voltmeter</t>
  </si>
  <si>
    <t>लाग निर्वात नलिका व्होल्टमापी</t>
  </si>
  <si>
    <t>logic circuit</t>
  </si>
  <si>
    <t>तर्क परिपथ</t>
  </si>
  <si>
    <t>logical design</t>
  </si>
  <si>
    <t>तार्किक संकल्पन</t>
  </si>
  <si>
    <t>loking in</t>
  </si>
  <si>
    <t>long distance telephone</t>
  </si>
  <si>
    <t>दीर्घांतर दूरध्वनि</t>
  </si>
  <si>
    <t>long distance transmission</t>
  </si>
  <si>
    <t>दीर्घांतर पारेषण</t>
  </si>
  <si>
    <t>long line effect</t>
  </si>
  <si>
    <t>दीर्घ तारमार्ग परिणाम</t>
  </si>
  <si>
    <t>long persistance screen</t>
  </si>
  <si>
    <t>दीर्घ सातत्य पट</t>
  </si>
  <si>
    <t>long shunt compound wound</t>
  </si>
  <si>
    <t>दीर्घ पार्श्वपथ मिश्र कुंडलित</t>
  </si>
  <si>
    <t>long sight</t>
  </si>
  <si>
    <t>दीर्घदृष्टि (स्त्री.)</t>
  </si>
  <si>
    <t>loom</t>
  </si>
  <si>
    <t>loop</t>
  </si>
  <si>
    <t>लूप (न.)</t>
  </si>
  <si>
    <t>loop actuating signal</t>
  </si>
  <si>
    <t>लूप चालन संंकेत</t>
  </si>
  <si>
    <t>loop aerial</t>
  </si>
  <si>
    <t>लूप आकाशग</t>
  </si>
  <si>
    <t>loop antenna</t>
  </si>
  <si>
    <t>loop bracket</t>
  </si>
  <si>
    <t>लूप बॅकेट</t>
  </si>
  <si>
    <t>loop break</t>
  </si>
  <si>
    <t>लूप वियोजन</t>
  </si>
  <si>
    <t>loop circuit</t>
  </si>
  <si>
    <t>लूप परिपथ</t>
  </si>
  <si>
    <t>loop cut out</t>
  </si>
  <si>
    <t>लूप भंजक, लूप कट आऊट</t>
  </si>
  <si>
    <t>loop direction finder</t>
  </si>
  <si>
    <t>लूप दिशा शोधी</t>
  </si>
  <si>
    <t>loop error</t>
  </si>
  <si>
    <t>लूप त्रुटि</t>
  </si>
  <si>
    <t>loop feedback signal</t>
  </si>
  <si>
    <t>लूप पश्चप्रदाय संकेत</t>
  </si>
  <si>
    <t>loop gain</t>
  </si>
  <si>
    <t>लूप लब्धि</t>
  </si>
  <si>
    <t>loop input signal</t>
  </si>
  <si>
    <t>लूप आदान संकेत</t>
  </si>
  <si>
    <t>loop output signal</t>
  </si>
  <si>
    <t>लूप प्रदान संकेत</t>
  </si>
  <si>
    <t>loop system of distribution</t>
  </si>
  <si>
    <t>वितरण लूप पद्धति</t>
  </si>
  <si>
    <t>loop test</t>
  </si>
  <si>
    <t>लूप चाचणी</t>
  </si>
  <si>
    <t>loop winding</t>
  </si>
  <si>
    <t>१ लूप कुंडलन २ लूप कुंडल</t>
  </si>
  <si>
    <t>looped earth wire</t>
  </si>
  <si>
    <t>लूपित भू तार</t>
  </si>
  <si>
    <t>looping in</t>
  </si>
  <si>
    <t>लूप पद्धति (स्त्री.), लूपन (न.)</t>
  </si>
  <si>
    <t>looping in system</t>
  </si>
  <si>
    <t>लूपन पद्धति</t>
  </si>
  <si>
    <t>loose coupler</t>
  </si>
  <si>
    <t>सैल युग्मी</t>
  </si>
  <si>
    <t>loose coupling</t>
  </si>
  <si>
    <t>सैल युग्मन</t>
  </si>
  <si>
    <t>also weak coupling</t>
  </si>
  <si>
    <t>loose key switch</t>
  </si>
  <si>
    <t>सूट चावी स्विच</t>
  </si>
  <si>
    <t>loran</t>
  </si>
  <si>
    <t>लॉरान (न.)</t>
  </si>
  <si>
    <t>long range system of radio navigation</t>
  </si>
  <si>
    <t>Lorentz blind landing system</t>
  </si>
  <si>
    <t>लॉरेंझ अंध अवतारण पद्धति</t>
  </si>
  <si>
    <t>loss</t>
  </si>
  <si>
    <t>१ हानि (स्त्री.) २ लोप (पु.)</t>
  </si>
  <si>
    <t>loss angle</t>
  </si>
  <si>
    <t>हानि कोन</t>
  </si>
  <si>
    <t>loss attenuation</t>
  </si>
  <si>
    <t>क्षीणन हानि</t>
  </si>
  <si>
    <t>loss factor</t>
  </si>
  <si>
    <t>हानि अंक</t>
  </si>
  <si>
    <t>loss factor of dielectrics</t>
  </si>
  <si>
    <t>पराविद्युत हानि अंक</t>
  </si>
  <si>
    <t>loss free capacitor</t>
  </si>
  <si>
    <t>हानिरहित धारी</t>
  </si>
  <si>
    <t>loss of charge method</t>
  </si>
  <si>
    <t>प्रभार हानि पद्धति</t>
  </si>
  <si>
    <t>loss of excitation</t>
  </si>
  <si>
    <t>उत्तेजन लोप</t>
  </si>
  <si>
    <t>lossy</t>
  </si>
  <si>
    <t>हानिशील</t>
  </si>
  <si>
    <t>lossy capacitance</t>
  </si>
  <si>
    <t>loudspeaker</t>
  </si>
  <si>
    <t>ध्वनिवर्धी (पु.), ध्वनिक्षेपी (पु.), कर्णा (पु.)</t>
  </si>
  <si>
    <t>loudspeaker baffles</t>
  </si>
  <si>
    <t>ध्वनिवर्धी बाधिका (स्त्री.अ.व.), कर्णा बाधिका (स्त्री.अ.व.)</t>
  </si>
  <si>
    <t>loudspeaker microphone</t>
  </si>
  <si>
    <t>ध्वनिवर्धी माईक</t>
  </si>
  <si>
    <t>loudspeaker system</t>
  </si>
  <si>
    <t>ध्वनिवर्धी रचना</t>
  </si>
  <si>
    <t>lourve frame</t>
  </si>
  <si>
    <t>लूव्हर चौकट</t>
  </si>
  <si>
    <t>louvred fitting</t>
  </si>
  <si>
    <t>लूव्हर फिटिंग, लूव्हर जुळण</t>
  </si>
  <si>
    <t>Lovibond tintometer</t>
  </si>
  <si>
    <t>लेव्हिबेंड छटामापी</t>
  </si>
  <si>
    <t>low</t>
  </si>
  <si>
    <t>निम्न</t>
  </si>
  <si>
    <t>low frequency</t>
  </si>
  <si>
    <t>निम्न वारंवारता</t>
  </si>
  <si>
    <t>low frequency amplifier</t>
  </si>
  <si>
    <t>निम्न वारंवारता प्रतिपूरण</t>
  </si>
  <si>
    <t>low frequency radio waves</t>
  </si>
  <si>
    <t>निम्न वारंवारता रेडिओ तरंग (पु.अ.व.)</t>
  </si>
  <si>
    <t>low frequency response</t>
  </si>
  <si>
    <t>निम्न वारंवारता अनुक्रिया</t>
  </si>
  <si>
    <t>low insulation</t>
  </si>
  <si>
    <t>निम्न निरोधन</t>
  </si>
  <si>
    <t>low layer absorption</t>
  </si>
  <si>
    <t>निम्न स्तर शोषण</t>
  </si>
  <si>
    <t>low pass filter</t>
  </si>
  <si>
    <t>निम्न पार गाळणी</t>
  </si>
  <si>
    <t>low pressure</t>
  </si>
  <si>
    <t>निम्न व्होल्टता, निम्न दाब</t>
  </si>
  <si>
    <t>also low voltage</t>
  </si>
  <si>
    <t>low pressure bushbar</t>
  </si>
  <si>
    <t>निम्न व्होल्टता महावाही</t>
  </si>
  <si>
    <t>low pressure distribution system</t>
  </si>
  <si>
    <t>निम्न दाब वितरण पद्धति</t>
  </si>
  <si>
    <t>low temperature convertor</t>
  </si>
  <si>
    <t>निम्न तापमान रुपांतरित्र</t>
  </si>
  <si>
    <t>low tension ignition</t>
  </si>
  <si>
    <t>निम्न विभव प्रज्वलन</t>
  </si>
  <si>
    <t>low tension wire</t>
  </si>
  <si>
    <t>निम्न विभव तार</t>
  </si>
  <si>
    <t>low velocity scanning</t>
  </si>
  <si>
    <t>निम्न वेग क्रमवीक्षण</t>
  </si>
  <si>
    <t>low volt release</t>
  </si>
  <si>
    <t>अव व्होल्टता विमोचनी</t>
  </si>
  <si>
    <t>low voltage</t>
  </si>
  <si>
    <t>low voltage mains</t>
  </si>
  <si>
    <t>निम्न व्होल्टता प्रधानवाही (पु.अ.व.)</t>
  </si>
  <si>
    <t>low voltage relay</t>
  </si>
  <si>
    <t>निम्न व्होल्टता पुनरेषी, निम्न व्होल्टता रिले</t>
  </si>
  <si>
    <t>low voltage release</t>
  </si>
  <si>
    <t>निम्न व्होल्टता विमोचनी</t>
  </si>
  <si>
    <t>low voltage system</t>
  </si>
  <si>
    <t>निम्न व्होल्टता पद्धति</t>
  </si>
  <si>
    <t>lower hemispherical flux</t>
  </si>
  <si>
    <t>निम्न अर्धगोलीय अभिवाह</t>
  </si>
  <si>
    <t>lower sideband</t>
  </si>
  <si>
    <t>निम्न पार्श्वपट्ट</t>
  </si>
  <si>
    <t>lug</t>
  </si>
  <si>
    <t>लग (पु.)</t>
  </si>
  <si>
    <t>lumen</t>
  </si>
  <si>
    <t>ल्युमेन (न.)</t>
  </si>
  <si>
    <t>lumenmeter</t>
  </si>
  <si>
    <t>ल्युमेनमापी (पु.)</t>
  </si>
  <si>
    <t>दीप्ति (स्त्री.)</t>
  </si>
  <si>
    <t>brightness द्युति fluorescence प्रतिदीप्ति gloss चकाकी glow प्रभा incandescence तापदीप्ति luminescence अनुदीप्ति phosphorescence स्फुरदीप्ति</t>
  </si>
  <si>
    <t>luminance adaptation</t>
  </si>
  <si>
    <t>दीप्ति अनुकूलन</t>
  </si>
  <si>
    <t>luminance channel</t>
  </si>
  <si>
    <t>दीप्ति प्रणाल</t>
  </si>
  <si>
    <t>luminance flicker</t>
  </si>
  <si>
    <t>दीप्ति लुकलुक</t>
  </si>
  <si>
    <t>luminance signal</t>
  </si>
  <si>
    <t>दीप्ति संकेत</t>
  </si>
  <si>
    <t>luminescence</t>
  </si>
  <si>
    <t>अनुदीप्ति (स्त्री.)</t>
  </si>
  <si>
    <t>luminophore</t>
  </si>
  <si>
    <t>दीप्तिक (न.)</t>
  </si>
  <si>
    <t>luminosity</t>
  </si>
  <si>
    <t>दीप्तिता (स्त्री.)</t>
  </si>
  <si>
    <t>luminosity factor</t>
  </si>
  <si>
    <t>दीप्तिता अंक</t>
  </si>
  <si>
    <t>luminous column</t>
  </si>
  <si>
    <t>दीप्त स्तंभ</t>
  </si>
  <si>
    <t>luminous efficiency</t>
  </si>
  <si>
    <t>दीप्तीय कार्यक्षमता</t>
  </si>
  <si>
    <t>luminous flux</t>
  </si>
  <si>
    <t>दीप्तीय अभिवाह</t>
  </si>
  <si>
    <t>luminous intensity</t>
  </si>
  <si>
    <t>दीप्तीय तीव्रता</t>
  </si>
  <si>
    <t>luminous sensitivity</t>
  </si>
  <si>
    <t>दीप्तीय संवेदिता</t>
  </si>
  <si>
    <t>lumped</t>
  </si>
  <si>
    <t>एकत्रित</t>
  </si>
  <si>
    <t>lumped parameter</t>
  </si>
  <si>
    <t>एकत्रित प्राचल</t>
  </si>
  <si>
    <t>lux</t>
  </si>
  <si>
    <t>लक्स (न.)</t>
  </si>
  <si>
    <t>luxemburg effect</t>
  </si>
  <si>
    <t>लक्झेंबर्ग परिणाम</t>
  </si>
  <si>
    <t>luxmeter</t>
  </si>
  <si>
    <t>लक्समापी (पु.)</t>
  </si>
  <si>
    <t>M derived filter</t>
  </si>
  <si>
    <t>M साधित गाळणी</t>
  </si>
  <si>
    <t>M derived section</t>
  </si>
  <si>
    <t>M साधित खंड</t>
  </si>
  <si>
    <t>M.K.S. unit</t>
  </si>
  <si>
    <t>मी.कि.से.एकक (मीटर किलोग्रॅम सेकंद एकक)</t>
  </si>
  <si>
    <t>metre kilogram second</t>
  </si>
  <si>
    <t>machine</t>
  </si>
  <si>
    <t>यंत्र (न.)</t>
  </si>
  <si>
    <t>machine commutator</t>
  </si>
  <si>
    <t>यंत्र संपरिवर्तित्र</t>
  </si>
  <si>
    <t>machine constant</t>
  </si>
  <si>
    <t>यंत्र स्थिरांक</t>
  </si>
  <si>
    <t>machine core</t>
  </si>
  <si>
    <t>यंत्र क्रोड</t>
  </si>
  <si>
    <t>machine equations</t>
  </si>
  <si>
    <t>यंत्र समीकरणे (न.अ.व.)</t>
  </si>
  <si>
    <t>machine language</t>
  </si>
  <si>
    <t>यंत्र भाषा</t>
  </si>
  <si>
    <t>the language occurring in a computer</t>
  </si>
  <si>
    <t>magic eye</t>
  </si>
  <si>
    <t>मेलन सूचक</t>
  </si>
  <si>
    <t>also tuning indicator</t>
  </si>
  <si>
    <t>magic T</t>
  </si>
  <si>
    <t>संकरित T </t>
  </si>
  <si>
    <t>also hybrid tee</t>
  </si>
  <si>
    <t>magnet</t>
  </si>
  <si>
    <t>चुंबक (पु.)</t>
  </si>
  <si>
    <t>magnet coil</t>
  </si>
  <si>
    <t>चुंबक कुंडल</t>
  </si>
  <si>
    <t>magnet core</t>
  </si>
  <si>
    <t>चुंबक क्रोड</t>
  </si>
  <si>
    <t>magnet frame</t>
  </si>
  <si>
    <t>चुंबक चौकट</t>
  </si>
  <si>
    <t>magnet pole</t>
  </si>
  <si>
    <t>चुंबक धुव</t>
  </si>
  <si>
    <t>magnet steel</t>
  </si>
  <si>
    <t>Metऍहुंबक पोलाद</t>
  </si>
  <si>
    <t>magnet wheel</t>
  </si>
  <si>
    <t>चुंबक चक्र</t>
  </si>
  <si>
    <t>magnet yoke</t>
  </si>
  <si>
    <t>चुंबक जू</t>
  </si>
  <si>
    <t>magnetic</t>
  </si>
  <si>
    <t>चुंबकीय</t>
  </si>
  <si>
    <t>magnetic alloys</t>
  </si>
  <si>
    <t>चुंबकीय मिश्रधातू (पु.अ.व.)</t>
  </si>
  <si>
    <t>magnetic amplifier</t>
  </si>
  <si>
    <t>चुंबकीय प्रवर्धी</t>
  </si>
  <si>
    <t>magnetic armature</t>
  </si>
  <si>
    <t>चुंबकीय आर्मेचर</t>
  </si>
  <si>
    <t>magnetic axis</t>
  </si>
  <si>
    <t>चुंबकीय अक्ष</t>
  </si>
  <si>
    <t>magnetic biasing</t>
  </si>
  <si>
    <t>चुंबकीय अभिनति</t>
  </si>
  <si>
    <t>magnetic blow out</t>
  </si>
  <si>
    <t>चुंबकीय निर्धमन</t>
  </si>
  <si>
    <t>magnetic blow out arrester</t>
  </si>
  <si>
    <t>चुंबकीय निर्धमन प्रग्राही</t>
  </si>
  <si>
    <t>magnetic blow out coil</t>
  </si>
  <si>
    <t>चुंबकीय निर्धमन कुंडल</t>
  </si>
  <si>
    <t>magnetic blow out fuse</t>
  </si>
  <si>
    <t>चुंबकीय निर्धमन वितळतार, चुंबकीय निर्धमन फ्यूज</t>
  </si>
  <si>
    <t>magnetic bottle</t>
  </si>
  <si>
    <t>चुंबकीय बाटली</t>
  </si>
  <si>
    <t>magnetic braking</t>
  </si>
  <si>
    <t>चुंबकीय आरोधन</t>
  </si>
  <si>
    <t>magnetic cage</t>
  </si>
  <si>
    <t>चुंबकीय पंजर</t>
  </si>
  <si>
    <t>magnetic circuit</t>
  </si>
  <si>
    <t>चुंबकीय परिपथ</t>
  </si>
  <si>
    <t>magnetic core</t>
  </si>
  <si>
    <t>चुंबकीय क्रोड</t>
  </si>
  <si>
    <t>magnetic cored coil</t>
  </si>
  <si>
    <t>चुंबकीय क्रोडित कुंडल</t>
  </si>
  <si>
    <t>magnetic coupling</t>
  </si>
  <si>
    <t>चुंबकीय युग्मन</t>
  </si>
  <si>
    <t>magnetic creeping</t>
  </si>
  <si>
    <t>चुंबकीय विसर्पण</t>
  </si>
  <si>
    <t>magnetic cross flux</t>
  </si>
  <si>
    <t>चुंबकीय जात्य अभिवाह</t>
  </si>
  <si>
    <t>magnetic curve tracer</t>
  </si>
  <si>
    <t>चुंबकीय वक्र अनुरेखी</t>
  </si>
  <si>
    <t>magnetic damping</t>
  </si>
  <si>
    <t>चुंबकीय अवमंदन</t>
  </si>
  <si>
    <t>magnetic field</t>
  </si>
  <si>
    <t>चुंबकीय क्षेत्र</t>
  </si>
  <si>
    <t>magnetic field strength</t>
  </si>
  <si>
    <t>चुंबकीय क्षेत्र तीव्रता</t>
  </si>
  <si>
    <t>magnetic flux density</t>
  </si>
  <si>
    <t>चुंबकीय अभिवाह घनता</t>
  </si>
  <si>
    <t>magnetic flux line</t>
  </si>
  <si>
    <t>चुंबकीय अभिवाह रेषा</t>
  </si>
  <si>
    <t>magnetic focusing</t>
  </si>
  <si>
    <t>चुंबकीय नाभीयन</t>
  </si>
  <si>
    <t>magnetic force</t>
  </si>
  <si>
    <t>चुंबकीय बल</t>
  </si>
  <si>
    <t>magnetic gate</t>
  </si>
  <si>
    <t>चुंबकीय द्वार</t>
  </si>
  <si>
    <t>magnetic hysteresis</t>
  </si>
  <si>
    <t>चुंबकीय पश्चशीलता</t>
  </si>
  <si>
    <t>magnetic hysteresis loop</t>
  </si>
  <si>
    <t>चुंबकीय पश्चशीलता लूप</t>
  </si>
  <si>
    <t>magnetic hysteresis loss</t>
  </si>
  <si>
    <t>चुंबकीय पश्चशीलता हानि</t>
  </si>
  <si>
    <t>magnetic induction</t>
  </si>
  <si>
    <t>चुंबकीय प्रेरण</t>
  </si>
  <si>
    <t>magnetic inertia</t>
  </si>
  <si>
    <t>चुंबकीय जडत्व</t>
  </si>
  <si>
    <t>magnetic leakage</t>
  </si>
  <si>
    <t>चुंबकीय गलन</t>
  </si>
  <si>
    <t>magnetic lens</t>
  </si>
  <si>
    <t>चुंबकीय भिंग</t>
  </si>
  <si>
    <t>magnetic link</t>
  </si>
  <si>
    <t>चुंबकीय दुवा</t>
  </si>
  <si>
    <t>magnetic loading</t>
  </si>
  <si>
    <t>चुंबकीय भारण</t>
  </si>
  <si>
    <t>magnetic loss</t>
  </si>
  <si>
    <t>चुंबकीय हानि</t>
  </si>
  <si>
    <t>magnetic loudspeaker</t>
  </si>
  <si>
    <t>चुंबकीय ध्वनिवर्धी</t>
  </si>
  <si>
    <t>magnetic material</t>
  </si>
  <si>
    <t>चुंबकीय पदार्थ</t>
  </si>
  <si>
    <t>magnetic modular</t>
  </si>
  <si>
    <t>चुंबकीय आपरिवर्ती</t>
  </si>
  <si>
    <t>magnetic moment</t>
  </si>
  <si>
    <t>चुंबकीय आघूर्ण</t>
  </si>
  <si>
    <t>magnetic paradox</t>
  </si>
  <si>
    <t>चुंबकीय विरोधाभास</t>
  </si>
  <si>
    <t>magnetic particle braking</t>
  </si>
  <si>
    <t>चुंबकीय कण आरोधन</t>
  </si>
  <si>
    <t>magnetic permenance</t>
  </si>
  <si>
    <t>चुंबकीय पार्यमाण</t>
  </si>
  <si>
    <t>magnetic pickup</t>
  </si>
  <si>
    <t>चुंबकीय उद्ग्राही</t>
  </si>
  <si>
    <t>magnetic plug</t>
  </si>
  <si>
    <t>चुंबकीय प्लग, चुंबकीय निग</t>
  </si>
  <si>
    <t>magnetic points of convergence</t>
  </si>
  <si>
    <t>चुंबकीय अभिसरण बिंदू (पु.अ.व.)</t>
  </si>
  <si>
    <t>magnetic polarisation</t>
  </si>
  <si>
    <t>चुंबकीय धुवण</t>
  </si>
  <si>
    <t>magnetic polarity</t>
  </si>
  <si>
    <t>चुंबकीय धुवता</t>
  </si>
  <si>
    <t>magnetic pole</t>
  </si>
  <si>
    <t>चुंबकीय धुव</t>
  </si>
  <si>
    <t>magnetic potential</t>
  </si>
  <si>
    <t>चुंबकीय विभव</t>
  </si>
  <si>
    <t>magnetic potentiometer</t>
  </si>
  <si>
    <t>चुंबकीय विभवमापी</t>
  </si>
  <si>
    <t>magnetic powder coated tape</t>
  </si>
  <si>
    <t>चुंबकीय चूर्णविलेपित फीत</t>
  </si>
  <si>
    <t>magnetic recorder</t>
  </si>
  <si>
    <t>magnetic reluctance</t>
  </si>
  <si>
    <t>चुंबकीय अभिरोध (अभिवाह रोध)</t>
  </si>
  <si>
    <t>magnetic remanence</t>
  </si>
  <si>
    <t>चुंबकीय शेषता</t>
  </si>
  <si>
    <t>also magnetic retentivity</t>
  </si>
  <si>
    <t>magnetic repulsion</t>
  </si>
  <si>
    <t>चुंबकीय प्रतिकर्षण</t>
  </si>
  <si>
    <t>magnetic resistance</t>
  </si>
  <si>
    <t>चुंबकीय रोध</t>
  </si>
  <si>
    <t>magnetic retardation</t>
  </si>
  <si>
    <t>चुंबकीय अवत्वरण</t>
  </si>
  <si>
    <t>magnetic retentivity</t>
  </si>
  <si>
    <t>magnetic saturation</t>
  </si>
  <si>
    <t>चुंबकीय संपृक्ति</t>
  </si>
  <si>
    <t>magnetic saturation type voltage regulator</t>
  </si>
  <si>
    <t>चुंबकीय संपृक्ति व्होल्टता नियामी</t>
  </si>
  <si>
    <t>magnetic screen</t>
  </si>
  <si>
    <t>चुंबकीय पट</t>
  </si>
  <si>
    <t>magnetic separator</t>
  </si>
  <si>
    <t>चुंबकीय पृथक्कारी</t>
  </si>
  <si>
    <t>magnetic shell</t>
  </si>
  <si>
    <t>चुंबकीय कवच</t>
  </si>
  <si>
    <t>magnetic shield</t>
  </si>
  <si>
    <t>चुंबकीय परिरक्षी</t>
  </si>
  <si>
    <t>magnetic shielding</t>
  </si>
  <si>
    <t>चुंबकीय परिरक्षण</t>
  </si>
  <si>
    <t>magnetic shunt</t>
  </si>
  <si>
    <t>चुंबकीय पार्श्वपथ</t>
  </si>
  <si>
    <t>magnetic storms</t>
  </si>
  <si>
    <t>चुंबकीय वादळे (न.अ.व.)</t>
  </si>
  <si>
    <t>magnetic tube of force</t>
  </si>
  <si>
    <t>चुंबकीय बल नलिका</t>
  </si>
  <si>
    <t>magnetic viscosity</t>
  </si>
  <si>
    <t>चुंबकीय विष्यंदिता</t>
  </si>
  <si>
    <t>magnetic voltage regulator</t>
  </si>
  <si>
    <t>चुंबकीय व्होल्टता नियामी</t>
  </si>
  <si>
    <t>magnetic wave</t>
  </si>
  <si>
    <t>चुंबकीय तरंग</t>
  </si>
  <si>
    <t>magnetisation</t>
  </si>
  <si>
    <t>१ (the degree to which a particular object is magnetised) चुंबकन (न.) २ (the process of magnetising a magnetic material) चुंबकीकरण (न.)</t>
  </si>
  <si>
    <t>magnetisation curve</t>
  </si>
  <si>
    <t>magnetising</t>
  </si>
  <si>
    <t>चुंबकन (न.)</t>
  </si>
  <si>
    <t>magnetising ampere turns</t>
  </si>
  <si>
    <t>चुंबकन ऍम्पिअर वेढे (पु.अ.व.)</t>
  </si>
  <si>
    <t>magnetising coil</t>
  </si>
  <si>
    <t>चुंबकन कुंडल</t>
  </si>
  <si>
    <t>magnetising component</t>
  </si>
  <si>
    <t>चुंबकन घटक</t>
  </si>
  <si>
    <t>magnetising current</t>
  </si>
  <si>
    <t>चुंबकन धारा</t>
  </si>
  <si>
    <t>magnetising force</t>
  </si>
  <si>
    <t>चुंबकन बल</t>
  </si>
  <si>
    <t>magnetism</t>
  </si>
  <si>
    <t>चुंबकत्व (न.)</t>
  </si>
  <si>
    <t>magneto</t>
  </si>
  <si>
    <t>चुंबकीय विद्युतजनित्र (न.), चुंबकित्र (न.)</t>
  </si>
  <si>
    <t>(also magnetoelectric generator)</t>
  </si>
  <si>
    <t>magneto bell</t>
  </si>
  <si>
    <t>चुंबकीय घंटी</t>
  </si>
  <si>
    <t>magneto ignition</t>
  </si>
  <si>
    <t>चुंबकित्र प्रज्वलन</t>
  </si>
  <si>
    <t>magneto optics</t>
  </si>
  <si>
    <t>चुंबक प्रकाशिकी (स्त्री.)</t>
  </si>
  <si>
    <t>magneto telephone system</t>
  </si>
  <si>
    <t>चुंबकित्र दूरध्वनि पद्धति</t>
  </si>
  <si>
    <t>magnetoelectric generator</t>
  </si>
  <si>
    <t>magnetogram</t>
  </si>
  <si>
    <t>चुंबकत्वलेख (पु.)</t>
  </si>
  <si>
    <t>magnetograph</t>
  </si>
  <si>
    <t>चुंबकत्वलेखी (पु.)</t>
  </si>
  <si>
    <t>magnetometer</t>
  </si>
  <si>
    <t>चुंबकत्वमापी (पु.)</t>
  </si>
  <si>
    <t>magnetometry</t>
  </si>
  <si>
    <t>चुंबकत्वमिति (स्त्री.)</t>
  </si>
  <si>
    <t>magnetomotive force</t>
  </si>
  <si>
    <t>चुंबकत्वगामी बल, चुंबकगामी बल</t>
  </si>
  <si>
    <t>magnetophone</t>
  </si>
  <si>
    <t>चुंबकीय अभिलेखी (पु.)</t>
  </si>
  <si>
    <t>(also magnetic recorder)</t>
  </si>
  <si>
    <t>magnetoscope</t>
  </si>
  <si>
    <t>चुंबकत्वदर्शी (पु.)</t>
  </si>
  <si>
    <t>magnetostatics</t>
  </si>
  <si>
    <t>चुंबकस्थैतिकी (स्त्री.)</t>
  </si>
  <si>
    <t>magnetostriction</t>
  </si>
  <si>
    <t>चुंबकीआकारभेद (पु.)</t>
  </si>
  <si>
    <t>magnetron</t>
  </si>
  <si>
    <t>मॅग्नेट्रॉन (पु.)</t>
  </si>
  <si>
    <t>magnetron critical field</t>
  </si>
  <si>
    <t>मॅग्नेट्रॉन क्रांतिक क्षेत्र</t>
  </si>
  <si>
    <t>magnetron oscillator</t>
  </si>
  <si>
    <t>मॅग्नेट्रॉन दोली</t>
  </si>
  <si>
    <t>magnification</t>
  </si>
  <si>
    <t>विशालन (न.)</t>
  </si>
  <si>
    <t>magnification ratio</t>
  </si>
  <si>
    <t>विशालन गुणोत्तर</t>
  </si>
  <si>
    <t>magntic flux</t>
  </si>
  <si>
    <t>चुंबकीय अभिवाह</t>
  </si>
  <si>
    <t>main circuit</t>
  </si>
  <si>
    <t>प्रधान परिपथ</t>
  </si>
  <si>
    <t>main circuit breaker</t>
  </si>
  <si>
    <t>प्रधान परिपथ वियोजी</t>
  </si>
  <si>
    <t>main contact</t>
  </si>
  <si>
    <t>प्रधान संपर्क</t>
  </si>
  <si>
    <t>main exciter</t>
  </si>
  <si>
    <t>प्रधान उत्तेजित्र</t>
  </si>
  <si>
    <t>main field</t>
  </si>
  <si>
    <t>मुख्य क्षेत्र, प्रधान क्षेत्र</t>
  </si>
  <si>
    <t>main flux</t>
  </si>
  <si>
    <t>मुख्य अभिवाह</t>
  </si>
  <si>
    <t>main limit switch</t>
  </si>
  <si>
    <t>मुख्य सीमा स्विच, प्रधान सीमा स्विच</t>
  </si>
  <si>
    <t>main transformer</t>
  </si>
  <si>
    <t>प्रधान परिवर्तित्र</t>
  </si>
  <si>
    <t>mains</t>
  </si>
  <si>
    <t>प्रधानवाही (पु.अ.व.)</t>
  </si>
  <si>
    <t>distributor mains वितरण प्रधानवाही supply mains पुरवठा प्रधानवाही</t>
  </si>
  <si>
    <t>maintenance factor</t>
  </si>
  <si>
    <t>परिरक्षण अंक</t>
  </si>
  <si>
    <t>make</t>
  </si>
  <si>
    <t>संयोजन करणे</t>
  </si>
  <si>
    <t>make and break ignition</t>
  </si>
  <si>
    <t>जोड तोड प्रज्वलन</t>
  </si>
  <si>
    <t>make and break switch</t>
  </si>
  <si>
    <t>जोड तोड स्विच</t>
  </si>
  <si>
    <t>make time</t>
  </si>
  <si>
    <t>संयोजनकाल (पु.)</t>
  </si>
  <si>
    <t>making capacity</t>
  </si>
  <si>
    <t>संयोजन क्षमता (स्त्री.)</t>
  </si>
  <si>
    <t>making current</t>
  </si>
  <si>
    <t>संयोजनधारा (स्त्री.), युजधारा (स्त्री.)</t>
  </si>
  <si>
    <t>maloperation of control gear</t>
  </si>
  <si>
    <t>नियंत्रण उपस्कराचे विपरिकर्म</t>
  </si>
  <si>
    <t>manhole</t>
  </si>
  <si>
    <t>प्रवेशविवर (न.)</t>
  </si>
  <si>
    <t>manual starter</t>
  </si>
  <si>
    <t>हस्त प्रवर्ती</t>
  </si>
  <si>
    <t>manually operated switch</t>
  </si>
  <si>
    <t>हस्तचालित स्विच</t>
  </si>
  <si>
    <t>Marconi antenna</t>
  </si>
  <si>
    <t>मार्काएनी आकाशग</t>
  </si>
  <si>
    <t>marker beacon</t>
  </si>
  <si>
    <t>चिन्हक द्योतक, सीमा द्योतक</t>
  </si>
  <si>
    <t>marker signal</t>
  </si>
  <si>
    <t>चिन्हक संकेत</t>
  </si>
  <si>
    <t>maser</t>
  </si>
  <si>
    <t>मेसर (पु.)</t>
  </si>
  <si>
    <t>microwave amplification by stimulated emission of radiation</t>
  </si>
  <si>
    <t>mask spectrophotometer</t>
  </si>
  <si>
    <t>मुखवटा पिसारा प्रकाशमापी</t>
  </si>
  <si>
    <t>mass impregnated cable</t>
  </si>
  <si>
    <t>संहति अंतर्भरित केबल, सकल अंतर्भरित केबल</t>
  </si>
  <si>
    <t>mass radiography</t>
  </si>
  <si>
    <t>वस्तुमान प्रारणचित्रण</t>
  </si>
  <si>
    <t>mass resistivity</t>
  </si>
  <si>
    <t>वस्तुमान रोधिता</t>
  </si>
  <si>
    <t>mass susceptibility</t>
  </si>
  <si>
    <t>वस्तुमान प्रतिवाहकता</t>
  </si>
  <si>
    <t>master circuit breaker</t>
  </si>
  <si>
    <t>गुरु परिपथ वियोजी</t>
  </si>
  <si>
    <t>master clock</t>
  </si>
  <si>
    <t>गुरु घटि</t>
  </si>
  <si>
    <t>master controller</t>
  </si>
  <si>
    <t>गुरु नियंत्री</t>
  </si>
  <si>
    <t>master frequency meter</t>
  </si>
  <si>
    <t>गुरु वारंवारता मापी</t>
  </si>
  <si>
    <t>master oscillator</t>
  </si>
  <si>
    <t>गुरु दोली</t>
  </si>
  <si>
    <t>master switch</t>
  </si>
  <si>
    <t>गुरु स्विच</t>
  </si>
  <si>
    <t>matching</t>
  </si>
  <si>
    <t>matching stimulus</t>
  </si>
  <si>
    <t>अनुरुप उद्दीपक</t>
  </si>
  <si>
    <t>material</t>
  </si>
  <si>
    <t>पदार्थ (पु.)</t>
  </si>
  <si>
    <t>matrix</t>
  </si>
  <si>
    <t>सारणी (स्त्री.)</t>
  </si>
  <si>
    <t>matt surface</t>
  </si>
  <si>
    <t>चकाकीहीन पृष्ठ</t>
  </si>
  <si>
    <t>maximum demand</t>
  </si>
  <si>
    <t>महत्तम मागणी</t>
  </si>
  <si>
    <t>maximum demand indicator</t>
  </si>
  <si>
    <t>महत्तम मागणी दर्शी</t>
  </si>
  <si>
    <t>maximum demand tariff</t>
  </si>
  <si>
    <t>महत्तम मागणी प्रशुल्क</t>
  </si>
  <si>
    <t>maximum equivalent conductance</t>
  </si>
  <si>
    <t>महत्तम सममूल्य प्रवहन</t>
  </si>
  <si>
    <t>maximum starting current</t>
  </si>
  <si>
    <t>महत्तम आरंभ धारा</t>
  </si>
  <si>
    <t>maximum tractive effort</t>
  </si>
  <si>
    <t>महत्तम संकर्षी प्रयास</t>
  </si>
  <si>
    <t>maximum usable frequency</t>
  </si>
  <si>
    <t>महत्तम प्रयोज्य वारंवारता</t>
  </si>
  <si>
    <t>maximum value</t>
  </si>
  <si>
    <t>महत्तम मूल्य</t>
  </si>
  <si>
    <t>maxwell</t>
  </si>
  <si>
    <t>मॅक्सवेल (न.)</t>
  </si>
  <si>
    <t>the unit of magnetic flux</t>
  </si>
  <si>
    <t>Maxwell bridge</t>
  </si>
  <si>
    <t>मॅक्सवेल सेतु, मॅक्सवेल पूल</t>
  </si>
  <si>
    <t>Maxwell's electro magnetic theory of light</t>
  </si>
  <si>
    <t>मॅक्सवेलचा प्रकाशाबाबतचा विद्युतचुंबकीय सिद्धांत</t>
  </si>
  <si>
    <t>Maxwell's rule</t>
  </si>
  <si>
    <t>मॅक्सवेलचा नियम</t>
  </si>
  <si>
    <t>mean</t>
  </si>
  <si>
    <t>१ माध्य (न.) २ मध्यगा (स्त्री.), मध्यमा (स्त्री.)</t>
  </si>
  <si>
    <t>mean British thermal unit</t>
  </si>
  <si>
    <t>माध्य बिटिश तापीय एकक</t>
  </si>
  <si>
    <t>mean effective pressure</t>
  </si>
  <si>
    <t>माध्य परिणामी दाब</t>
  </si>
  <si>
    <t>mean hemispherical candle power</t>
  </si>
  <si>
    <t>माध्य अर्धगोलीय कँडल शक्ति</t>
  </si>
  <si>
    <t>mean horizontal candle power</t>
  </si>
  <si>
    <t>माध्य क्षैतिज कँडल शक्ति</t>
  </si>
  <si>
    <t>mean spherical candle power</t>
  </si>
  <si>
    <t>माध्य गोलीय कँडल शक्ति</t>
  </si>
  <si>
    <t>meason</t>
  </si>
  <si>
    <t>क्षणिका (स्त्री.), मेसॉन (पु.)</t>
  </si>
  <si>
    <t>measuring instrument</t>
  </si>
  <si>
    <t>मापन उपकरण</t>
  </si>
  <si>
    <t>mechanial power unit</t>
  </si>
  <si>
    <t>यांत्रिकी शक्ति एकक</t>
  </si>
  <si>
    <t>mechanical energy</t>
  </si>
  <si>
    <t>यांत्रिक ऊर्जा</t>
  </si>
  <si>
    <t>mechanical rectifier</t>
  </si>
  <si>
    <t>यांत्रिक दिष्टकारी</t>
  </si>
  <si>
    <t>mechanism</t>
  </si>
  <si>
    <t>यंत्रणा (स्त्री.)</t>
  </si>
  <si>
    <t>median</t>
  </si>
  <si>
    <t>मध्यगा (स्त्री.)</t>
  </si>
  <si>
    <t>medical electrolysis</t>
  </si>
  <si>
    <t>वैद्यकीय विद्युतापघटन</t>
  </si>
  <si>
    <t>medical ionisation</t>
  </si>
  <si>
    <t>वैद्यकीय आयनीकरण, औषधी आयनीकरण</t>
  </si>
  <si>
    <t>medium</t>
  </si>
  <si>
    <t>१ मध्यमा (स्त्री.) २ माध्यम (न.)</t>
  </si>
  <si>
    <t>मध्यम</t>
  </si>
  <si>
    <t>medium Edison screw cap</t>
  </si>
  <si>
    <t>मध्यम एडिसन पेच टोपण</t>
  </si>
  <si>
    <t>medium frequency</t>
  </si>
  <si>
    <t>मध्यम वारंवारता</t>
  </si>
  <si>
    <t>medium frequency wave</t>
  </si>
  <si>
    <t>मध्यम वारंवारता तरंग</t>
  </si>
  <si>
    <t>medium voltage</t>
  </si>
  <si>
    <t>मध्यम व्होल्टता</t>
  </si>
  <si>
    <t>mega</t>
  </si>
  <si>
    <t>मेगा-</t>
  </si>
  <si>
    <t>denoting a million</t>
  </si>
  <si>
    <t>mega volt ampere</t>
  </si>
  <si>
    <t>मेगा व्होल्ट ऍम्पिअर</t>
  </si>
  <si>
    <t>megger</t>
  </si>
  <si>
    <t>मेगर (पु.)</t>
  </si>
  <si>
    <t>an instrument for measuring high resistance</t>
  </si>
  <si>
    <t>megohm</t>
  </si>
  <si>
    <t>मेगओम (न.)</t>
  </si>
  <si>
    <t>a unit of electrical resistance equal to one million ohms</t>
  </si>
  <si>
    <t>memory</t>
  </si>
  <si>
    <t>स्मृतिका (स्त्री.)</t>
  </si>
  <si>
    <t>as a device</t>
  </si>
  <si>
    <t>mercury discharge lamp</t>
  </si>
  <si>
    <t>पारा निर्भारण दीप</t>
  </si>
  <si>
    <t>mercury motor meter</t>
  </si>
  <si>
    <t>पारायुक्त चलित्र मापी</t>
  </si>
  <si>
    <t>mercury pool rectifier</t>
  </si>
  <si>
    <t>पारा कुंड दिष्टकारी</t>
  </si>
  <si>
    <t>mercury switch</t>
  </si>
  <si>
    <t>पारा स्विच</t>
  </si>
  <si>
    <t>mercury vapour</t>
  </si>
  <si>
    <t>पारा बाष्प</t>
  </si>
  <si>
    <t>mercury vapour hot cathode rectifier</t>
  </si>
  <si>
    <t>पारा बाष्प तप्त कॅथोड दिष्टकारी</t>
  </si>
  <si>
    <t>mercury vapour lamp</t>
  </si>
  <si>
    <t>पारा बाष्प दीप</t>
  </si>
  <si>
    <t>mercury vapour rectifier</t>
  </si>
  <si>
    <t>पारा बाष्प दिष्टकारी</t>
  </si>
  <si>
    <t>Merz Price protection</t>
  </si>
  <si>
    <t>मर्ज प्राइस रक्षण</t>
  </si>
  <si>
    <t>Merz price protective system</t>
  </si>
  <si>
    <t>मर्ज प्राइस रक्षण पद्धति</t>
  </si>
  <si>
    <t>mesh</t>
  </si>
  <si>
    <t>जालाक्ष (पु.), मेश (पु.)</t>
  </si>
  <si>
    <t>mesh connection</t>
  </si>
  <si>
    <t>जालाक्ष जोडणी, मेश जोडणी</t>
  </si>
  <si>
    <t>mesh current</t>
  </si>
  <si>
    <t>जालाक्ष धारा, मेश धारा</t>
  </si>
  <si>
    <t>mesh voltage</t>
  </si>
  <si>
    <t>जालाक्ष व्होल्टता</t>
  </si>
  <si>
    <t>messenger wire</t>
  </si>
  <si>
    <t>संदेश तार</t>
  </si>
  <si>
    <t>metadyne</t>
  </si>
  <si>
    <t>मेटाडाइन (पु.)</t>
  </si>
  <si>
    <t>metadyne convertor</t>
  </si>
  <si>
    <t>मेटाडाइन रुपांतरित्र</t>
  </si>
  <si>
    <t>metadyne generator</t>
  </si>
  <si>
    <t>मेटाडाइन जनित्र</t>
  </si>
  <si>
    <t>metal</t>
  </si>
  <si>
    <t>धातु (पु.)</t>
  </si>
  <si>
    <t>metal arc welding</t>
  </si>
  <si>
    <t>धातु प्रज्योत सांधण, धातु प्रज्योत सांधणी</t>
  </si>
  <si>
    <t>metal clad switchgear</t>
  </si>
  <si>
    <t>धातु कवचित स्विचौपस्कर</t>
  </si>
  <si>
    <t>metal electrode</t>
  </si>
  <si>
    <t>धातु इलेक्ट्रोड</t>
  </si>
  <si>
    <t>metal enclosed switchgear</t>
  </si>
  <si>
    <t>धातु समावृत स्विच उपस्कर</t>
  </si>
  <si>
    <t>metal filament</t>
  </si>
  <si>
    <t>धातु तंतु</t>
  </si>
  <si>
    <t>metal filament lamp</t>
  </si>
  <si>
    <t>धातु तंतु दीप</t>
  </si>
  <si>
    <t>metal film resistor</t>
  </si>
  <si>
    <t>धातु तवंग रोधी</t>
  </si>
  <si>
    <t>metal rectifier</t>
  </si>
  <si>
    <t>धातु दिष्टकारी</t>
  </si>
  <si>
    <t>metal sheathed</t>
  </si>
  <si>
    <t>धातुकोषित-</t>
  </si>
  <si>
    <t>metal sheathed cable</t>
  </si>
  <si>
    <t>धातुकोषित केबल</t>
  </si>
  <si>
    <t>metal spraying</t>
  </si>
  <si>
    <t>धातुशीकन (न.), धातुतुषारण (न.)</t>
  </si>
  <si>
    <t>metal V collar</t>
  </si>
  <si>
    <t>धातुचा V कंठा</t>
  </si>
  <si>
    <t>metal V ring</t>
  </si>
  <si>
    <t>धातुचे V वलय</t>
  </si>
  <si>
    <t>metallised paper capacitor</t>
  </si>
  <si>
    <t>धातुलेपित कागदी धारित्र</t>
  </si>
  <si>
    <t>metallised resistor</t>
  </si>
  <si>
    <t>धातुलेपित रोधी</t>
  </si>
  <si>
    <t>metastable level</t>
  </si>
  <si>
    <t>मितस्थायी पातळी</t>
  </si>
  <si>
    <t>meter</t>
  </si>
  <si>
    <t>मापी (पु.)</t>
  </si>
  <si>
    <t>method</t>
  </si>
  <si>
    <t>रीति (स्त्री.), पद्धति (स्त्री.)</t>
  </si>
  <si>
    <t>metre kilogram second system</t>
  </si>
  <si>
    <t>मीटर किलोग्रॅम सेकंद पद्धति (मी.कि.से. पद्धति)</t>
  </si>
  <si>
    <t>(M.K.S. system)</t>
  </si>
  <si>
    <t>metric system</t>
  </si>
  <si>
    <t>मेट्रिक पद्धति, दशमान पद्धति</t>
  </si>
  <si>
    <t>mica capacitor</t>
  </si>
  <si>
    <t>अभ्रक धारित्र</t>
  </si>
  <si>
    <t>mica tape</t>
  </si>
  <si>
    <t>अभ्रक फीत</t>
  </si>
  <si>
    <t>mica V ring</t>
  </si>
  <si>
    <t>अभ्रकाचे V वलय</t>
  </si>
  <si>
    <t>mica wrapper</t>
  </si>
  <si>
    <t>अभ्रक परिवेष्टन</t>
  </si>
  <si>
    <t>micro farad</t>
  </si>
  <si>
    <t>मायक्रो फॅरड (न.)</t>
  </si>
  <si>
    <t>micro V filter</t>
  </si>
  <si>
    <t>सूक्ष्म V गाळणी</t>
  </si>
  <si>
    <t>microphone</t>
  </si>
  <si>
    <t>सूक्ष्मश्रवणी (पु.), सूक्ष्मध्वनि (पु.), माईक (पु.), मायक्रोफोन (पु.), ध्वनिग्राही (पु.)</t>
  </si>
  <si>
    <t>microphonic effect</t>
  </si>
  <si>
    <t>सूक्ष्मध्वनिक परिणाम</t>
  </si>
  <si>
    <t>microphonic effects in amplifier</t>
  </si>
  <si>
    <t>प्रवर्धीतील सूक्ष्मध्वनिक परिणाम (पु.अ.व.)</t>
  </si>
  <si>
    <t>mid frequency response</t>
  </si>
  <si>
    <t>मध्य वारंवारता अनुक्रिया</t>
  </si>
  <si>
    <t>middle wire</t>
  </si>
  <si>
    <t>मध्य तार</t>
  </si>
  <si>
    <t>migration of ions</t>
  </si>
  <si>
    <t>mil</t>
  </si>
  <si>
    <t>मिल (न.)</t>
  </si>
  <si>
    <t>measurement unit</t>
  </si>
  <si>
    <t>mil foot</t>
  </si>
  <si>
    <t>मिल फूट</t>
  </si>
  <si>
    <t>Miller effect</t>
  </si>
  <si>
    <t>मिलर परिणाम</t>
  </si>
  <si>
    <t>milliammeter</t>
  </si>
  <si>
    <t>मिलिऍमीटर (पु.)</t>
  </si>
  <si>
    <t>milliampere</t>
  </si>
  <si>
    <t>मिलीँम्पिअर (पु.)</t>
  </si>
  <si>
    <t>mimic diagram</t>
  </si>
  <si>
    <t>प्रतीकाकृति (स्त्री.), प्रतिरुप आकृति</t>
  </si>
  <si>
    <t>miner's lamp</t>
  </si>
  <si>
    <t>खाण दीप</t>
  </si>
  <si>
    <t>mineral insulated copper sheathed cable</t>
  </si>
  <si>
    <t>खनिज निरोधित ताम्र कोषित केबल</t>
  </si>
  <si>
    <t>miniaturisation</t>
  </si>
  <si>
    <t>सूक्ष्मीकरण (न.)</t>
  </si>
  <si>
    <t>minimum</t>
  </si>
  <si>
    <t>१ न्यूनतम, लघुतम, अल्पिष्ठ २ किमान</t>
  </si>
  <si>
    <t>minimum clearance</t>
  </si>
  <si>
    <t>न्यूनतम मुक्तांतर</t>
  </si>
  <si>
    <t>minimum current</t>
  </si>
  <si>
    <t>न्यूनतम धारा</t>
  </si>
  <si>
    <t>minimum fusing current</t>
  </si>
  <si>
    <t>न्यूनतम वितळण धारा</t>
  </si>
  <si>
    <t>minimum impulse ratio</t>
  </si>
  <si>
    <t>लघुतम विस्पंद गुणोत्तर</t>
  </si>
  <si>
    <t>minimum set</t>
  </si>
  <si>
    <t>अल्पिष्ठ सट, लघुतम सट</t>
  </si>
  <si>
    <t>minimum torque</t>
  </si>
  <si>
    <t>न्यूनतम मोटना</t>
  </si>
  <si>
    <t>minus tapping</t>
  </si>
  <si>
    <t>ऋण शाखन</t>
  </si>
  <si>
    <t>mirror galvanometer</t>
  </si>
  <si>
    <t>दर्पण गॅल्व्हानोमापी</t>
  </si>
  <si>
    <t>mismatch</t>
  </si>
  <si>
    <t>विजोड</t>
  </si>
  <si>
    <t>missile</t>
  </si>
  <si>
    <t>क्षेपणास्त्र (न.)</t>
  </si>
  <si>
    <t>mixer</t>
  </si>
  <si>
    <t>मिश्रक (पु.)</t>
  </si>
  <si>
    <t>mixer valve</t>
  </si>
  <si>
    <t>मिक्षक झडप</t>
  </si>
  <si>
    <t>mixing chamber</t>
  </si>
  <si>
    <t>मिश्रण कोष्ठ</t>
  </si>
  <si>
    <t>mobile</t>
  </si>
  <si>
    <t>फिरता, चलनशील</t>
  </si>
  <si>
    <t>mobility</t>
  </si>
  <si>
    <t>चलनशीलता (स्त्री.) (as in carrier mobility वाहनिक चलनशीलता)</t>
  </si>
  <si>
    <t>mode</t>
  </si>
  <si>
    <t>रीति (स्त्री.)</t>
  </si>
  <si>
    <t>mode transducer</t>
  </si>
  <si>
    <t>रीति पारणी</t>
  </si>
  <si>
    <t>mode transformer</t>
  </si>
  <si>
    <t>modulated</t>
  </si>
  <si>
    <t>आपरिवर्तित</t>
  </si>
  <si>
    <t>modulated amplifier</t>
  </si>
  <si>
    <t>आपरिवर्तित प्रवर्धी</t>
  </si>
  <si>
    <t>modulated oscillator</t>
  </si>
  <si>
    <t>आपरिवर्तित दोली</t>
  </si>
  <si>
    <t>modulating electrode</t>
  </si>
  <si>
    <t>आपरिवर्तित इलेक्ट्रोड</t>
  </si>
  <si>
    <t>modulating signal</t>
  </si>
  <si>
    <t>आपरिवर्ती संकेत</t>
  </si>
  <si>
    <t>modulation</t>
  </si>
  <si>
    <t>आपरिवर्तन (न.)</t>
  </si>
  <si>
    <t>modulation envelope</t>
  </si>
  <si>
    <t>आपरिवर्तन आवरण</t>
  </si>
  <si>
    <t>modulation frequency</t>
  </si>
  <si>
    <t>आपरिवर्तन वारंवारता</t>
  </si>
  <si>
    <t>modulation index</t>
  </si>
  <si>
    <t>आपरिवर्तन निर्देशांक</t>
  </si>
  <si>
    <t>modulation method</t>
  </si>
  <si>
    <t>आपरिवर्तन पद्धति</t>
  </si>
  <si>
    <t>modulation phase</t>
  </si>
  <si>
    <t>आपरिवर्तन प्रावस्था</t>
  </si>
  <si>
    <t>modulation screen grid</t>
  </si>
  <si>
    <t>आपरिवर्तन पटल जाल</t>
  </si>
  <si>
    <t>modulation system</t>
  </si>
  <si>
    <t>modulator</t>
  </si>
  <si>
    <t>आपरिवर्ती (पु.)</t>
  </si>
  <si>
    <t>modulus</t>
  </si>
  <si>
    <t>मापांक (पु.)</t>
  </si>
  <si>
    <t>moment</t>
  </si>
  <si>
    <t>आघूर्ण (न.)</t>
  </si>
  <si>
    <t>moment of magnet</t>
  </si>
  <si>
    <t>चुंबकाचे आघूर्ण</t>
  </si>
  <si>
    <t>momentum</t>
  </si>
  <si>
    <t>संवेग (पु.)</t>
  </si>
  <si>
    <t>motion</t>
  </si>
  <si>
    <t>monitoring</t>
  </si>
  <si>
    <t>अनुबोधन (न.)</t>
  </si>
  <si>
    <t>monitoring amplifier</t>
  </si>
  <si>
    <t>अनुबोधन प्रवर्धी</t>
  </si>
  <si>
    <t>monitoring of transmitter</t>
  </si>
  <si>
    <t>पारेषित्र अनुबोधन</t>
  </si>
  <si>
    <t>monochromator</t>
  </si>
  <si>
    <t>ईकवर्णित्र (न.)</t>
  </si>
  <si>
    <t>monochrome signal</t>
  </si>
  <si>
    <t>एकवर्ण संकेत</t>
  </si>
  <si>
    <t>monoscope</t>
  </si>
  <si>
    <t>एकदर्शी (पु.)</t>
  </si>
  <si>
    <t>monostable multivibrator</t>
  </si>
  <si>
    <t>एकस्थायी बहुकंपित्र</t>
  </si>
  <si>
    <t>monotonic change</t>
  </si>
  <si>
    <t>एकसुरी बदल</t>
  </si>
  <si>
    <t>Morse signal equipment</t>
  </si>
  <si>
    <t>मोर्स संकेत सामग्री</t>
  </si>
  <si>
    <t>mosaic</t>
  </si>
  <si>
    <t>१ मोझेक (पु.) २ चित्रन्यास (पु.)</t>
  </si>
  <si>
    <t>गति (स्त्री.)</t>
  </si>
  <si>
    <t>momentum संवेग movement हालचाल</t>
  </si>
  <si>
    <t>motion picture photography</t>
  </si>
  <si>
    <t>चलचित्र छायालेखन, चलचित्र प्रकाशलेखन</t>
  </si>
  <si>
    <t>motion picture studio equipment</t>
  </si>
  <si>
    <t>चलचित्र रंगशाला सामग्री</t>
  </si>
  <si>
    <t>motor</t>
  </si>
  <si>
    <t>चलित्र (न.), मोटर (स्त्री.)</t>
  </si>
  <si>
    <t>motor boating</t>
  </si>
  <si>
    <t>फटफटन (न.)</t>
  </si>
  <si>
    <t>motor boating in amplifier</t>
  </si>
  <si>
    <t>प्रवर्धीतील फटफटन</t>
  </si>
  <si>
    <t>motor coach</t>
  </si>
  <si>
    <t>चलित्रयान (न.)</t>
  </si>
  <si>
    <t>motor control gear</t>
  </si>
  <si>
    <t>चलित्र नियंत्रण सामग्री</t>
  </si>
  <si>
    <t>motor convertor</t>
  </si>
  <si>
    <t>चलित्र रुपांतरित्र</t>
  </si>
  <si>
    <t>motor effect</t>
  </si>
  <si>
    <t>चलित्र प्रभाव</t>
  </si>
  <si>
    <t>motor failure alarm</t>
  </si>
  <si>
    <t>चलित्र बिघाड भयसूचना</t>
  </si>
  <si>
    <t>motor generator set</t>
  </si>
  <si>
    <t>चलित्र जनित्र सट</t>
  </si>
  <si>
    <t>motor meter</t>
  </si>
  <si>
    <t>चलित्रमापी (पु.)</t>
  </si>
  <si>
    <t>motor noise</t>
  </si>
  <si>
    <t>चलित्र कुरव</t>
  </si>
  <si>
    <t>motor operated lift</t>
  </si>
  <si>
    <t>चलित्र चालित उद्वाही</t>
  </si>
  <si>
    <t>motor operated switch</t>
  </si>
  <si>
    <t>चलित्र चालित स्विच</t>
  </si>
  <si>
    <t>motor starter</t>
  </si>
  <si>
    <t>चलित्र आरंभक, चलित्र आरंभी</t>
  </si>
  <si>
    <t>motoring action</t>
  </si>
  <si>
    <t>चलित्र क्रिया</t>
  </si>
  <si>
    <t>motoring force</t>
  </si>
  <si>
    <t>चलित्र बल</t>
  </si>
  <si>
    <t>mountain effect</t>
  </si>
  <si>
    <t>गिरि परिणाम</t>
  </si>
  <si>
    <t>mounting</t>
  </si>
  <si>
    <t>अधिरोहण (न.), रोहण (न.)</t>
  </si>
  <si>
    <t>mounting height</t>
  </si>
  <si>
    <t>रोहण उंची</t>
  </si>
  <si>
    <t>mounting unit</t>
  </si>
  <si>
    <t>अधिरोहण एकक</t>
  </si>
  <si>
    <t>movement</t>
  </si>
  <si>
    <t>हालचाल (स्त्री.)</t>
  </si>
  <si>
    <t>moving</t>
  </si>
  <si>
    <t>चल</t>
  </si>
  <si>
    <t>moving coil</t>
  </si>
  <si>
    <t>चल कुंडल</t>
  </si>
  <si>
    <t>moving coil ammeter</t>
  </si>
  <si>
    <t>चल कुंडल ऍमीटर</t>
  </si>
  <si>
    <t>moving coil galvanometer</t>
  </si>
  <si>
    <t>चल कुंडल गॅल्व्हानोमापी</t>
  </si>
  <si>
    <t>moving coil instrument</t>
  </si>
  <si>
    <t>चल कुंडल उपकरण</t>
  </si>
  <si>
    <t>moving coil microphone</t>
  </si>
  <si>
    <t>चल कुंडल सूक्ष्मध्वनी</t>
  </si>
  <si>
    <t>moving coil voltage regulator</t>
  </si>
  <si>
    <t>चल कुंडल व्होल्टता नियामी</t>
  </si>
  <si>
    <t>moving iron ammeter</t>
  </si>
  <si>
    <t>चल लोह ऍमीटर</t>
  </si>
  <si>
    <t>moving iron instrument</t>
  </si>
  <si>
    <t>चल लोह उपकरण</t>
  </si>
  <si>
    <t>moving iron oscillograph</t>
  </si>
  <si>
    <t>चल लोह दोलनलेखी</t>
  </si>
  <si>
    <t>moving magnet galvanometer</t>
  </si>
  <si>
    <t>चल चुंबक गॅल्हानोमापी</t>
  </si>
  <si>
    <t>moving magnet instrument</t>
  </si>
  <si>
    <t>चल चुंबक उपकरण</t>
  </si>
  <si>
    <t>moving target indicator</t>
  </si>
  <si>
    <t>चल लक्ष्य दर्शी</t>
  </si>
  <si>
    <t>Mu factor</t>
  </si>
  <si>
    <t>म्यू अंक (पु.) अंक (पु.)</t>
  </si>
  <si>
    <t>Mu metal</t>
  </si>
  <si>
    <t>म्यू धातु (पु.), धातु (पु.)</t>
  </si>
  <si>
    <t>multi break switch</t>
  </si>
  <si>
    <t>बहु वियोजन स्विच</t>
  </si>
  <si>
    <t>multi voltage control</t>
  </si>
  <si>
    <t>बहु व्होल्टता नियंत्रण</t>
  </si>
  <si>
    <t>multi way</t>
  </si>
  <si>
    <t>बहुमार्गी</t>
  </si>
  <si>
    <t>multicavity</t>
  </si>
  <si>
    <t>बहुगुहिका (स्त्री.)</t>
  </si>
  <si>
    <t>multicavity magnetron</t>
  </si>
  <si>
    <t>बहुगुहिका मॅग्नेट्रॉन</t>
  </si>
  <si>
    <t>multicore cable</t>
  </si>
  <si>
    <t>बहुक्रोड केबल</t>
  </si>
  <si>
    <t>multielectrode</t>
  </si>
  <si>
    <t>मल्टिइलेक्ट्रोड (पु.), बहुअग्री (पु.)</t>
  </si>
  <si>
    <t>multifrequency antenna</t>
  </si>
  <si>
    <t>बहुवारंवारता आकाशग</t>
  </si>
  <si>
    <t>multigap arrester</t>
  </si>
  <si>
    <t>बहुअंतर प्रग्राही</t>
  </si>
  <si>
    <t>multilayer winding</t>
  </si>
  <si>
    <t>१ बहुस्तरी कुंडल २ बहुस्तरी कुंडलन</t>
  </si>
  <si>
    <t>multinotch control</t>
  </si>
  <si>
    <t>बहुखाच नियंत्रण</t>
  </si>
  <si>
    <t>multipart pin</t>
  </si>
  <si>
    <t>बहुखंड पिन</t>
  </si>
  <si>
    <t>multipart pin insulator</t>
  </si>
  <si>
    <t>बहुखंड पिन निरोधी</t>
  </si>
  <si>
    <t>multiple earth neutral</t>
  </si>
  <si>
    <t>बहुविध भूसंपर्क तटस्थिका</t>
  </si>
  <si>
    <t>multiple gap</t>
  </si>
  <si>
    <t>बहु अंतर</t>
  </si>
  <si>
    <t>multiple gap arrester</t>
  </si>
  <si>
    <t>बहु अंतर प्रग्राही</t>
  </si>
  <si>
    <t>multiple lamp route indicator</t>
  </si>
  <si>
    <t>बहु दीप पथ दर्शी</t>
  </si>
  <si>
    <t>multiple loop feedback</t>
  </si>
  <si>
    <t>बहुलुपी पश्चप्रदाय</t>
  </si>
  <si>
    <t>multiple operator welding set</t>
  </si>
  <si>
    <t>बहु परिकर्म सांधण सट, बहु चालक सांधण सट</t>
  </si>
  <si>
    <t>multiple switch starter</t>
  </si>
  <si>
    <t>बहु स्विच आरंभी</t>
  </si>
  <si>
    <t>multiple tariff</t>
  </si>
  <si>
    <t>बहुविध प्रशुल्क</t>
  </si>
  <si>
    <t>multiple tuned antenna</t>
  </si>
  <si>
    <t>बहुमेलित आकाशग</t>
  </si>
  <si>
    <t>multiple tuning</t>
  </si>
  <si>
    <t>बहुविध मेलन</t>
  </si>
  <si>
    <t>multiple turn coil</t>
  </si>
  <si>
    <t>१ बहुवेढी कुंडल २ बहुवेढी कुंडलन</t>
  </si>
  <si>
    <t>multiple unit control</t>
  </si>
  <si>
    <t>बहुएकक नियंत्रण</t>
  </si>
  <si>
    <t>multiple unit steerable antenna</t>
  </si>
  <si>
    <t>बहुएकक वलनीय आकाशग</t>
  </si>
  <si>
    <t>multiple unit system</t>
  </si>
  <si>
    <t>बहुएकक पद्धति</t>
  </si>
  <si>
    <t>multiplex</t>
  </si>
  <si>
    <t>बहुपथ (पु.)</t>
  </si>
  <si>
    <t>multiplicity</t>
  </si>
  <si>
    <t>गुणनता (स्त्री.)</t>
  </si>
  <si>
    <t>multiplier</t>
  </si>
  <si>
    <t>गुणक (पु.), बहुगुणक (पु.)</t>
  </si>
  <si>
    <t>multiplier phototube</t>
  </si>
  <si>
    <t>गुणक प्रकाशमालिका</t>
  </si>
  <si>
    <t>multipolar</t>
  </si>
  <si>
    <t>बहुधुवी</t>
  </si>
  <si>
    <t>multipolar drum armature</t>
  </si>
  <si>
    <t>बहुधुव ड्रम आर्मेचर</t>
  </si>
  <si>
    <t>multispeed drive</t>
  </si>
  <si>
    <t>१ बहुचाल चालन २ बहुचाल चलनी</t>
  </si>
  <si>
    <t>multispeed motor</t>
  </si>
  <si>
    <t>बहुचाल चलित्र</t>
  </si>
  <si>
    <t>multistage</t>
  </si>
  <si>
    <t>बहुपद-</t>
  </si>
  <si>
    <t>multistage amplifier</t>
  </si>
  <si>
    <t>बहुपद प्रवर्धी</t>
  </si>
  <si>
    <t>multiswitch starter</t>
  </si>
  <si>
    <t>बहुस्विच आरंभक</t>
  </si>
  <si>
    <t>multivibrator</t>
  </si>
  <si>
    <t>बहुकंपित्र (न.)</t>
  </si>
  <si>
    <t>multiwire antenna</t>
  </si>
  <si>
    <t>बहुतार आकाशग</t>
  </si>
  <si>
    <t>Murray loop</t>
  </si>
  <si>
    <t>मरे लूप</t>
  </si>
  <si>
    <t>mush coil</t>
  </si>
  <si>
    <t>विरुप कुंडल</t>
  </si>
  <si>
    <t>mush winding</t>
  </si>
  <si>
    <t>विरुप कुंडलन</t>
  </si>
  <si>
    <t>also random winding</t>
  </si>
  <si>
    <t>mutual</t>
  </si>
  <si>
    <t>परस्पर, अन्योन्य</t>
  </si>
  <si>
    <t>mutual branch</t>
  </si>
  <si>
    <t>अन्योन्य शाखा</t>
  </si>
  <si>
    <t>mutual capacitance</t>
  </si>
  <si>
    <t>अन्योन्य धारिता</t>
  </si>
  <si>
    <t>mutual capacity</t>
  </si>
  <si>
    <t>mutual capacity attenuator</t>
  </si>
  <si>
    <t>अन्योन्य धारिता क्षीणनकारी</t>
  </si>
  <si>
    <t>mutual conductance</t>
  </si>
  <si>
    <t>अन्योन्य प्रवहन</t>
  </si>
  <si>
    <t>mutual flux</t>
  </si>
  <si>
    <t>परस्पर अभिवाह</t>
  </si>
  <si>
    <t>mutual impedance</t>
  </si>
  <si>
    <t>परस्पर संरोध</t>
  </si>
  <si>
    <t>mutual impedance between antenna</t>
  </si>
  <si>
    <t>आकाशगामधील परस्पर संरोध</t>
  </si>
  <si>
    <t>mutual inductance</t>
  </si>
  <si>
    <t>परस्पर प्रेरितता</t>
  </si>
  <si>
    <t>mutual inductance attenuator</t>
  </si>
  <si>
    <t>परस्पर प्रेरितता क्षीणनकारी</t>
  </si>
  <si>
    <t>mutual induction</t>
  </si>
  <si>
    <t>परस्पर प्रेरण</t>
  </si>
  <si>
    <t>mutual surge impedance</t>
  </si>
  <si>
    <t>परस्पर उल्लोल संरोध</t>
  </si>
  <si>
    <t>mutually induced electromotive force</t>
  </si>
  <si>
    <t>अन्योन्य प्रेरित विद्युतगामी बल</t>
  </si>
  <si>
    <t>N type semi conductor</t>
  </si>
  <si>
    <t>N प्रकार अर्धवाही</t>
  </si>
  <si>
    <t>NAND gate</t>
  </si>
  <si>
    <t>अव द्वार, नॅन्ड द्वार</t>
  </si>
  <si>
    <t>nano-</t>
  </si>
  <si>
    <t>नॅनो-</t>
  </si>
  <si>
    <t>(meaning one thousand millionth (10-9)]</t>
  </si>
  <si>
    <t>Napierian logarithms</t>
  </si>
  <si>
    <t>स्वाभाविक लाग (पु.अ.व.), स्वलाग (पु.अ.व.), नेपेरियन लाग (पु.अ.व.)</t>
  </si>
  <si>
    <t>(also natural logarithms)</t>
  </si>
  <si>
    <t>narrow base tower</t>
  </si>
  <si>
    <t>अरुंद तल मनोरा</t>
  </si>
  <si>
    <t>natural admittance</t>
  </si>
  <si>
    <t>स्वाभाविक संवहन</t>
  </si>
  <si>
    <t>natural frequency</t>
  </si>
  <si>
    <t>स्वाभाविक वारंवारता</t>
  </si>
  <si>
    <t>natural logarithms</t>
  </si>
  <si>
    <t>natural period</t>
  </si>
  <si>
    <t>स्वाभाविक काल</t>
  </si>
  <si>
    <t>natural wavelength</t>
  </si>
  <si>
    <t>स्वाभाविक तरंगलांबी</t>
  </si>
  <si>
    <t>navigation</t>
  </si>
  <si>
    <t>नौकानयन (न.)</t>
  </si>
  <si>
    <t>near field</t>
  </si>
  <si>
    <t>समीप क्षेत्र</t>
  </si>
  <si>
    <t>needle</t>
  </si>
  <si>
    <t>सुई (स्त्री.), सूचि (स्त्री.)</t>
  </si>
  <si>
    <t>needle point gap</t>
  </si>
  <si>
    <t>सूचि अग्र अंतर</t>
  </si>
  <si>
    <t>negative</t>
  </si>
  <si>
    <t>ऋणात्मक, ऋण-</t>
  </si>
  <si>
    <t>negative bias</t>
  </si>
  <si>
    <t>ऋणात्मक अभिनति</t>
  </si>
  <si>
    <t>negative booster</t>
  </si>
  <si>
    <t>ऋण वर्धी</t>
  </si>
  <si>
    <t>negative brush</t>
  </si>
  <si>
    <t>ऋण कुंचला</t>
  </si>
  <si>
    <t>negative charge</t>
  </si>
  <si>
    <t>ऋण प्रभार</t>
  </si>
  <si>
    <t>negative feedback</t>
  </si>
  <si>
    <t>ऋण पश्चप्रदाय</t>
  </si>
  <si>
    <t>negative going</t>
  </si>
  <si>
    <t>ऋणगामी</t>
  </si>
  <si>
    <t>negative grid current</t>
  </si>
  <si>
    <t>ऋण जाल धारा</t>
  </si>
  <si>
    <t>negative image</t>
  </si>
  <si>
    <t>ऋण प्रतिमा, ऋण प्रतिबिंब</t>
  </si>
  <si>
    <t>negative impedance convertor</t>
  </si>
  <si>
    <t>ऋण संरोध रुपांतरित्र</t>
  </si>
  <si>
    <t>negative ion</t>
  </si>
  <si>
    <t>ऋण आयन</t>
  </si>
  <si>
    <t>negative modulation</t>
  </si>
  <si>
    <t>ऋण आपरिवर्तन</t>
  </si>
  <si>
    <t>negative phase sequence</t>
  </si>
  <si>
    <t>ऋण प्रावस्था क्रम</t>
  </si>
  <si>
    <t>negative picture modulation</t>
  </si>
  <si>
    <t>ऋण चित्र आपरिवर्तन</t>
  </si>
  <si>
    <t>negative resistance</t>
  </si>
  <si>
    <t>ऋण रोध</t>
  </si>
  <si>
    <t>negative resistance device</t>
  </si>
  <si>
    <t>ऋण रोध साधन</t>
  </si>
  <si>
    <t>negative resistance oscillator</t>
  </si>
  <si>
    <t>ऋण रोध दोली</t>
  </si>
  <si>
    <t>neon glow lamp</t>
  </si>
  <si>
    <t>निऑन प्रभा दीप</t>
  </si>
  <si>
    <t>neon lamp</t>
  </si>
  <si>
    <t>निऑन दीप</t>
  </si>
  <si>
    <t>neon sign</t>
  </si>
  <si>
    <t>निऑन चिन्ह</t>
  </si>
  <si>
    <t>neon tube voltage regulator</t>
  </si>
  <si>
    <t>निऑन नलिका व्होल्टता नियामी</t>
  </si>
  <si>
    <t>neper</t>
  </si>
  <si>
    <t>नेपर (न.)</t>
  </si>
  <si>
    <t>net</t>
  </si>
  <si>
    <t>जाल (न.)</t>
  </si>
  <si>
    <t>निव्वळ</t>
  </si>
  <si>
    <t>net efficiency</t>
  </si>
  <si>
    <t>network</t>
  </si>
  <si>
    <t>जालव्यूह (पु.), जाल (न.)</t>
  </si>
  <si>
    <t>network analysis</t>
  </si>
  <si>
    <t>जालव्यूह विश्लेषण, जाल विश्लेषण</t>
  </si>
  <si>
    <t>network for video frequency coupling system</t>
  </si>
  <si>
    <t>दृक्-वारंवारता युग्मन पद्धति जालव्यूह</t>
  </si>
  <si>
    <t>network for wide band amplifier coupling</t>
  </si>
  <si>
    <t>रुंद पट्ट प्रवर्धी युग्मन जालव्यूह</t>
  </si>
  <si>
    <t>network theorem</t>
  </si>
  <si>
    <t>जालव्यूह प्रमेय</t>
  </si>
  <si>
    <t>network with T section</t>
  </si>
  <si>
    <t>T खंड जालव्यूह</t>
  </si>
  <si>
    <t>network with TT section</t>
  </si>
  <si>
    <t>TT खंड जालव्यूह</t>
  </si>
  <si>
    <t>neutral</t>
  </si>
  <si>
    <t>तटस्थिका (स्त्री.)</t>
  </si>
  <si>
    <t>also called neutral wire</t>
  </si>
  <si>
    <t>तटस्थ</t>
  </si>
  <si>
    <t>neutral compensator</t>
  </si>
  <si>
    <t>तटस्थ प्रतिपूरी</t>
  </si>
  <si>
    <t>neutral conductor</t>
  </si>
  <si>
    <t>तटस्थ वाही</t>
  </si>
  <si>
    <t>neutral link</t>
  </si>
  <si>
    <t>तटस्थ कडी, तटस्थ दुवा</t>
  </si>
  <si>
    <t>neutral tongue relay</t>
  </si>
  <si>
    <t>तटस्थ जिव्हा पुनरेषी</t>
  </si>
  <si>
    <t>neutral wire</t>
  </si>
  <si>
    <t>तटस्थिका (स्त्री.), तटस्थ तार</t>
  </si>
  <si>
    <t>also called neutral</t>
  </si>
  <si>
    <t>neutral zone</t>
  </si>
  <si>
    <t>तटस्थ क्षेत्र</t>
  </si>
  <si>
    <t>neutralator</t>
  </si>
  <si>
    <t>तटस्थकारी (पु.)</t>
  </si>
  <si>
    <t>neutralisation</t>
  </si>
  <si>
    <t>निष्प्रभावन (न.)</t>
  </si>
  <si>
    <t>neutralised amplifier</t>
  </si>
  <si>
    <t>निष्प्रभावित प्रवर्धी</t>
  </si>
  <si>
    <t>neutrino</t>
  </si>
  <si>
    <t>शून्यिका (स्त्री.), न्यूट्रिनो (पु.)</t>
  </si>
  <si>
    <t>neutron</t>
  </si>
  <si>
    <t>कणिका (स्त्री.), न्यूट्रॉन (पु.)</t>
  </si>
  <si>
    <t>neutrosonic receiver</t>
  </si>
  <si>
    <t>तटस्थ स्वनी ग्राही</t>
  </si>
  <si>
    <t>night calling rate</t>
  </si>
  <si>
    <t>रात्र पाचारण दर</t>
  </si>
  <si>
    <t>night error</t>
  </si>
  <si>
    <t>निशा त्रुटि</t>
  </si>
  <si>
    <t>no load characteristic</t>
  </si>
  <si>
    <t>शून्यभार अभिलक्षण</t>
  </si>
  <si>
    <t>no load current</t>
  </si>
  <si>
    <t>शून्यभार धारा</t>
  </si>
  <si>
    <t>no load loss</t>
  </si>
  <si>
    <t>शून्यभार हानि</t>
  </si>
  <si>
    <t>no load magnetising current</t>
  </si>
  <si>
    <t>शून्यभार चुंबकन धारा</t>
  </si>
  <si>
    <t>no signal current</t>
  </si>
  <si>
    <t>शून्य संकेत धारा</t>
  </si>
  <si>
    <t>no volt protection</t>
  </si>
  <si>
    <t>ना व्होल्ट रक्षण</t>
  </si>
  <si>
    <t>no voltage release</t>
  </si>
  <si>
    <t>शून्य व्होल्टता विमोचनी</t>
  </si>
  <si>
    <t>nodal analysis</t>
  </si>
  <si>
    <t>गाठ विश्लेषण</t>
  </si>
  <si>
    <t>nodal point</t>
  </si>
  <si>
    <t>निस्पंद बिंदु, गाठ बिंदु</t>
  </si>
  <si>
    <t>nodaliser</t>
  </si>
  <si>
    <t>निस्पंदकारी (पु.)</t>
  </si>
  <si>
    <t>node</t>
  </si>
  <si>
    <t>१ (a point of zero current or zero voltage on a conductor) निस्पंद (पु.) २ (a junction point in a network) गाठ (स्त्री.)</t>
  </si>
  <si>
    <t>noise</t>
  </si>
  <si>
    <t>कुरव (पु.)</t>
  </si>
  <si>
    <t>noise factor</t>
  </si>
  <si>
    <t>कुरव अंक</t>
  </si>
  <si>
    <t>noise generator</t>
  </si>
  <si>
    <t>कुरव जनित्र</t>
  </si>
  <si>
    <t>noise in amplifier</t>
  </si>
  <si>
    <t>प्रवर्धीतील कुरव</t>
  </si>
  <si>
    <t>noise level</t>
  </si>
  <si>
    <t>कुरव पातळी</t>
  </si>
  <si>
    <t>noise limiter</t>
  </si>
  <si>
    <t>कुरव सीमाकारी</t>
  </si>
  <si>
    <t>noise reducing antenna</t>
  </si>
  <si>
    <t>कुरव अवकारी आकाशग</t>
  </si>
  <si>
    <t>nominal</t>
  </si>
  <si>
    <t>अभिहित</t>
  </si>
  <si>
    <t>nominal area</t>
  </si>
  <si>
    <t>अभिहित क्षेत्र</t>
  </si>
  <si>
    <t>nominal section</t>
  </si>
  <si>
    <t>अभिहित छेद</t>
  </si>
  <si>
    <t>nominal starting point</t>
  </si>
  <si>
    <t>अभिहित आरंभ बिंदु</t>
  </si>
  <si>
    <t>nominal steepnes of the wavefront</t>
  </si>
  <si>
    <t>तरंगमुखाची अभिहित प्रवणता</t>
  </si>
  <si>
    <t>non directional</t>
  </si>
  <si>
    <t>अदिशात्मक</t>
  </si>
  <si>
    <t>non dissipative network</t>
  </si>
  <si>
    <t>अपाकरणशून्य जालव्यूह</t>
  </si>
  <si>
    <t>non distructive read out</t>
  </si>
  <si>
    <t>अलोपकारी बहिर्वाचन</t>
  </si>
  <si>
    <t>non earthing</t>
  </si>
  <si>
    <t>भू असंपर्कन (न.)</t>
  </si>
  <si>
    <t>non executable statement</t>
  </si>
  <si>
    <t>अनिष्पाद्य विधान</t>
  </si>
  <si>
    <t>non ideal element</t>
  </si>
  <si>
    <t>अशुद्ध घटक</t>
  </si>
  <si>
    <t>non linear capacity</t>
  </si>
  <si>
    <t>अरेखीय धारिता</t>
  </si>
  <si>
    <t>non linear circuit</t>
  </si>
  <si>
    <t>अरेखीय परिपथ</t>
  </si>
  <si>
    <t>non linear distortion</t>
  </si>
  <si>
    <t>अरेखीय विकृति</t>
  </si>
  <si>
    <t>non linear network</t>
  </si>
  <si>
    <t>अरेखीय जालव्यूह</t>
  </si>
  <si>
    <t>non locking key</t>
  </si>
  <si>
    <t>पाशहीन कळ</t>
  </si>
  <si>
    <t>non oriented graph</t>
  </si>
  <si>
    <t>अदिष्ट आलेख</t>
  </si>
  <si>
    <t>non planagraph</t>
  </si>
  <si>
    <t>अप्रतल आलेख (पु.)</t>
  </si>
  <si>
    <t>non polarised relay</t>
  </si>
  <si>
    <t>अधुवित पुनरेषी</t>
  </si>
  <si>
    <t>non reactive load</t>
  </si>
  <si>
    <t>अप्रतिरोधीय भार, प्रतिरोधशून्य भार</t>
  </si>
  <si>
    <t>non reactive resistor</t>
  </si>
  <si>
    <t>अप्रतिरोध रोधी</t>
  </si>
  <si>
    <t>non resonant antenna</t>
  </si>
  <si>
    <t>संस्पंदनहीन आकाशग</t>
  </si>
  <si>
    <t>non salient</t>
  </si>
  <si>
    <t>अप्रकट</t>
  </si>
  <si>
    <t>non selective radiator</t>
  </si>
  <si>
    <t>अवरणीय प्रारी</t>
  </si>
  <si>
    <t>non synchronous motor</t>
  </si>
  <si>
    <t>non tension joint</t>
  </si>
  <si>
    <t>ताणशून्य जोड, ताणशून्य संधि, बिनताण जोड</t>
  </si>
  <si>
    <t>NOR gate</t>
  </si>
  <si>
    <t>नाथवा द्वार, नॉर द्वार</t>
  </si>
  <si>
    <t>norm</t>
  </si>
  <si>
    <t>प्रमाणक (न.)</t>
  </si>
  <si>
    <t>normal</t>
  </si>
  <si>
    <t>साधारण, सामान्य, प्रमाण</t>
  </si>
  <si>
    <t>normal behaviour of ionosphere</t>
  </si>
  <si>
    <t>आयनावरणाचे सामान्य वर्तन</t>
  </si>
  <si>
    <t>normal bend</t>
  </si>
  <si>
    <t>सामान्य वाक</t>
  </si>
  <si>
    <t>normal tree</t>
  </si>
  <si>
    <t>प्रमाण वृक्ष</t>
  </si>
  <si>
    <t>(also proper tree)</t>
  </si>
  <si>
    <t>normaliation</t>
  </si>
  <si>
    <t>प्रमाणीकरण (न.)</t>
  </si>
  <si>
    <t>Northrup furnace</t>
  </si>
  <si>
    <t>नॉर्थप भट्टी</t>
  </si>
  <si>
    <t>Norton's theorem</t>
  </si>
  <si>
    <t>नॉरटन प्रमेय</t>
  </si>
  <si>
    <t>nose suspension</t>
  </si>
  <si>
    <t>नोक निलंबन (न.), नासिकानिलंबन (न.)</t>
  </si>
  <si>
    <t>NOT gate</t>
  </si>
  <si>
    <t>न द्वार, नॉट द्वार</t>
  </si>
  <si>
    <t>notation</t>
  </si>
  <si>
    <t>लेखन (न.)</t>
  </si>
  <si>
    <t>notch</t>
  </si>
  <si>
    <t>खाच (स्त्री.)</t>
  </si>
  <si>
    <t>notch function</t>
  </si>
  <si>
    <t>खाच फल</t>
  </si>
  <si>
    <t>notching up period</t>
  </si>
  <si>
    <t>note</t>
  </si>
  <si>
    <t>स्वरक (पु.)</t>
  </si>
  <si>
    <t>note tuning</t>
  </si>
  <si>
    <t>स्वरक मेलन</t>
  </si>
  <si>
    <t>nuclear</t>
  </si>
  <si>
    <t>न्युक्लीय, अणुधर्मी, अणुगर्भीय, अणुगर्भ-</t>
  </si>
  <si>
    <t>nuclear energy</t>
  </si>
  <si>
    <t>न्युक्लीय ऊर्जा, अणुगर्भीय ऊर्जा</t>
  </si>
  <si>
    <t>nuclear fission</t>
  </si>
  <si>
    <t>न्युक्लीय विखंडन</t>
  </si>
  <si>
    <t>nuclear fusion</t>
  </si>
  <si>
    <t>न्युक्लीय एकीकरण</t>
  </si>
  <si>
    <t>nucleon</t>
  </si>
  <si>
    <t>गर्भिका (स्त्री.), न्यूक्लिऑन (पु.)</t>
  </si>
  <si>
    <t>nucleus</t>
  </si>
  <si>
    <t>गर्भ (पु.), अणुगर्भ (पु.)</t>
  </si>
  <si>
    <t>numerical height</t>
  </si>
  <si>
    <t>संख्यात्मक उंची</t>
  </si>
  <si>
    <t>numerical method</t>
  </si>
  <si>
    <t>संख्यात्मक पद्धति</t>
  </si>
  <si>
    <t>numerical selector</t>
  </si>
  <si>
    <t>संख्यात्मक वरणी</t>
  </si>
  <si>
    <t>numerkical distance</t>
  </si>
  <si>
    <t>संख्यात्मक अंतर</t>
  </si>
  <si>
    <t>Nyquist plot</t>
  </si>
  <si>
    <t>नायक्विस्ट आलेख</t>
  </si>
  <si>
    <t>Obach cell</t>
  </si>
  <si>
    <t>ओबाख घट</t>
  </si>
  <si>
    <t>obstruction light</t>
  </si>
  <si>
    <t>व्यत्यय दीप</t>
  </si>
  <si>
    <t>octave</t>
  </si>
  <si>
    <t>अष्टक (न.)</t>
  </si>
  <si>
    <t>octode</t>
  </si>
  <si>
    <t>ऑक्टोड (पु.), अष्टाग्री (पु.)</t>
  </si>
  <si>
    <t>octuple phantom circuit</t>
  </si>
  <si>
    <t>अष्टविध आभासी परिपथ</t>
  </si>
  <si>
    <t>odd function</t>
  </si>
  <si>
    <t>विषम फल</t>
  </si>
  <si>
    <t>odd harmonic</t>
  </si>
  <si>
    <t>विषम संवादिक</t>
  </si>
  <si>
    <t>oersted</t>
  </si>
  <si>
    <t>अर्स्टेड (न.)</t>
  </si>
  <si>
    <t>off circuit tap changer</t>
  </si>
  <si>
    <t>भाररहित शाखन वरणी, भाररहित शाखन बदलकारी</t>
  </si>
  <si>
    <t>off peak load</t>
  </si>
  <si>
    <t>शिखरेतर भार</t>
  </si>
  <si>
    <t>off peak tariff</t>
  </si>
  <si>
    <t>शिखरेतर प्रशुल्क</t>
  </si>
  <si>
    <t>ohm</t>
  </si>
  <si>
    <t>ओम (न.)</t>
  </si>
  <si>
    <t>ohmic drop</t>
  </si>
  <si>
    <t>ओमीय पात</t>
  </si>
  <si>
    <t>ohmic loss</t>
  </si>
  <si>
    <t>ओमीय हानि</t>
  </si>
  <si>
    <t>ohmic resistance</t>
  </si>
  <si>
    <t>ओमीय रोध</t>
  </si>
  <si>
    <t>ohmmeter</t>
  </si>
  <si>
    <t>ओममापी (पु.)</t>
  </si>
  <si>
    <t>oil circuit breaker</t>
  </si>
  <si>
    <t>तेल परिपथ वियोजी</t>
  </si>
  <si>
    <t>o.c.b.</t>
  </si>
  <si>
    <t>oil filled cable joint</t>
  </si>
  <si>
    <t>तेलपूरित केबल जोड</t>
  </si>
  <si>
    <t>oil immersed</t>
  </si>
  <si>
    <t>तेल निमज्जित</t>
  </si>
  <si>
    <t>oil insulated</t>
  </si>
  <si>
    <t>तेल निरोधित</t>
  </si>
  <si>
    <t>omnidirectional</t>
  </si>
  <si>
    <t>सर्वदिशात्मक</t>
  </si>
  <si>
    <t>omnidirectional aerial</t>
  </si>
  <si>
    <t>सर्वदिशात्मक आकाशग</t>
  </si>
  <si>
    <t>omnidirectional antenna</t>
  </si>
  <si>
    <t>सर्वदिशात्मक रडार द्योतक</t>
  </si>
  <si>
    <t>omnirange</t>
  </si>
  <si>
    <t>सर्वव्याप्ति (स्त्री.)</t>
  </si>
  <si>
    <t>omnirange system</t>
  </si>
  <si>
    <t>सर्वव्याप्ति पद्धति</t>
  </si>
  <si>
    <t>on</t>
  </si>
  <si>
    <t>चालू</t>
  </si>
  <si>
    <t>on load tap changer</t>
  </si>
  <si>
    <t>सभार शाखन वरणी, सभार शाखन बदलकारी</t>
  </si>
  <si>
    <t>on load tap changing</t>
  </si>
  <si>
    <t>सभार शाखांतरण</t>
  </si>
  <si>
    <t>on off control</t>
  </si>
  <si>
    <t>चालू बंद नियंत्रण</t>
  </si>
  <si>
    <t>on off keying</t>
  </si>
  <si>
    <t>चालू बंद कळीभरण</t>
  </si>
  <si>
    <t>ondograph</t>
  </si>
  <si>
    <t>तरंगलेखी (पु.)</t>
  </si>
  <si>
    <t>one to one transformer</t>
  </si>
  <si>
    <t>एकगुणोत्तर परिवर्तित्र</t>
  </si>
  <si>
    <t>one way</t>
  </si>
  <si>
    <t>एकमार्गी</t>
  </si>
  <si>
    <t>one way switch</t>
  </si>
  <si>
    <t>एकमार्गी स्विच</t>
  </si>
  <si>
    <t>opal glass</t>
  </si>
  <si>
    <t>उपल काच</t>
  </si>
  <si>
    <t>opal lamp</t>
  </si>
  <si>
    <t>उपल दीप</t>
  </si>
  <si>
    <t>open circuit</t>
  </si>
  <si>
    <t>खुला परिपथ</t>
  </si>
  <si>
    <t>open circuit voltage</t>
  </si>
  <si>
    <t>खुला परिपथ व्होल्टता</t>
  </si>
  <si>
    <t>open door loss</t>
  </si>
  <si>
    <t>खुले द्वार हानि</t>
  </si>
  <si>
    <t>open enclosure</t>
  </si>
  <si>
    <t>खुले परिवेष्टन</t>
  </si>
  <si>
    <t>open slot</t>
  </si>
  <si>
    <t>खुली खाच</t>
  </si>
  <si>
    <t>open type</t>
  </si>
  <si>
    <t>खुला प्रकार</t>
  </si>
  <si>
    <t>opening time</t>
  </si>
  <si>
    <t>वियोजन काल</t>
  </si>
  <si>
    <t>operating duty</t>
  </si>
  <si>
    <t>परिकर्म सेवा</t>
  </si>
  <si>
    <t>operating factor</t>
  </si>
  <si>
    <t>परिकर्म अंक</t>
  </si>
  <si>
    <t>operating point</t>
  </si>
  <si>
    <t>परिकर्म बिंदु</t>
  </si>
  <si>
    <t>operation</t>
  </si>
  <si>
    <t>परिकर्म (न.)</t>
  </si>
  <si>
    <t>operational amplifier</t>
  </si>
  <si>
    <t>परिकर्मीय प्रवर्धी</t>
  </si>
  <si>
    <t>operational calculus</t>
  </si>
  <si>
    <t>परिकर्मीय कलनशास्त्र</t>
  </si>
  <si>
    <t>operator</t>
  </si>
  <si>
    <t>चालक (पु.), परिकर्मआ (पु.)</t>
  </si>
  <si>
    <t>opposition</t>
  </si>
  <si>
    <t>विरोध (पु.)</t>
  </si>
  <si>
    <t>optical</t>
  </si>
  <si>
    <t>प्रकाशिकीय</t>
  </si>
  <si>
    <t>optics</t>
  </si>
  <si>
    <t>प्रकाशिकी (स्त्री.)</t>
  </si>
  <si>
    <t>optimisation</t>
  </si>
  <si>
    <t>इष्टतमीकरण (न.)</t>
  </si>
  <si>
    <t>optimum frequency</t>
  </si>
  <si>
    <t>इष्टतम वारंवारता</t>
  </si>
  <si>
    <t>optimum value</t>
  </si>
  <si>
    <t>इष्टतम मूल्य</t>
  </si>
  <si>
    <t>OR circuit</t>
  </si>
  <si>
    <t>अथवा द्वार, ऑर द्वार</t>
  </si>
  <si>
    <t>(in computer terminology synonym for OR gate)</t>
  </si>
  <si>
    <t>OR gate</t>
  </si>
  <si>
    <t>orbital beam tube</t>
  </si>
  <si>
    <t>कक्षीय शलाका नलिका</t>
  </si>
  <si>
    <t>order wire circuit</t>
  </si>
  <si>
    <t>आदेश तार परिपथ</t>
  </si>
  <si>
    <t>ordinary ray</t>
  </si>
  <si>
    <t>सामान्य किरण</t>
  </si>
  <si>
    <t>organiation</t>
  </si>
  <si>
    <t>संघटना (स्त्री.)</t>
  </si>
  <si>
    <t>oriented graph</t>
  </si>
  <si>
    <t>दिष्ट आलेख</t>
  </si>
  <si>
    <t>orthogonality</t>
  </si>
  <si>
    <t>लंबकोणीयता (स्त्री.)</t>
  </si>
  <si>
    <t>orthojector circuit breaker</t>
  </si>
  <si>
    <t>जात्यक्षेप परिपथ वियोजी</t>
  </si>
  <si>
    <t>oscillating current</t>
  </si>
  <si>
    <t>दोलायमानी धारा</t>
  </si>
  <si>
    <t>oscillating detector</t>
  </si>
  <si>
    <t>दोलन शोधी</t>
  </si>
  <si>
    <t>oscillation</t>
  </si>
  <si>
    <t>दोलन (न.)</t>
  </si>
  <si>
    <t>oscillation valve</t>
  </si>
  <si>
    <t>दोलन झडप</t>
  </si>
  <si>
    <t>oscillator</t>
  </si>
  <si>
    <t>दोली (पु.)</t>
  </si>
  <si>
    <t>oscillator circuit</t>
  </si>
  <si>
    <t>दोली परिपथ</t>
  </si>
  <si>
    <t>oscillator crystal</t>
  </si>
  <si>
    <t>दोली स्फटिक</t>
  </si>
  <si>
    <t>oscillator diode</t>
  </si>
  <si>
    <t>दोली डायोड</t>
  </si>
  <si>
    <t>oscillator for ultra high frequency</t>
  </si>
  <si>
    <t>परा उच्च वारंवारता दोली</t>
  </si>
  <si>
    <t>oscillator with amplitude control</t>
  </si>
  <si>
    <t>आयाम नियंत्रण दोली</t>
  </si>
  <si>
    <t>oscillator with resistance capacity tuning</t>
  </si>
  <si>
    <t>रोध क्षमता मेलन दोली</t>
  </si>
  <si>
    <t>oscillatory discharge</t>
  </si>
  <si>
    <t>दोलशील निर्भारण</t>
  </si>
  <si>
    <t>oscillogram</t>
  </si>
  <si>
    <t>दोलनलेख (पु.)</t>
  </si>
  <si>
    <t>oscillograph</t>
  </si>
  <si>
    <t>दोलनलेखी (पु.)</t>
  </si>
  <si>
    <t>oscilloscope</t>
  </si>
  <si>
    <t>दोलनदर्शी (पु.)</t>
  </si>
  <si>
    <t>oskcillating</t>
  </si>
  <si>
    <t>दोलायमान</t>
  </si>
  <si>
    <t>osmium filament</t>
  </si>
  <si>
    <t>ऑस्मिअम तंतु</t>
  </si>
  <si>
    <t>out of phase</t>
  </si>
  <si>
    <t>विषमप्रावस्थिक, अप्रावस्थी</t>
  </si>
  <si>
    <t>outcome</t>
  </si>
  <si>
    <t>निष्पत्ति (स्त्री.), निष्पन्न (न.)</t>
  </si>
  <si>
    <t>outdoor</t>
  </si>
  <si>
    <t>बहिर्गेही, बाह्य-</t>
  </si>
  <si>
    <t>outdoor street lighting</t>
  </si>
  <si>
    <t>बहिर्गेही रस्ता दीपन</t>
  </si>
  <si>
    <t>outdoor substation</t>
  </si>
  <si>
    <t>बहिर्गेही उपकेंद्र</t>
  </si>
  <si>
    <t>outgoing</t>
  </si>
  <si>
    <t>बहिर्गामी</t>
  </si>
  <si>
    <t>output</t>
  </si>
  <si>
    <t>प्रदान (न.)</t>
  </si>
  <si>
    <t>output capacitance</t>
  </si>
  <si>
    <t>प्रदान धारिता</t>
  </si>
  <si>
    <t>output circuit</t>
  </si>
  <si>
    <t>प्रदान परिपथ</t>
  </si>
  <si>
    <t>output coefficient</t>
  </si>
  <si>
    <t>विशिष्ट मोटना गुणांक</t>
  </si>
  <si>
    <t>also specific torque coefficient</t>
  </si>
  <si>
    <t>output impedance</t>
  </si>
  <si>
    <t>प्रदान संरोध</t>
  </si>
  <si>
    <t>output transformer</t>
  </si>
  <si>
    <t>प्रदान परिवर्तित्र</t>
  </si>
  <si>
    <t>output tube</t>
  </si>
  <si>
    <t>प्रदान नलिका</t>
  </si>
  <si>
    <t>output valve</t>
  </si>
  <si>
    <t>प्रदान झडप</t>
  </si>
  <si>
    <t>outside broadcast</t>
  </si>
  <si>
    <t>बाह्य परिक्षेपण</t>
  </si>
  <si>
    <t>outside temperature</t>
  </si>
  <si>
    <t>बाह्य तापमान</t>
  </si>
  <si>
    <t>over compounded generator</t>
  </si>
  <si>
    <t>अति संयुक्त जनित्र</t>
  </si>
  <si>
    <t>over compounded motor</t>
  </si>
  <si>
    <t>अति संयुक्त चलित्र</t>
  </si>
  <si>
    <t>over current</t>
  </si>
  <si>
    <t>अतिधारा (स्त्री.)</t>
  </si>
  <si>
    <t>over current relay</t>
  </si>
  <si>
    <t>अतिधारा पुनरेषी, अतिधारा रिले</t>
  </si>
  <si>
    <t>over current release</t>
  </si>
  <si>
    <t>अतिधारा विमोचनी</t>
  </si>
  <si>
    <t>overall efficiency</t>
  </si>
  <si>
    <t>एकूण कार्यक्षमता</t>
  </si>
  <si>
    <t>overcharge</t>
  </si>
  <si>
    <t>अतिप्रभार (पु.)</t>
  </si>
  <si>
    <t>overdamped</t>
  </si>
  <si>
    <t>अति अवमंदित</t>
  </si>
  <si>
    <t>overexcited synchronous motor</t>
  </si>
  <si>
    <t>अतिउत्तेजित संकालिक चलित्र</t>
  </si>
  <si>
    <t>overhang</t>
  </si>
  <si>
    <t>प्रलंबी (पु.)</t>
  </si>
  <si>
    <t>overhead</t>
  </si>
  <si>
    <t>उपरि-</t>
  </si>
  <si>
    <t>overhead cable</t>
  </si>
  <si>
    <t>उपरि केबल</t>
  </si>
  <si>
    <t>overhead contact system</t>
  </si>
  <si>
    <t>उपरि संपर्क पद्धति</t>
  </si>
  <si>
    <t>overhead line</t>
  </si>
  <si>
    <t>उपरि तार</t>
  </si>
  <si>
    <t>overhead steelwork</t>
  </si>
  <si>
    <t>उपरि पोलादकाम</t>
  </si>
  <si>
    <t>overhead transmission line</t>
  </si>
  <si>
    <t>उपरि पारेषण तारमार्ग</t>
  </si>
  <si>
    <t>overlap span</t>
  </si>
  <si>
    <t>अतिव्याप्त विस्तृति</t>
  </si>
  <si>
    <t>also section gap</t>
  </si>
  <si>
    <t>overlap test</t>
  </si>
  <si>
    <t>अतिव्याप्त चाचणी, अतिव्याप्त परीक्षण</t>
  </si>
  <si>
    <t>overload</t>
  </si>
  <si>
    <t>अतिभार (पु.)</t>
  </si>
  <si>
    <t>overload capacity</t>
  </si>
  <si>
    <t>अतिभार क्षमता</t>
  </si>
  <si>
    <t>overload capacity factor</t>
  </si>
  <si>
    <t>अतिभार क्षमता अंक</t>
  </si>
  <si>
    <t>overload circuit</t>
  </si>
  <si>
    <t>अतिभार परिपथ</t>
  </si>
  <si>
    <t>overload protective system</t>
  </si>
  <si>
    <t>अतिभार रक्षण पद्धति</t>
  </si>
  <si>
    <t>overload relay</t>
  </si>
  <si>
    <t>अतिभार पुनरेषी, अतिभार रिले</t>
  </si>
  <si>
    <t>overload trip</t>
  </si>
  <si>
    <t>अतिभार सटक</t>
  </si>
  <si>
    <t>overloading</t>
  </si>
  <si>
    <t>अतिभारण (न.)</t>
  </si>
  <si>
    <t>overmodulation</t>
  </si>
  <si>
    <t>अतिआपरिवर्तन (न.)</t>
  </si>
  <si>
    <t>overspeed</t>
  </si>
  <si>
    <t>अतिचाल</t>
  </si>
  <si>
    <t>overspeed governor</t>
  </si>
  <si>
    <t>अतिचाल नियंत्री</t>
  </si>
  <si>
    <t>overspeed protection</t>
  </si>
  <si>
    <t>अतिचाल रक्षण</t>
  </si>
  <si>
    <t>overthrow</t>
  </si>
  <si>
    <t>क्षेप (पु.)</t>
  </si>
  <si>
    <t>overtravel</t>
  </si>
  <si>
    <t>अतिविचरण (न.)</t>
  </si>
  <si>
    <t>overvoltage</t>
  </si>
  <si>
    <t>अतिव्होल्टता (स्त्री.)</t>
  </si>
  <si>
    <t>owen bridge</t>
  </si>
  <si>
    <t>ओवेन सेतु</t>
  </si>
  <si>
    <t>oxidation</t>
  </si>
  <si>
    <t>ऑक्सिडीकरण (न.)</t>
  </si>
  <si>
    <t>oxide coated cathode</t>
  </si>
  <si>
    <t>ऑक्साइड विलेपित कॅथोड</t>
  </si>
  <si>
    <t>oxide film</t>
  </si>
  <si>
    <t>ऑक्साइड तवंग</t>
  </si>
  <si>
    <t>oxide film arrester</t>
  </si>
  <si>
    <t>ऑक्साइड तवंग प्रग्राही</t>
  </si>
  <si>
    <t>P N P transistor</t>
  </si>
  <si>
    <t>P N P ट्रान्झिस्टर</t>
  </si>
  <si>
    <t>P type semi conductor</t>
  </si>
  <si>
    <t>P प्रकार अर्धवाही</t>
  </si>
  <si>
    <t>P.V.C. cable</t>
  </si>
  <si>
    <t>पी.व्ही.सी. केबल</t>
  </si>
  <si>
    <t>poly vinyl chloride cable</t>
  </si>
  <si>
    <t>package airconditioner</t>
  </si>
  <si>
    <t>सघन वातानुकूलक</t>
  </si>
  <si>
    <t>packaged magnetron</t>
  </si>
  <si>
    <t>सघन मॅग्नेट्रॉन</t>
  </si>
  <si>
    <t>packaged type unit</t>
  </si>
  <si>
    <t>सघन संच</t>
  </si>
  <si>
    <t>pad</t>
  </si>
  <si>
    <t>पॅड (न.)</t>
  </si>
  <si>
    <t>padder</t>
  </si>
  <si>
    <t>पॅडर (पु.)</t>
  </si>
  <si>
    <t>page effect</t>
  </si>
  <si>
    <t>पेज प्रभाव</t>
  </si>
  <si>
    <t>pair production</t>
  </si>
  <si>
    <t>युगल निर्मिति</t>
  </si>
  <si>
    <t>pairing</t>
  </si>
  <si>
    <t>युगलदोष (पु.)</t>
  </si>
  <si>
    <t>panel</t>
  </si>
  <si>
    <t>panel switch</t>
  </si>
  <si>
    <t>फलक स्विच (न.)</t>
  </si>
  <si>
    <t>pantagraph</t>
  </si>
  <si>
    <t>पंजा (पु.)</t>
  </si>
  <si>
    <t>also pantograph</t>
  </si>
  <si>
    <t>paper capacitor</t>
  </si>
  <si>
    <t>कागद धारी</t>
  </si>
  <si>
    <t>paper insulated power cable</t>
  </si>
  <si>
    <t>कागद निरोधित शक्ति केबल</t>
  </si>
  <si>
    <t>parabolic</t>
  </si>
  <si>
    <t>अन्वस्तीय, अन्वस्ती, अन्वस्त-</t>
  </si>
  <si>
    <t>parabolic antenna</t>
  </si>
  <si>
    <t>अन्वस्तीय आकाशग</t>
  </si>
  <si>
    <t>parabolic reflector</t>
  </si>
  <si>
    <t>अन्वस्तीय परावर्ती, अन्वस्तीय परावर्तक</t>
  </si>
  <si>
    <t>paradox</t>
  </si>
  <si>
    <t>विरोधाभास (पु.)</t>
  </si>
  <si>
    <t>parafeed coupling</t>
  </si>
  <si>
    <t>पराप्रदाय युग्मन</t>
  </si>
  <si>
    <t>parallel feed</t>
  </si>
  <si>
    <t>पार्श्वपथ प्रदाय</t>
  </si>
  <si>
    <t>also shunt feed</t>
  </si>
  <si>
    <t>parallel operation of generator</t>
  </si>
  <si>
    <t>जनित्राचे समांतर परिकर्म</t>
  </si>
  <si>
    <t>parallel opertion</t>
  </si>
  <si>
    <t>समांतर परिकर्म</t>
  </si>
  <si>
    <t>parallel resonant circuit</t>
  </si>
  <si>
    <t>समांतर संस्पंदी परिपथ</t>
  </si>
  <si>
    <t>parallel system of distribution</t>
  </si>
  <si>
    <t>समांतर वितरण पद्धति</t>
  </si>
  <si>
    <t>parallel working</t>
  </si>
  <si>
    <t>समांतर कार्य</t>
  </si>
  <si>
    <t>paramagnetic</t>
  </si>
  <si>
    <t>पराचुंबकीय</t>
  </si>
  <si>
    <t>parameter</t>
  </si>
  <si>
    <t>१ परामूल्य (न.) २ प्राचल (पु.)</t>
  </si>
  <si>
    <t>parametric amplifier</t>
  </si>
  <si>
    <t>परामूल्य प्रवर्धी</t>
  </si>
  <si>
    <t>paraphase</t>
  </si>
  <si>
    <t>पराकला (स्त्री.)</t>
  </si>
  <si>
    <t>paraphase amplifier</t>
  </si>
  <si>
    <t>पराकला प्रवर्धी</t>
  </si>
  <si>
    <t>parasitic</t>
  </si>
  <si>
    <t>परजीविक, परजीवी-, पराश्रयी-</t>
  </si>
  <si>
    <t>parasitic aerial</t>
  </si>
  <si>
    <t>पराश्रयी आकाशग</t>
  </si>
  <si>
    <t>parasitic antenna</t>
  </si>
  <si>
    <t>parasitic factor</t>
  </si>
  <si>
    <t>परजीवी अंक</t>
  </si>
  <si>
    <t>parasitic load</t>
  </si>
  <si>
    <t>परजीवी भार</t>
  </si>
  <si>
    <t>parasitic oscillation</t>
  </si>
  <si>
    <t>पराश्रयी दोलन</t>
  </si>
  <si>
    <t>parasitic stopper</t>
  </si>
  <si>
    <t>पराश्रय प्रतिबंधी</t>
  </si>
  <si>
    <t>part</t>
  </si>
  <si>
    <t>भाग (पु.)</t>
  </si>
  <si>
    <t>part time rating</t>
  </si>
  <si>
    <t>अंशकालिक निर्धारण</t>
  </si>
  <si>
    <t>particle</t>
  </si>
  <si>
    <t>particle accelerator</t>
  </si>
  <si>
    <t>कण त्वरक</t>
  </si>
  <si>
    <t>particle counters and detectors</t>
  </si>
  <si>
    <t>कण गणनी आणि शोधी (पु.अ.व.)</t>
  </si>
  <si>
    <t>partition noise</t>
  </si>
  <si>
    <t>विभाजन कुरव</t>
  </si>
  <si>
    <t>passive aerial</t>
  </si>
  <si>
    <t>क्रियाशून्य आकाशग</t>
  </si>
  <si>
    <t>passive network</t>
  </si>
  <si>
    <t>क्रियाशून्य जालव्यूह</t>
  </si>
  <si>
    <t>passive transducer</t>
  </si>
  <si>
    <t>क्रियाशून्य पारणी</t>
  </si>
  <si>
    <t>passivity</t>
  </si>
  <si>
    <t>क्रियाशून्यता (स्त्री.)</t>
  </si>
  <si>
    <t>patrolling the line</t>
  </si>
  <si>
    <t>तारमार्गावरील गस्त</t>
  </si>
  <si>
    <t>pattern</t>
  </si>
  <si>
    <t>१ आदिरुप (न.) २ प्रतिरुप (न.)</t>
  </si>
  <si>
    <t>pattern generator</t>
  </si>
  <si>
    <t>आदिरुप जनित्र</t>
  </si>
  <si>
    <t>peak</t>
  </si>
  <si>
    <t>शिखा (स्त्री.), शिखर (न.), शीर्ष (न.)</t>
  </si>
  <si>
    <t>peak chopper</t>
  </si>
  <si>
    <t>शिखा खंडकारी</t>
  </si>
  <si>
    <t>peak clipping</t>
  </si>
  <si>
    <t>शिखा छाट</t>
  </si>
  <si>
    <t>peak factor</t>
  </si>
  <si>
    <t>peak inverse voltage</t>
  </si>
  <si>
    <t>शिखा व्यस्त व्होल्टता</t>
  </si>
  <si>
    <t>peak limiter</t>
  </si>
  <si>
    <t>शिखा सीमाकारी, शिखर सीमाकारी</t>
  </si>
  <si>
    <t>peak line chopper</t>
  </si>
  <si>
    <t>शिखारेषा खंडकारी</t>
  </si>
  <si>
    <t>peak load</t>
  </si>
  <si>
    <t>शिखा भार</t>
  </si>
  <si>
    <t>peak power</t>
  </si>
  <si>
    <t>शिखा शक्ति</t>
  </si>
  <si>
    <t>peak to peak</t>
  </si>
  <si>
    <t>शिखा ते शिखा</t>
  </si>
  <si>
    <t>peak to peak value</t>
  </si>
  <si>
    <t>peak vacuum tube voltmeter</t>
  </si>
  <si>
    <t>शिखा निर्वात नलिका नलिका व्होल्टमापी</t>
  </si>
  <si>
    <t>peak value</t>
  </si>
  <si>
    <t>शिखा मूल्य</t>
  </si>
  <si>
    <t>peak white</t>
  </si>
  <si>
    <t>शुभ्र शिखर</t>
  </si>
  <si>
    <t>peaking coil</t>
  </si>
  <si>
    <t>शिखाकारी कुंडल</t>
  </si>
  <si>
    <t>peaking transformer</t>
  </si>
  <si>
    <t>शिखाकारी परिवर्तित्र</t>
  </si>
  <si>
    <t>pearl lamp</t>
  </si>
  <si>
    <t>pedestal fan</t>
  </si>
  <si>
    <t>पादपीठ पंखा</t>
  </si>
  <si>
    <t>pendant</t>
  </si>
  <si>
    <t>निलंबी (पु.)</t>
  </si>
  <si>
    <t>also pendent</t>
  </si>
  <si>
    <t>pendant fitting</t>
  </si>
  <si>
    <t>निलंबी जुळण</t>
  </si>
  <si>
    <t>pendant switch</t>
  </si>
  <si>
    <t>निलंबी स्विच</t>
  </si>
  <si>
    <t>penetrating</t>
  </si>
  <si>
    <t>प्रभेदी</t>
  </si>
  <si>
    <t>penetrating rays</t>
  </si>
  <si>
    <t>प्रभेदी किरण (पु.अ.व.)</t>
  </si>
  <si>
    <t>also heard rays</t>
  </si>
  <si>
    <t>penetration</t>
  </si>
  <si>
    <t>प्रभेदन (न.)</t>
  </si>
  <si>
    <t>penetration of waves into ground</t>
  </si>
  <si>
    <t>तरंगांचे भूप्रभेदन</t>
  </si>
  <si>
    <t>pentagrid</t>
  </si>
  <si>
    <t>पेंटाग्रिड (न.), पंचजाल (न.)</t>
  </si>
  <si>
    <t>pentagrid convertor</t>
  </si>
  <si>
    <t>पेंटाग्रिड रुपांतरित्र, पंचजाल रुपांतरित्र</t>
  </si>
  <si>
    <t>pentagrid mixer</t>
  </si>
  <si>
    <t>पेंटाग्रिड मिश्रक, पंचजाल मिश्रक</t>
  </si>
  <si>
    <t>pentode</t>
  </si>
  <si>
    <t>पँटोड (पु.), पंचाग्री (पु.)</t>
  </si>
  <si>
    <t>per phase impedance</t>
  </si>
  <si>
    <t>प्रति प्रावस्था संरोध</t>
  </si>
  <si>
    <t>percentage modulation</t>
  </si>
  <si>
    <t>प्रतिशत आपरिवर्तन</t>
  </si>
  <si>
    <t>perceptible</t>
  </si>
  <si>
    <t>इंद्रियग्राह्य</t>
  </si>
  <si>
    <t>perfect diffuser</t>
  </si>
  <si>
    <t>पूर्ण विसारक, आदर्श विसारक</t>
  </si>
  <si>
    <t>perforated</t>
  </si>
  <si>
    <t>छिद्रित</t>
  </si>
  <si>
    <t>perforator</t>
  </si>
  <si>
    <t>छिद्रक (पु.)</t>
  </si>
  <si>
    <t>period</t>
  </si>
  <si>
    <t>काल (पु.), अवधि (पु.)</t>
  </si>
  <si>
    <t>periodic</t>
  </si>
  <si>
    <t>आवर्ती, आवृत्ति-</t>
  </si>
  <si>
    <t>periodic function</t>
  </si>
  <si>
    <t>आवर्ती फल</t>
  </si>
  <si>
    <t>periodic time</t>
  </si>
  <si>
    <t>आवृत्ति काल</t>
  </si>
  <si>
    <t>permalloy</t>
  </si>
  <si>
    <t>पार्यमिश्रधातु (पु.)</t>
  </si>
  <si>
    <t>permanent magnet</t>
  </si>
  <si>
    <t>चिर चुंबक</t>
  </si>
  <si>
    <t>permanent magnet focusing</t>
  </si>
  <si>
    <t>चिर चुंबक नाभीयन</t>
  </si>
  <si>
    <t>permanent magnet moving coil instrument</t>
  </si>
  <si>
    <t>चिर चुंबक चल कुंडल उपकरण</t>
  </si>
  <si>
    <t>permeability</t>
  </si>
  <si>
    <t>पार्यता (स्त्री.)</t>
  </si>
  <si>
    <t>permeability tuning</t>
  </si>
  <si>
    <t>पार्यता मेलन</t>
  </si>
  <si>
    <t>permeance</t>
  </si>
  <si>
    <t>पार्यमाण (न.)</t>
  </si>
  <si>
    <t>permissible current density</t>
  </si>
  <si>
    <t>अनुज्ञेय धारा घनता</t>
  </si>
  <si>
    <t>permissible distance</t>
  </si>
  <si>
    <t>सूट अंतर</t>
  </si>
  <si>
    <t>permissible luminance</t>
  </si>
  <si>
    <t>अनुज्ञेय दीप्ति</t>
  </si>
  <si>
    <t>permittivity</t>
  </si>
  <si>
    <t>पारगम्यता (स्त्री.)</t>
  </si>
  <si>
    <t>perpendicular</t>
  </si>
  <si>
    <t>लंब (पु.)</t>
  </si>
  <si>
    <t>perphase</t>
  </si>
  <si>
    <t>प्रति प्रावस्था (स्त्री.)</t>
  </si>
  <si>
    <t>persistence</t>
  </si>
  <si>
    <t>सातत्य (न.)</t>
  </si>
  <si>
    <t>persistence of vision</t>
  </si>
  <si>
    <t>दृष्टिसातत्य</t>
  </si>
  <si>
    <t>ph value</t>
  </si>
  <si>
    <t>ph मूल्य</t>
  </si>
  <si>
    <t>phantom</t>
  </si>
  <si>
    <t>आभासी</t>
  </si>
  <si>
    <t>phase</t>
  </si>
  <si>
    <t>कला (स्त्री.). प्रावस्था (स्त्री.)</t>
  </si>
  <si>
    <t>phase advancer</t>
  </si>
  <si>
    <t>प्रावस्था अग्रिज</t>
  </si>
  <si>
    <t>phase advancing</t>
  </si>
  <si>
    <t>प्रावस्था अग्रेसरण</t>
  </si>
  <si>
    <t>phase and delay characteristics of amplifier</t>
  </si>
  <si>
    <t>प्रवर्धीची प्रावस्था व विलंब अभिलक्षणे (न.अ.व.)</t>
  </si>
  <si>
    <t>phase angle</t>
  </si>
  <si>
    <t>प्रावस्था कोन</t>
  </si>
  <si>
    <t>phase angle control</t>
  </si>
  <si>
    <t>प्रावस्था कोन नियंत्रण</t>
  </si>
  <si>
    <t>phase characteristic</t>
  </si>
  <si>
    <t>प्रावस्था अभिलक्षण</t>
  </si>
  <si>
    <t>phase constant</t>
  </si>
  <si>
    <t>प्रावस्था स्थिरांक</t>
  </si>
  <si>
    <t>phase convertor</t>
  </si>
  <si>
    <t>प्रावस्था रुपांतरित्र</t>
  </si>
  <si>
    <t>phase convertor locomotive</t>
  </si>
  <si>
    <t>प्रावस्था रुपांतरित्र रुळयंत्र, प्रावस्था रुपांतरित्र लोहमार्ग इंजिन</t>
  </si>
  <si>
    <t>phase delay</t>
  </si>
  <si>
    <t>प्रावस्था विलंब</t>
  </si>
  <si>
    <t>phase difference</t>
  </si>
  <si>
    <t>प्रावस्था अंतर</t>
  </si>
  <si>
    <t>phase distortion</t>
  </si>
  <si>
    <t>प्रावस्था विकृति</t>
  </si>
  <si>
    <t>phase distortion amplifier</t>
  </si>
  <si>
    <t>प्रावस्था विकृति प्रवर्धी</t>
  </si>
  <si>
    <t>phase effect</t>
  </si>
  <si>
    <t>प्रावस्था प्रभाव</t>
  </si>
  <si>
    <t>phase equaliser</t>
  </si>
  <si>
    <t>प्रावस्था समकारी</t>
  </si>
  <si>
    <t>phase equalising</t>
  </si>
  <si>
    <t>प्रावस्था समकरण</t>
  </si>
  <si>
    <t>phase equalising network</t>
  </si>
  <si>
    <t>प्रावस्था समकारी जालव्यूह</t>
  </si>
  <si>
    <t>phase inverter</t>
  </si>
  <si>
    <t>प्रावस्था व्यस्तकारी</t>
  </si>
  <si>
    <t>phase measurement</t>
  </si>
  <si>
    <t>प्रावस्था मापन</t>
  </si>
  <si>
    <t>phase modulated signal</t>
  </si>
  <si>
    <t>प्रावस्था आपरिवर्तित संकेत</t>
  </si>
  <si>
    <t>phase modulation</t>
  </si>
  <si>
    <t>प्रावस्था आपरिवर्तन</t>
  </si>
  <si>
    <t>phase reversal</t>
  </si>
  <si>
    <t>प्रावस्था व्युत्क्रमण</t>
  </si>
  <si>
    <t>phase sequence</t>
  </si>
  <si>
    <t>प्रावस्थाक्रम (पु.), प्रावस्था अनुक्रम (पु.)</t>
  </si>
  <si>
    <t>phase sequence indicator</t>
  </si>
  <si>
    <t>प्रावस्थाक्रम दर्शी</t>
  </si>
  <si>
    <t>phase shift</t>
  </si>
  <si>
    <t>प्रावस्था सृति</t>
  </si>
  <si>
    <t>phase shift oscillator</t>
  </si>
  <si>
    <t>प्रावस्था सृति दोली</t>
  </si>
  <si>
    <t>phase shifter</t>
  </si>
  <si>
    <t>प्रावस्था सृतिकारी</t>
  </si>
  <si>
    <t>phase shifting transformer</t>
  </si>
  <si>
    <t>प्रावस्था सृति परिवर्तित्र</t>
  </si>
  <si>
    <t>phase splitter</t>
  </si>
  <si>
    <t>प्रावस्था विभाजी</t>
  </si>
  <si>
    <t>phase swinging</t>
  </si>
  <si>
    <t>प्रावस्था दोलन</t>
  </si>
  <si>
    <t>phase velocity</t>
  </si>
  <si>
    <t>प्रावस्था वेग</t>
  </si>
  <si>
    <t>phase voltage</t>
  </si>
  <si>
    <t>प्रावस्था व्होल्टता, कला व्होल्टता</t>
  </si>
  <si>
    <t>phasing out</t>
  </si>
  <si>
    <t>प्रावस्था निश्चिति (स्त्री.)</t>
  </si>
  <si>
    <t>phasor</t>
  </si>
  <si>
    <t>प्रादिश (पु.)</t>
  </si>
  <si>
    <t>phatastron</t>
  </si>
  <si>
    <t>फॅन्टास्ट्रॉन (पु.)</t>
  </si>
  <si>
    <t>phenomenon</t>
  </si>
  <si>
    <t>घटना (स्त्री.)</t>
  </si>
  <si>
    <t>phon</t>
  </si>
  <si>
    <t>फोन (न.)</t>
  </si>
  <si>
    <t>phone</t>
  </si>
  <si>
    <t>ध्वनियंत्र (न.)</t>
  </si>
  <si>
    <t>phosphor</t>
  </si>
  <si>
    <t>स्फुरक (पु.)</t>
  </si>
  <si>
    <t>phosphorescence</t>
  </si>
  <si>
    <t>स्फुरदीप्ति (स्त्री.)</t>
  </si>
  <si>
    <t>phosphorescent</t>
  </si>
  <si>
    <t>स्फुरदीप्त</t>
  </si>
  <si>
    <t>photo cathode</t>
  </si>
  <si>
    <t>प्रकाश कॅथोड (पु.)</t>
  </si>
  <si>
    <t>photo conductive cell</t>
  </si>
  <si>
    <t>प्रकाशवाही घट</t>
  </si>
  <si>
    <t>photo electric cell</t>
  </si>
  <si>
    <t>प्रकाश विद्युत घट</t>
  </si>
  <si>
    <t>photo emission</t>
  </si>
  <si>
    <t>प्रकाश उत्सर्जन (न.)</t>
  </si>
  <si>
    <t>photo emissive cell</t>
  </si>
  <si>
    <t>प्रकाश उत्सर्जनघट</t>
  </si>
  <si>
    <t>photo excitation</t>
  </si>
  <si>
    <t>प्रकाश उत्तेजन</t>
  </si>
  <si>
    <t>photo-current</t>
  </si>
  <si>
    <t>प्रकाशधारा (स्त्री.)</t>
  </si>
  <si>
    <t>photocell</t>
  </si>
  <si>
    <t>प्रकाशघट (पु.)</t>
  </si>
  <si>
    <t>photochemical cell</t>
  </si>
  <si>
    <t>प्रकाशरासायनिक घट</t>
  </si>
  <si>
    <t>photoconduction</t>
  </si>
  <si>
    <t>प्रकाशवहन (न.)</t>
  </si>
  <si>
    <t>photoconductive camera tube</t>
  </si>
  <si>
    <t>प्रकाशवाही कॅमेरा नलिका</t>
  </si>
  <si>
    <t>photodiode</t>
  </si>
  <si>
    <t>प्रकाश डायोड (पु.)</t>
  </si>
  <si>
    <t>photography</t>
  </si>
  <si>
    <t>छायालेखन (न.), प्रकाशलेखन (न.)</t>
  </si>
  <si>
    <t>photometer</t>
  </si>
  <si>
    <t>प्रकाशमापी (पु.)</t>
  </si>
  <si>
    <t>photometer head</t>
  </si>
  <si>
    <t>प्रकाशमापी शीर्ष</t>
  </si>
  <si>
    <t>photometric bench</t>
  </si>
  <si>
    <t>प्रकाशमितीय बाक, प्रकाशमितीय मंचक</t>
  </si>
  <si>
    <t>photometric integrator</t>
  </si>
  <si>
    <t>प्रकाशमितीय संकलनी</t>
  </si>
  <si>
    <t>photometric measurement</t>
  </si>
  <si>
    <t>प्रकाशमितीय मापन</t>
  </si>
  <si>
    <t>photometric surface</t>
  </si>
  <si>
    <t>प्रकाशमितीय पृष्ठ</t>
  </si>
  <si>
    <t>photometric test surface</t>
  </si>
  <si>
    <t>प्रकाशमितीय चाचणी पृष्ठ</t>
  </si>
  <si>
    <t>photometrical standard</t>
  </si>
  <si>
    <t>प्रकाशमितीय मानक</t>
  </si>
  <si>
    <t>photometrical sub-standard</t>
  </si>
  <si>
    <t>प्रकाशमितीय उपमानक</t>
  </si>
  <si>
    <t>photometry</t>
  </si>
  <si>
    <t>प्रकाशमिति (स्त्री.)</t>
  </si>
  <si>
    <t>photon</t>
  </si>
  <si>
    <t>प्रकाशिका (स्त्री.), फोटॉन (पु.)</t>
  </si>
  <si>
    <t>photon vision</t>
  </si>
  <si>
    <t>तीव्र प्रकाश दृष्टि</t>
  </si>
  <si>
    <t>phototransistor</t>
  </si>
  <si>
    <t>प्रकाशट्रान्झिस्टर (पु.)</t>
  </si>
  <si>
    <t>phototube</t>
  </si>
  <si>
    <t>प्रकाशनलिका (स्त्री.)</t>
  </si>
  <si>
    <t>photovoltaic cell</t>
  </si>
  <si>
    <t>प्रकाशव्होल्टता घट</t>
  </si>
  <si>
    <t>physical spectrophotometry</t>
  </si>
  <si>
    <t>भौतिक पिसारा प्रकाशमिति</t>
  </si>
  <si>
    <t>physical units</t>
  </si>
  <si>
    <t>भौतिक एकके (न.अ.व.)</t>
  </si>
  <si>
    <t>pi attenuator</t>
  </si>
  <si>
    <t>पाय क्षीणनकारी (पु.)</t>
  </si>
  <si>
    <t>pi connection</t>
  </si>
  <si>
    <t>पाय जोडणी (स्त्री.)</t>
  </si>
  <si>
    <t>pi filter</t>
  </si>
  <si>
    <t>पाय गाळणी (स्त्री.)</t>
  </si>
  <si>
    <t>pi network</t>
  </si>
  <si>
    <t>पाय जालव्यूह (पु.)</t>
  </si>
  <si>
    <t>pi section</t>
  </si>
  <si>
    <t>पाय विभाग (पु.)</t>
  </si>
  <si>
    <t>pick up</t>
  </si>
  <si>
    <t>१ उद्ग्रहण (न.) २ उद्ग्राही (पु.)</t>
  </si>
  <si>
    <t>pico farad</t>
  </si>
  <si>
    <t>पिको फॅरॅड (न.)</t>
  </si>
  <si>
    <t>picture element</t>
  </si>
  <si>
    <t>चित्र घटक</t>
  </si>
  <si>
    <t>picture frequency</t>
  </si>
  <si>
    <t>चित्र वारंवारता</t>
  </si>
  <si>
    <t>picture telegraphy</t>
  </si>
  <si>
    <t>चित्र दूरलेखन</t>
  </si>
  <si>
    <t>picture transmission</t>
  </si>
  <si>
    <t>चित्र पारेषण</t>
  </si>
  <si>
    <t>piezo electric transducer</t>
  </si>
  <si>
    <t>पीडविद्युत पारणी</t>
  </si>
  <si>
    <t>pile</t>
  </si>
  <si>
    <t>१ चिति (स्त्री.) २ राशि (स्त्री.), पुंज (पु.)</t>
  </si>
  <si>
    <t>pillow distortion</t>
  </si>
  <si>
    <t>वक्रायत विकृति</t>
  </si>
  <si>
    <t>(also pincushion distortion)</t>
  </si>
  <si>
    <t>pilot</t>
  </si>
  <si>
    <t>१ अभिदर्शी (पु.) २ आरंभिक (पु.) ३ सूचक (पु.)</t>
  </si>
  <si>
    <t>pilot exciter</t>
  </si>
  <si>
    <t>आरंभिक उत्तेजित्र</t>
  </si>
  <si>
    <t>pilot lamp</t>
  </si>
  <si>
    <t>सूचक दीप</t>
  </si>
  <si>
    <t>pilot lighting</t>
  </si>
  <si>
    <t>सूचक दीपन</t>
  </si>
  <si>
    <t>pilot motor</t>
  </si>
  <si>
    <t>अभिदर्शी चलित्र</t>
  </si>
  <si>
    <t>pilot wire</t>
  </si>
  <si>
    <t>अभिदर्शी तार</t>
  </si>
  <si>
    <t>pin insulator</t>
  </si>
  <si>
    <t>पिन निरोधी</t>
  </si>
  <si>
    <t>pin type bayonet cap</t>
  </si>
  <si>
    <t>पिनवाले संगीन टोपण</t>
  </si>
  <si>
    <t>pin type insulator</t>
  </si>
  <si>
    <t>pinch effect</t>
  </si>
  <si>
    <t>चिमटा प्रभाव, चिमटा परिणाम</t>
  </si>
  <si>
    <t>pincushion distortion</t>
  </si>
  <si>
    <t>pipe</t>
  </si>
  <si>
    <t>नलिका (स्त्री.). नळी (स्त्री.)</t>
  </si>
  <si>
    <t>pipe ventilated</t>
  </si>
  <si>
    <t>नलिका वातित</t>
  </si>
  <si>
    <t>pipe ventilated enclosure</t>
  </si>
  <si>
    <t>नलिका वातित परिवेष्टन</t>
  </si>
  <si>
    <t>pit</t>
  </si>
  <si>
    <t>तलकक्ष (पु.)</t>
  </si>
  <si>
    <t>pitch</t>
  </si>
  <si>
    <t>अभ्यंतर (न.)</t>
  </si>
  <si>
    <t>pitch factor</t>
  </si>
  <si>
    <t>अभ्यंतर अंक</t>
  </si>
  <si>
    <t>pivot</t>
  </si>
  <si>
    <t>केंद्रकील (पु.)</t>
  </si>
  <si>
    <t>pivot element</t>
  </si>
  <si>
    <t>केंद्रकील घटक</t>
  </si>
  <si>
    <t>pivot jaw</t>
  </si>
  <si>
    <t>केंद्रकील जंभ</t>
  </si>
  <si>
    <t>pivot joint box</t>
  </si>
  <si>
    <t>केंद्रकील जंभ जोडपेटी</t>
  </si>
  <si>
    <t>plain lead covered cable</t>
  </si>
  <si>
    <t>साधी शीसे कोषित केबल</t>
  </si>
  <si>
    <t>plan position indicator</t>
  </si>
  <si>
    <t>अनुविक्षेप स्थानदर्शी</t>
  </si>
  <si>
    <t>planargraph</t>
  </si>
  <si>
    <t>प्रतल आलेख (पु.)</t>
  </si>
  <si>
    <t>planck's constant</t>
  </si>
  <si>
    <t>प्लँक स्थिरांक</t>
  </si>
  <si>
    <t>plane</t>
  </si>
  <si>
    <t>प्रतल (पु.)</t>
  </si>
  <si>
    <t>plant</t>
  </si>
  <si>
    <t>संयंत्र (न.)</t>
  </si>
  <si>
    <t>plant load factor</t>
  </si>
  <si>
    <t>संयंत्र भार अंक</t>
  </si>
  <si>
    <t>plate</t>
  </si>
  <si>
    <t>पत्री (स्त्री.), पट्टिका (स्त्री.)</t>
  </si>
  <si>
    <t>plate battery</t>
  </si>
  <si>
    <t>पट्टिका बॅटरी</t>
  </si>
  <si>
    <t>plate detector</t>
  </si>
  <si>
    <t>पट्टिका शोधी</t>
  </si>
  <si>
    <t>plate input power</t>
  </si>
  <si>
    <t>plate modulation</t>
  </si>
  <si>
    <t>plate resistance</t>
  </si>
  <si>
    <t>पट्टिका रोध</t>
  </si>
  <si>
    <t>plate section</t>
  </si>
  <si>
    <t>पट्टिका विभाग (पु.)</t>
  </si>
  <si>
    <t>plate support</t>
  </si>
  <si>
    <t>पट्टिका आधार (पु.)</t>
  </si>
  <si>
    <t>plate voltage</t>
  </si>
  <si>
    <t>पट्टिका व्होल्टता</t>
  </si>
  <si>
    <t>platform lift</t>
  </si>
  <si>
    <t>फलाट उद्वाही</t>
  </si>
  <si>
    <t>play</t>
  </si>
  <si>
    <t>माया (स्त्री.)</t>
  </si>
  <si>
    <t>plug</t>
  </si>
  <si>
    <t>निग (पु.), प्लग (पु.)</t>
  </si>
  <si>
    <t>plug socket</t>
  </si>
  <si>
    <t>निग खोबण</t>
  </si>
  <si>
    <t>plugging</t>
  </si>
  <si>
    <t>निगन (न.)</t>
  </si>
  <si>
    <t>plumbing</t>
  </si>
  <si>
    <t>नळकाम (न.)</t>
  </si>
  <si>
    <t>plunger</t>
  </si>
  <si>
    <t>मुसली (पु.)</t>
  </si>
  <si>
    <t>plus tapping</t>
  </si>
  <si>
    <t>घन शाखन</t>
  </si>
  <si>
    <t>pneumatic</t>
  </si>
  <si>
    <t>वातिक</t>
  </si>
  <si>
    <t>pneumatic brush holder</t>
  </si>
  <si>
    <t>वातिक कुंचली धारक</t>
  </si>
  <si>
    <t>point</t>
  </si>
  <si>
    <t>बिंदु (पु.)</t>
  </si>
  <si>
    <t>point contact crystal diode</t>
  </si>
  <si>
    <t>बिंदु संपर्क स्फटिक डायोड</t>
  </si>
  <si>
    <t>point contact transistor</t>
  </si>
  <si>
    <t>बिंदु संपर्क ट्रान्झिस्टर</t>
  </si>
  <si>
    <t>point machine</t>
  </si>
  <si>
    <t>बिंदुयंत्र (न.)</t>
  </si>
  <si>
    <t>point source</t>
  </si>
  <si>
    <t>बिंदु प्रभव</t>
  </si>
  <si>
    <t>point to point communiction</t>
  </si>
  <si>
    <t>बिंदु ते बिंदु संचारण</t>
  </si>
  <si>
    <t>point to point method</t>
  </si>
  <si>
    <t>बिंदु ते बिंदु पद्धति</t>
  </si>
  <si>
    <t>pointer</t>
  </si>
  <si>
    <t>काटा (पु.)</t>
  </si>
  <si>
    <t>pointer instrument</t>
  </si>
  <si>
    <t>काटा उपकरण</t>
  </si>
  <si>
    <t>poisoning</t>
  </si>
  <si>
    <t>दूषीकरण (न.)</t>
  </si>
  <si>
    <t>polar curve</t>
  </si>
  <si>
    <t>धुवीय वक्र</t>
  </si>
  <si>
    <t>polar diagram</t>
  </si>
  <si>
    <t>धुवीय आकृति</t>
  </si>
  <si>
    <t>polarisation</t>
  </si>
  <si>
    <t>धुवण (न.), धुवीकरण (न.)</t>
  </si>
  <si>
    <t>polarisation antenna</t>
  </si>
  <si>
    <t>धुवीकरण आकाशग</t>
  </si>
  <si>
    <t>polarisation error</t>
  </si>
  <si>
    <t>धुवण त्रुटि</t>
  </si>
  <si>
    <t>polarity</t>
  </si>
  <si>
    <t>धुवता (स्त्री.)</t>
  </si>
  <si>
    <t>polarity of a lightning stroke</t>
  </si>
  <si>
    <t>तडित आघात धुवता</t>
  </si>
  <si>
    <t>Polaroid</t>
  </si>
  <si>
    <t>पोलॅरॉइड (पु.)</t>
  </si>
  <si>
    <t>pole</t>
  </si>
  <si>
    <t>१ धुव (पु.) (as in commutating pole संपरिवर्ती धुव) २ खांब (पु) (as in anchor pole स्थिरक खांब)</t>
  </si>
  <si>
    <t>pole arc flux factor</t>
  </si>
  <si>
    <t>धुवचाप अभिवाह अंक</t>
  </si>
  <si>
    <t>pole cap</t>
  </si>
  <si>
    <t>खांबटोप (पु.), खांबटोपी (स्त्री.)</t>
  </si>
  <si>
    <t>pole changing arrangement</t>
  </si>
  <si>
    <t>धुव बदल व्यवस्था</t>
  </si>
  <si>
    <t>pole changing motor</t>
  </si>
  <si>
    <t>धुव बदल चलित्र</t>
  </si>
  <si>
    <t>pole core</t>
  </si>
  <si>
    <t>धुव क्रोड</t>
  </si>
  <si>
    <t>pole flux</t>
  </si>
  <si>
    <t>धुव अभिवाह</t>
  </si>
  <si>
    <t>pole of impedance</t>
  </si>
  <si>
    <t>संरोध धुवबिंदु</t>
  </si>
  <si>
    <t>pole piece</t>
  </si>
  <si>
    <t>धुव खंड</t>
  </si>
  <si>
    <t>pole shank</t>
  </si>
  <si>
    <t>धुव तंगडी</t>
  </si>
  <si>
    <t>pole shoe</t>
  </si>
  <si>
    <t>धुव पादतल</t>
  </si>
  <si>
    <t>pole shoe skew factor</t>
  </si>
  <si>
    <t>धुव पादतल तिर्यकांक</t>
  </si>
  <si>
    <t>pole tip</t>
  </si>
  <si>
    <t>धुव टोक</t>
  </si>
  <si>
    <t>polygonal overhead equipment</t>
  </si>
  <si>
    <t>बहुभुजी उपरिसामग्री</t>
  </si>
  <si>
    <t>polynomial</t>
  </si>
  <si>
    <t>बहुपदी</t>
  </si>
  <si>
    <t>polyphase</t>
  </si>
  <si>
    <t>बहुप्रावस्था</t>
  </si>
  <si>
    <t>polyphase antenna</t>
  </si>
  <si>
    <t>बहुप्रावस्था आकाशग</t>
  </si>
  <si>
    <t>polyphase oscillator</t>
  </si>
  <si>
    <t>बहुप्रावस्था दोली</t>
  </si>
  <si>
    <t>polyphase rectifier</t>
  </si>
  <si>
    <t>बहुप्रावस्था दिष्टकारी</t>
  </si>
  <si>
    <t>polyphase rectifier circuit</t>
  </si>
  <si>
    <t>बहुप्रावस्था दिष्टकारी परिपथ</t>
  </si>
  <si>
    <t>polyphase transformer</t>
  </si>
  <si>
    <t>बहुप्रावस्था परिवर्तित्र</t>
  </si>
  <si>
    <t>pool</t>
  </si>
  <si>
    <t>कुंड (न.)</t>
  </si>
  <si>
    <t>porch</t>
  </si>
  <si>
    <t>अलिंद (न.)</t>
  </si>
  <si>
    <t>port</t>
  </si>
  <si>
    <t>गवाक्ष (पु.)</t>
  </si>
  <si>
    <t>portable</t>
  </si>
  <si>
    <t>सुवाह्य</t>
  </si>
  <si>
    <t>portable ammeter</t>
  </si>
  <si>
    <t>सुवाह्य ऍमीटर</t>
  </si>
  <si>
    <t>portable lamp</t>
  </si>
  <si>
    <t>सुवाह्य दीप</t>
  </si>
  <si>
    <t>portable moving coil ammeter</t>
  </si>
  <si>
    <t>सुवाह्य चलकुंडल ऍमीटर</t>
  </si>
  <si>
    <t>portable secondary battery</t>
  </si>
  <si>
    <t>सुवाह्य दुय्यम बॅटरी</t>
  </si>
  <si>
    <t>portable substation</t>
  </si>
  <si>
    <t>सुवाह्य उपकेंद्र</t>
  </si>
  <si>
    <t>position indicator</t>
  </si>
  <si>
    <t>स्थानदर्शी (पु.)</t>
  </si>
  <si>
    <t>position regenerator</t>
  </si>
  <si>
    <t>स्थान पुनर्जनित्र</t>
  </si>
  <si>
    <t>positive and negative feedback</t>
  </si>
  <si>
    <t>धन आणि ऋण पश्चप्रदाय</t>
  </si>
  <si>
    <t>positive brush</t>
  </si>
  <si>
    <t>धन कुंचला</t>
  </si>
  <si>
    <t>positive charge</t>
  </si>
  <si>
    <t>धन प्रभार</t>
  </si>
  <si>
    <t>positive feedback</t>
  </si>
  <si>
    <t>धन पश्चप्रदाय</t>
  </si>
  <si>
    <t>positive ion current</t>
  </si>
  <si>
    <t>धन आयन धारा</t>
  </si>
  <si>
    <t>positive picture modulation</t>
  </si>
  <si>
    <t>धन चित्र आपरिवर्तन</t>
  </si>
  <si>
    <t>positive real function</t>
  </si>
  <si>
    <t>धन वास्तव फल</t>
  </si>
  <si>
    <t>positron</t>
  </si>
  <si>
    <t>धनिका (स्त्री.), पॉसिट्रॉन (पु.)</t>
  </si>
  <si>
    <t>post deflection acceleration</t>
  </si>
  <si>
    <t>विक्षेपणोत्तर त्वरण</t>
  </si>
  <si>
    <t>post deflection cathode ray tube</t>
  </si>
  <si>
    <t>विक्षेपणोत्तर कॅथोड किरण नलिका</t>
  </si>
  <si>
    <t>post emphasis</t>
  </si>
  <si>
    <t>उत्तरावधारण (न.)</t>
  </si>
  <si>
    <t>post equalisation</t>
  </si>
  <si>
    <t>उत्तर समानीकरण (न.)</t>
  </si>
  <si>
    <t>potassium photocell</t>
  </si>
  <si>
    <t>पोटॅशियम प्रकाशघट</t>
  </si>
  <si>
    <t>potential</t>
  </si>
  <si>
    <t>१ विभव २ स्थितिज</t>
  </si>
  <si>
    <t>potential attenuator</t>
  </si>
  <si>
    <t>विभव क्षीणनकारी</t>
  </si>
  <si>
    <t>potential barrier</t>
  </si>
  <si>
    <t>विभव बांध</t>
  </si>
  <si>
    <t>potential divider</t>
  </si>
  <si>
    <t>विभव विभाजी</t>
  </si>
  <si>
    <t>potential drop</t>
  </si>
  <si>
    <t>विभव पात</t>
  </si>
  <si>
    <t>potential energy</t>
  </si>
  <si>
    <t>स्थितिज ऊर्जा</t>
  </si>
  <si>
    <t>potential gradient</t>
  </si>
  <si>
    <t>विभव प्रवणता</t>
  </si>
  <si>
    <t>potential hill</t>
  </si>
  <si>
    <t>विभव टेकडी</t>
  </si>
  <si>
    <t>potential indicator</t>
  </si>
  <si>
    <t>विभवदर्शी (पु.)</t>
  </si>
  <si>
    <t>potential transformer</t>
  </si>
  <si>
    <t>विभव परिवर्तित्र</t>
  </si>
  <si>
    <t>potentiometer</t>
  </si>
  <si>
    <t>विभवमापी (पु.)</t>
  </si>
  <si>
    <t>powder coated</t>
  </si>
  <si>
    <t>चूर्ण विलेपित</t>
  </si>
  <si>
    <t>powder core</t>
  </si>
  <si>
    <t>चूर्ण क्रोड</t>
  </si>
  <si>
    <t>power</t>
  </si>
  <si>
    <t>शक्ति (स्त्री.)</t>
  </si>
  <si>
    <t>power amplification</t>
  </si>
  <si>
    <t>शक्ति प्रवर्धन</t>
  </si>
  <si>
    <t>power amplifier</t>
  </si>
  <si>
    <t>शक्ति प्रवर्धी</t>
  </si>
  <si>
    <t>power attenuation</t>
  </si>
  <si>
    <t>शक्ति क्षीणन</t>
  </si>
  <si>
    <t>power component of volt amperes</t>
  </si>
  <si>
    <t>व्होल्टऍम्पिअरांचा शक्ति घटक</t>
  </si>
  <si>
    <t>power component of voltage</t>
  </si>
  <si>
    <t>व्होल्टतेचा शक्ति घटक</t>
  </si>
  <si>
    <t>power drum</t>
  </si>
  <si>
    <t>शक्ति विरंभ</t>
  </si>
  <si>
    <t>power factor</t>
  </si>
  <si>
    <t>शक्ति अंक</t>
  </si>
  <si>
    <t>power factor indicator</t>
  </si>
  <si>
    <t>शक्ति अंक दर्शी</t>
  </si>
  <si>
    <t>power failure</t>
  </si>
  <si>
    <t>शक्ति बिघाड</t>
  </si>
  <si>
    <t>power line</t>
  </si>
  <si>
    <t>शक्ति तार</t>
  </si>
  <si>
    <t>power measurement</t>
  </si>
  <si>
    <t>शक्ति मापन</t>
  </si>
  <si>
    <t>power of lens</t>
  </si>
  <si>
    <t>भिंग शक्ति</t>
  </si>
  <si>
    <t>power pack</t>
  </si>
  <si>
    <t>शक्ति सधन</t>
  </si>
  <si>
    <t>power station</t>
  </si>
  <si>
    <t>शक्ति केंद्र</t>
  </si>
  <si>
    <t>power steering motors</t>
  </si>
  <si>
    <t>शक्ति दिक् नियंत्रण चलित्रे (न.अ.व.)</t>
  </si>
  <si>
    <t>power supply system</t>
  </si>
  <si>
    <t>शक्ति पुरवठा पद्धति</t>
  </si>
  <si>
    <t>power transfer theorem</t>
  </si>
  <si>
    <t>शक्ति बदल प्रमेय</t>
  </si>
  <si>
    <t>power transformer</t>
  </si>
  <si>
    <t>शक्ति परिवर्तित्र</t>
  </si>
  <si>
    <t>power transmitting capacity</t>
  </si>
  <si>
    <t>शक्ति पारेषण क्षमता</t>
  </si>
  <si>
    <t>power tube</t>
  </si>
  <si>
    <t>शक्ति नलिका</t>
  </si>
  <si>
    <t>power utilisation ratio</t>
  </si>
  <si>
    <t>शक्ति उपयोगिता गुणोत्तर</t>
  </si>
  <si>
    <t>power valve</t>
  </si>
  <si>
    <t>शक्ति झडप</t>
  </si>
  <si>
    <t>powerful lens</t>
  </si>
  <si>
    <t>शक्तिशाली भिंग</t>
  </si>
  <si>
    <t>Poynting's vector</t>
  </si>
  <si>
    <t>पॉयटिंग सदिश</t>
  </si>
  <si>
    <t>practical unit</t>
  </si>
  <si>
    <t>व्यावहारिक एकक</t>
  </si>
  <si>
    <t>pre-amplifier</t>
  </si>
  <si>
    <t>पूर्व प्रवर्धी (पु.)</t>
  </si>
  <si>
    <t>pre-emphasis</t>
  </si>
  <si>
    <t>पूर्वावधारण (न.)</t>
  </si>
  <si>
    <t>pre-impregnated cable</t>
  </si>
  <si>
    <t>पूर्वव्यापित केबल</t>
  </si>
  <si>
    <t>pre-set</t>
  </si>
  <si>
    <t>पूर्वयोजित</t>
  </si>
  <si>
    <t>predetermined cycle</t>
  </si>
  <si>
    <t>पूर्वनिर्धारित चक्र</t>
  </si>
  <si>
    <t>predictor corrector method</t>
  </si>
  <si>
    <t>भाकित सुधार पद्धति</t>
  </si>
  <si>
    <t>prescribed scale of fittings</t>
  </si>
  <si>
    <t>जुळणींचे विहित प्रमाण</t>
  </si>
  <si>
    <t>preselector circuit</t>
  </si>
  <si>
    <t>पूर्ववरणी परिपथ</t>
  </si>
  <si>
    <t>pressure</t>
  </si>
  <si>
    <t>दाब (पु.)</t>
  </si>
  <si>
    <t>pressure condenser</t>
  </si>
  <si>
    <t>दाबधारी (पु.)</t>
  </si>
  <si>
    <t>preventive maintenance</t>
  </si>
  <si>
    <t>प्रतिबंधक परिरक्षण</t>
  </si>
  <si>
    <t>Price's guard wire</t>
  </si>
  <si>
    <t>प्राईसची रक्षी तार</t>
  </si>
  <si>
    <t>primary battery</t>
  </si>
  <si>
    <t>प्राथमिक बॅटरी</t>
  </si>
  <si>
    <t>primary cell</t>
  </si>
  <si>
    <t>प्राथमिक धट</t>
  </si>
  <si>
    <t>primary frequency standard</t>
  </si>
  <si>
    <t>प्राथमिक वारंवारता मानक</t>
  </si>
  <si>
    <t>primary luminous standard</t>
  </si>
  <si>
    <t>प्राथमिक दीप्तीय मानक</t>
  </si>
  <si>
    <t>primary winding</t>
  </si>
  <si>
    <t>प्राथमिक कुंडलन</t>
  </si>
  <si>
    <t>prime mover</t>
  </si>
  <si>
    <t>आदि गमित्र</t>
  </si>
  <si>
    <t>principal diagonal</t>
  </si>
  <si>
    <t>मुख्य कर्ण</t>
  </si>
  <si>
    <t>principal ray</t>
  </si>
  <si>
    <t>मुख्य किरण, प्रधान किरण</t>
  </si>
  <si>
    <t>principles of design</t>
  </si>
  <si>
    <t>संकल्पन तत्त्वे (न.अ.व.)</t>
  </si>
  <si>
    <t>printed circuit</t>
  </si>
  <si>
    <t>मुद्रित परिपथ</t>
  </si>
  <si>
    <t>prism</t>
  </si>
  <si>
    <t>कोनचिति (स्त्री.)</t>
  </si>
  <si>
    <t>privacy equipment</t>
  </si>
  <si>
    <t>गुप्तता सामग्री</t>
  </si>
  <si>
    <t>probe</t>
  </si>
  <si>
    <t>शोधाग्र (न.), प्रोब (न.)</t>
  </si>
  <si>
    <t>problem</t>
  </si>
  <si>
    <t>प्रश्न (पु.)</t>
  </si>
  <si>
    <t>process</t>
  </si>
  <si>
    <t>प्रक्रिया (स्त्री.)</t>
  </si>
  <si>
    <t>programme</t>
  </si>
  <si>
    <t>कार्यक्रम (पु.)</t>
  </si>
  <si>
    <t>programming</t>
  </si>
  <si>
    <t>कार्यक्रमण (न.)</t>
  </si>
  <si>
    <t>projected scale instrument</t>
  </si>
  <si>
    <t>प्रक्षेपित मापनी उपकरण</t>
  </si>
  <si>
    <t>projection</t>
  </si>
  <si>
    <t>१ प्रक्षेपण (न.) २ प्रक्षेप (पु.)</t>
  </si>
  <si>
    <t>projection resistance welding</t>
  </si>
  <si>
    <t>प्रक्षेप रोध सांधण</t>
  </si>
  <si>
    <t>projection welding die</t>
  </si>
  <si>
    <t>प्रक्षेप सांधण रुपदा</t>
  </si>
  <si>
    <t>projector</t>
  </si>
  <si>
    <t>प्रक्षेपी (पु.)</t>
  </si>
  <si>
    <t>projector type filament</t>
  </si>
  <si>
    <t>प्रक्षेपी तंतु</t>
  </si>
  <si>
    <t>proofed tape</t>
  </si>
  <si>
    <t>रक्षित फीत</t>
  </si>
  <si>
    <t>prop</t>
  </si>
  <si>
    <t>धिरा (पु.)</t>
  </si>
  <si>
    <t>propagation</t>
  </si>
  <si>
    <t>प्रसारण (न.), प्रचारण (न.)</t>
  </si>
  <si>
    <t>propagation in ionosphere</t>
  </si>
  <si>
    <t>आयनावरणातील प्रसारण</t>
  </si>
  <si>
    <t>proper tree</t>
  </si>
  <si>
    <t>protection</t>
  </si>
  <si>
    <t>रक्षण (न.)</t>
  </si>
  <si>
    <t>protective</t>
  </si>
  <si>
    <t>रक्षी</t>
  </si>
  <si>
    <t>protective system</t>
  </si>
  <si>
    <t>रक्षण पद्धति, रक्षी पद्धति</t>
  </si>
  <si>
    <t>protector</t>
  </si>
  <si>
    <t>protector tube</t>
  </si>
  <si>
    <t>रक्षी नलिका</t>
  </si>
  <si>
    <t>proton</t>
  </si>
  <si>
    <t>प्रणिका (स्त्री.), प्रोटॉन (पु.)</t>
  </si>
  <si>
    <t>prototype</t>
  </si>
  <si>
    <t>पूर्वरुप (न.)</t>
  </si>
  <si>
    <t>proximity effect</t>
  </si>
  <si>
    <t>सान्निध्य परिणाम</t>
  </si>
  <si>
    <t>pseudo Brewster angle</t>
  </si>
  <si>
    <t>आभासी बुस्टर कोन</t>
  </si>
  <si>
    <t>pseudo positive real function</t>
  </si>
  <si>
    <t>आभासी धन वास्तव फल</t>
  </si>
  <si>
    <t>pull in</t>
  </si>
  <si>
    <t>अंतकर्षण (न.)</t>
  </si>
  <si>
    <t>pull out</t>
  </si>
  <si>
    <t>बहिष्कर्षण (न.)</t>
  </si>
  <si>
    <t>pull out protection</t>
  </si>
  <si>
    <t>बहिष्कर्षण रक्षण</t>
  </si>
  <si>
    <t>pull switch</t>
  </si>
  <si>
    <t>ओढ स्विच</t>
  </si>
  <si>
    <t>pulling up clamp</t>
  </si>
  <si>
    <t>ओढ पकड</t>
  </si>
  <si>
    <t>pulsating</t>
  </si>
  <si>
    <t>स्पंदी</t>
  </si>
  <si>
    <t>pulsating current</t>
  </si>
  <si>
    <t>स्पंदी धारा</t>
  </si>
  <si>
    <t>pulsating field</t>
  </si>
  <si>
    <t>स्पंदी क्षेत्र</t>
  </si>
  <si>
    <t>pulsating flux</t>
  </si>
  <si>
    <t>स्पंदी अभिवाह</t>
  </si>
  <si>
    <t>pulse</t>
  </si>
  <si>
    <t>स्पंद (पु.)</t>
  </si>
  <si>
    <t>pulse amplitude modulation</t>
  </si>
  <si>
    <t>स्पंद आयाम आपरिवर्तन</t>
  </si>
  <si>
    <t>pulse code modulation</t>
  </si>
  <si>
    <t>स्पंद कूट आपरिवर्तन</t>
  </si>
  <si>
    <t>pulse counter detector</t>
  </si>
  <si>
    <t>स्पंद गणन शोधी</t>
  </si>
  <si>
    <t>pulse e.h.t. (extra high tension) generator</t>
  </si>
  <si>
    <t>स्पंद अ.उ.व्हो.(अति उच्च व्होल्टता) जनित्र</t>
  </si>
  <si>
    <t>pulse generator</t>
  </si>
  <si>
    <t>स्पंद जनित्र</t>
  </si>
  <si>
    <t>pulse repetition rate</t>
  </si>
  <si>
    <t>स्पंद पुनरावृत्ति माप</t>
  </si>
  <si>
    <t>pulse separator</t>
  </si>
  <si>
    <t>स्पंद पृथक्कारी</t>
  </si>
  <si>
    <t>pulse width</t>
  </si>
  <si>
    <t>स्पंद रुंदी</t>
  </si>
  <si>
    <t>pulse width modulation</t>
  </si>
  <si>
    <t>स्पंद रुंदी आपरिवर्तन</t>
  </si>
  <si>
    <t>pump</t>
  </si>
  <si>
    <t>पंप (पु.)</t>
  </si>
  <si>
    <t>pumping</t>
  </si>
  <si>
    <t>पंप करणे (न.)</t>
  </si>
  <si>
    <t>pumping line</t>
  </si>
  <si>
    <t>पंप तार</t>
  </si>
  <si>
    <t>pumping tube</t>
  </si>
  <si>
    <t>पंप नलिका</t>
  </si>
  <si>
    <t>puncture</t>
  </si>
  <si>
    <t>वेध (पु.)</t>
  </si>
  <si>
    <t>puncture voltage</t>
  </si>
  <si>
    <t>वेध व्होल्टता</t>
  </si>
  <si>
    <t>pure capacitance</t>
  </si>
  <si>
    <t>शुद्ध धारिता</t>
  </si>
  <si>
    <t>push pull</t>
  </si>
  <si>
    <t>ढकल ओढ (स्त्री.)</t>
  </si>
  <si>
    <t>push pull amplifier</t>
  </si>
  <si>
    <t>ढकल ओढ प्रवर्धी</t>
  </si>
  <si>
    <t>pushbutton switch</t>
  </si>
  <si>
    <t>दाबबटन स्विच</t>
  </si>
  <si>
    <t>pushbutton tuning</t>
  </si>
  <si>
    <t>दाबबटन मेलन</t>
  </si>
  <si>
    <t>pygmy lamp</t>
  </si>
  <si>
    <t>बटु दीप</t>
  </si>
  <si>
    <t>pyramidal horn antenna</t>
  </si>
  <si>
    <t>पिरामिड शिंग आकाशग</t>
  </si>
  <si>
    <t>pyrometer</t>
  </si>
  <si>
    <t>उत्तानमापी (पु.)</t>
  </si>
  <si>
    <t>Q band</t>
  </si>
  <si>
    <t>Q पट्ट (पु.)</t>
  </si>
  <si>
    <t>Q fator</t>
  </si>
  <si>
    <t>Q अंक (पु.)</t>
  </si>
  <si>
    <t>Q meter</t>
  </si>
  <si>
    <t>Q मापी (पु.)</t>
  </si>
  <si>
    <t>Q of air cored coil</t>
  </si>
  <si>
    <t>वायुक्रोड कुंडल Q</t>
  </si>
  <si>
    <t>Q of cavity resonator</t>
  </si>
  <si>
    <t>गुहिका संस्पंदी Q</t>
  </si>
  <si>
    <t>Q of tuned circuit</t>
  </si>
  <si>
    <t>मेलित परिपथ Q</t>
  </si>
  <si>
    <t>Q point</t>
  </si>
  <si>
    <t>Q बिंदु (पु.)</t>
  </si>
  <si>
    <t>quadrant</t>
  </si>
  <si>
    <t>वृत्तपाद (पु.)</t>
  </si>
  <si>
    <t>quadrant antenna</t>
  </si>
  <si>
    <t>वृत्तपाद आकाशग</t>
  </si>
  <si>
    <t>quadrantal symmetry</t>
  </si>
  <si>
    <t>वृत्तपाद सममिति</t>
  </si>
  <si>
    <t>quadratic form</t>
  </si>
  <si>
    <t>द्विघाती रुप</t>
  </si>
  <si>
    <t>quadrature</t>
  </si>
  <si>
    <t>जात्य (न.)</t>
  </si>
  <si>
    <t>quadrature axis reactance</t>
  </si>
  <si>
    <t>जात्य अक्ष प्रतिरोध</t>
  </si>
  <si>
    <t>quadrature axis reaction factor</t>
  </si>
  <si>
    <t>जात्य अक्ष प्रतिक्रिया अंक</t>
  </si>
  <si>
    <t>quadrature component of volt amperes</t>
  </si>
  <si>
    <t>व्होल्ट ँम्पिअरांचा जात्य घटक</t>
  </si>
  <si>
    <t>quadrature component of voltage</t>
  </si>
  <si>
    <t>व्होल्टतेचा जात्य घटक</t>
  </si>
  <si>
    <t>quadrature field</t>
  </si>
  <si>
    <t>जात्य क्षेत्र</t>
  </si>
  <si>
    <t>quadrature reaction field form</t>
  </si>
  <si>
    <t>जात्य प्रतिक्रिया क्षेत्र रुपांक</t>
  </si>
  <si>
    <t>quadrature transformer</t>
  </si>
  <si>
    <t>जात्य परिवर्तित्र</t>
  </si>
  <si>
    <t>quadrilateral speed time curve</t>
  </si>
  <si>
    <t>चतुर्भुज चाल काल वक्र</t>
  </si>
  <si>
    <t>quadruple phantom circuit</t>
  </si>
  <si>
    <t>चतुर्विध आभासी परिपथ</t>
  </si>
  <si>
    <t>quadruplex</t>
  </si>
  <si>
    <t>चतुष्पथ-</t>
  </si>
  <si>
    <t>quadruplex balance</t>
  </si>
  <si>
    <t>चतुष्पथ संतुलन</t>
  </si>
  <si>
    <t>quadruplex circuit</t>
  </si>
  <si>
    <t>चतुष्पथ परिपथ</t>
  </si>
  <si>
    <t>quadurant eletroscope</t>
  </si>
  <si>
    <t>वृत्तपाद विद्युतदर्शी</t>
  </si>
  <si>
    <t>quantity</t>
  </si>
  <si>
    <t>राशि (स्त्री.)</t>
  </si>
  <si>
    <t>quantity of electricity</t>
  </si>
  <si>
    <t>वीज राशि</t>
  </si>
  <si>
    <t>quantity of light</t>
  </si>
  <si>
    <t>प्रकाश राशि</t>
  </si>
  <si>
    <t>quantity of sensitivity</t>
  </si>
  <si>
    <t>संवेदना राशि</t>
  </si>
  <si>
    <t>quantum efficiency</t>
  </si>
  <si>
    <t>पुंज कार्यक्षमता</t>
  </si>
  <si>
    <t>quantum limit</t>
  </si>
  <si>
    <t>पुंज सीमा</t>
  </si>
  <si>
    <t>quarter phase system</t>
  </si>
  <si>
    <t>जात्य प्रावस्था पद्धति</t>
  </si>
  <si>
    <t>quarter wave aerial</t>
  </si>
  <si>
    <t>चतुर्थांश तरंग आकाशग</t>
  </si>
  <si>
    <t>quartz crystal</t>
  </si>
  <si>
    <t>गार स्फटिक, गारमणी स्फटिक</t>
  </si>
  <si>
    <t>quartz crystal oscillator</t>
  </si>
  <si>
    <t>गारमणी स्फटिक दोली</t>
  </si>
  <si>
    <t>quartz crystal resonator</t>
  </si>
  <si>
    <t>गारमणी स्फटिक संस्पंदी</t>
  </si>
  <si>
    <t>quasi arc welding</t>
  </si>
  <si>
    <t>प्रज्योतवत सांधण</t>
  </si>
  <si>
    <t>quasi duplex</t>
  </si>
  <si>
    <t>द्विपथवत</t>
  </si>
  <si>
    <t>quasi optical waves</t>
  </si>
  <si>
    <t>दृष्टिकीयवत तरंग (पु.अ.व.)</t>
  </si>
  <si>
    <t>quenched</t>
  </si>
  <si>
    <t>शमित</t>
  </si>
  <si>
    <t>quenched spark</t>
  </si>
  <si>
    <t>शमित स्फुल्लिंग</t>
  </si>
  <si>
    <t>quenched spark gap</t>
  </si>
  <si>
    <t>शमित स्फुल्लिंग अंतर</t>
  </si>
  <si>
    <t>quenched spark system</t>
  </si>
  <si>
    <t>शमित स्फुल्लिंग पद्धति</t>
  </si>
  <si>
    <t>quick break switch</t>
  </si>
  <si>
    <t>शीघ वियोजन स्विच</t>
  </si>
  <si>
    <t>quick make and quick break switch</t>
  </si>
  <si>
    <t>शीघ जोड तोड स्विच</t>
  </si>
  <si>
    <t>quick start circuit</t>
  </si>
  <si>
    <t>शीघ आरंभ परिपथ</t>
  </si>
  <si>
    <t>quiescent aerial</t>
  </si>
  <si>
    <t>शांत आकाशग</t>
  </si>
  <si>
    <t>quiescent carrier modulation</t>
  </si>
  <si>
    <t>शांत वाहनिक आपरिवर्तन</t>
  </si>
  <si>
    <t>quiescent point</t>
  </si>
  <si>
    <t>शांत बिंदु</t>
  </si>
  <si>
    <t>quiescent push pull amplifier</t>
  </si>
  <si>
    <t>शांत ढकल ओढ प्रवर्धी</t>
  </si>
  <si>
    <t>quill drive</t>
  </si>
  <si>
    <t>शल चालन</t>
  </si>
  <si>
    <t>R.C. filter</t>
  </si>
  <si>
    <t>रो.धा. (रोध धारकता) गाळणी</t>
  </si>
  <si>
    <t>resistance capacitance</t>
  </si>
  <si>
    <t>rack</t>
  </si>
  <si>
    <t>निलय (न.), रॅक (स्त्री.)</t>
  </si>
  <si>
    <t>rack mounting</t>
  </si>
  <si>
    <t>निलय अधिरोहण</t>
  </si>
  <si>
    <t>rad</t>
  </si>
  <si>
    <t>रॅड (न.)</t>
  </si>
  <si>
    <t>radar</t>
  </si>
  <si>
    <t>रडार (न.)</t>
  </si>
  <si>
    <t>radar beacon</t>
  </si>
  <si>
    <t>रडार द्योतक</t>
  </si>
  <si>
    <t>radar sonde</t>
  </si>
  <si>
    <t>रडार साँड</t>
  </si>
  <si>
    <t>radial</t>
  </si>
  <si>
    <t>अरीय</t>
  </si>
  <si>
    <t>radial brush</t>
  </si>
  <si>
    <t>अरीय कुंचला</t>
  </si>
  <si>
    <t>radial deflection</t>
  </si>
  <si>
    <t>अरीय विक्षेपण</t>
  </si>
  <si>
    <t>radial duct</t>
  </si>
  <si>
    <t>अरीय वाहिनी</t>
  </si>
  <si>
    <t>radial feeder</t>
  </si>
  <si>
    <t>अरीय प्रदायी</t>
  </si>
  <si>
    <t>radial system</t>
  </si>
  <si>
    <t>अरीय पद्धति</t>
  </si>
  <si>
    <t>radian</t>
  </si>
  <si>
    <t>रेडिअन (न.)</t>
  </si>
  <si>
    <t>radian frequency</t>
  </si>
  <si>
    <t>रेडिअन वारंवारता</t>
  </si>
  <si>
    <t>radiance</t>
  </si>
  <si>
    <t>प्रारणिकता (स्त्री.)</t>
  </si>
  <si>
    <t>radiant</t>
  </si>
  <si>
    <t>उत्सर्जी, प्रारणिक</t>
  </si>
  <si>
    <t>radiant efficiency</t>
  </si>
  <si>
    <t>प्रारणिक कार्यक्षमता</t>
  </si>
  <si>
    <t>radiant energy</t>
  </si>
  <si>
    <t>प्रारणिक ऊर्जा</t>
  </si>
  <si>
    <t>radiant flux</t>
  </si>
  <si>
    <t>प्रारणिक अभिवाह</t>
  </si>
  <si>
    <t>radiant heat therapy</t>
  </si>
  <si>
    <t>प्रारणिक ऊष्मा चिकित्सा</t>
  </si>
  <si>
    <t>radiant heating</t>
  </si>
  <si>
    <t>प्रारणिक ऊष्मन</t>
  </si>
  <si>
    <t>radiant intensity</t>
  </si>
  <si>
    <t>प्रारणिक तीव्रता</t>
  </si>
  <si>
    <t>radiate</t>
  </si>
  <si>
    <t>प्रारण करणे, प्रारण होणे</t>
  </si>
  <si>
    <t>radiated wave</t>
  </si>
  <si>
    <t>प्रारित तरंग</t>
  </si>
  <si>
    <t>radiating</t>
  </si>
  <si>
    <t>प्रारण (न.)</t>
  </si>
  <si>
    <t>प्रारणी</t>
  </si>
  <si>
    <t>radiating circuit</t>
  </si>
  <si>
    <t>प्रारणी परिपथ</t>
  </si>
  <si>
    <t>radiation</t>
  </si>
  <si>
    <t>radiation antenna</t>
  </si>
  <si>
    <t>प्रारण आकाशग</t>
  </si>
  <si>
    <t>radiation counter</t>
  </si>
  <si>
    <t>प्रारण गणनी</t>
  </si>
  <si>
    <t>radiation counter tube</t>
  </si>
  <si>
    <t>प्रारण गणनी नलिका</t>
  </si>
  <si>
    <t>radiation detector</t>
  </si>
  <si>
    <t>प्रारण शोधी</t>
  </si>
  <si>
    <t>radiation efficiency</t>
  </si>
  <si>
    <t>radiation factor</t>
  </si>
  <si>
    <t>प्रारण अंक</t>
  </si>
  <si>
    <t>radiation field</t>
  </si>
  <si>
    <t>प्रारण क्षेत्र</t>
  </si>
  <si>
    <t>radiation potential</t>
  </si>
  <si>
    <t>प्रारण विभव</t>
  </si>
  <si>
    <t>radiation resistance</t>
  </si>
  <si>
    <t>प्रारण रोध</t>
  </si>
  <si>
    <t>radiation resistance of antenna</t>
  </si>
  <si>
    <t>radiation spectrum</t>
  </si>
  <si>
    <t>प्रारण पिसारा</t>
  </si>
  <si>
    <t>radiation temperature</t>
  </si>
  <si>
    <t>प्रारण तापमान</t>
  </si>
  <si>
    <t>radiator</t>
  </si>
  <si>
    <t>प्रारी (पु.)</t>
  </si>
  <si>
    <t>radio</t>
  </si>
  <si>
    <t>रेडिओ (पु.)</t>
  </si>
  <si>
    <t>radio altimeter</t>
  </si>
  <si>
    <t>रेडिओ उंचीमापी</t>
  </si>
  <si>
    <t>radio astronomy</t>
  </si>
  <si>
    <t>रेडिओ खगोलशास्त्र</t>
  </si>
  <si>
    <t>radio beacon</t>
  </si>
  <si>
    <t>रेडिओ द्योतक</t>
  </si>
  <si>
    <t>radio beam</t>
  </si>
  <si>
    <t>रेडिओ शलाका</t>
  </si>
  <si>
    <t>radio communication</t>
  </si>
  <si>
    <t>रेडिओ संचारण (न.)</t>
  </si>
  <si>
    <t>radio compass</t>
  </si>
  <si>
    <t>रेडिओ होकायंत्र (न.)</t>
  </si>
  <si>
    <t>radio control</t>
  </si>
  <si>
    <t>रेडिओ नियंत्रण</t>
  </si>
  <si>
    <t>radio direction finder</t>
  </si>
  <si>
    <t>रेडिओ दिशाअन्वेषी</t>
  </si>
  <si>
    <t>radio exchange</t>
  </si>
  <si>
    <t>रेडिओ विनिमय</t>
  </si>
  <si>
    <t>radio field strength</t>
  </si>
  <si>
    <t>रेडिओ क्षेत्र तीव्रता</t>
  </si>
  <si>
    <t>radio frequency</t>
  </si>
  <si>
    <t>रेडिओ वारंवारता</t>
  </si>
  <si>
    <t>radio frequency amplifier</t>
  </si>
  <si>
    <t>रेडिओ वारंवारता प्रवर्धी</t>
  </si>
  <si>
    <t>radio frequency choke</t>
  </si>
  <si>
    <t>रेडिओ वारंवारता चोक</t>
  </si>
  <si>
    <t>radio frequency cooking</t>
  </si>
  <si>
    <t>रेडिओ वारंवारता पाकक्रिया</t>
  </si>
  <si>
    <t>radio frequency heating</t>
  </si>
  <si>
    <t>रेडिओ वारंवारता ऊष्मन</t>
  </si>
  <si>
    <t>radio frequency resistance</t>
  </si>
  <si>
    <t>रेडिओ वारंवारता रोध</t>
  </si>
  <si>
    <t>radio frequency transformer</t>
  </si>
  <si>
    <t>रेडिओ वारंवारता परिवर्तित्र</t>
  </si>
  <si>
    <t>radio link</t>
  </si>
  <si>
    <t>रेडिओ दुवा</t>
  </si>
  <si>
    <t>radio range</t>
  </si>
  <si>
    <t>रेडिओ व्याप्ति (स्त्री.)</t>
  </si>
  <si>
    <t>radio reflection</t>
  </si>
  <si>
    <t>रेडिओ परावर्तन</t>
  </si>
  <si>
    <t>radio sonde</t>
  </si>
  <si>
    <t>रेडिओ साँड</t>
  </si>
  <si>
    <t>radio station</t>
  </si>
  <si>
    <t>रेडिओ केंद्र</t>
  </si>
  <si>
    <t>radio telegraph service</t>
  </si>
  <si>
    <t>रेडिओ दूरलेखन सेवा</t>
  </si>
  <si>
    <t>radio telegraphy</t>
  </si>
  <si>
    <t>रेडिओ दूरलेखन (न.)</t>
  </si>
  <si>
    <t>radio telephone transmitter</t>
  </si>
  <si>
    <t>रेडिओ दूरध्वनि पारेषित्र</t>
  </si>
  <si>
    <t>radio telephony</t>
  </si>
  <si>
    <t>रेडिओ ध्वनिकी (स्त्री.)</t>
  </si>
  <si>
    <t>radio telescope</t>
  </si>
  <si>
    <t>रेडिओ दूरदर्शी</t>
  </si>
  <si>
    <t>radio transmission</t>
  </si>
  <si>
    <t>रेडिओ पारेषण</t>
  </si>
  <si>
    <t>radio transmitter</t>
  </si>
  <si>
    <t>रेडिओ पारेषित्र</t>
  </si>
  <si>
    <t>radio wave</t>
  </si>
  <si>
    <t>रेडिओ तरंग</t>
  </si>
  <si>
    <t>radioactive isotope</t>
  </si>
  <si>
    <t>किरणोत्सारी समप्रोटान</t>
  </si>
  <si>
    <t>radioactivity</t>
  </si>
  <si>
    <t>किरणोत्सारिता (स्त्री.), किरणोत्सारण (न.)</t>
  </si>
  <si>
    <t>radioautograph</t>
  </si>
  <si>
    <t>रेडिओ स्वलेख (पु.)</t>
  </si>
  <si>
    <t>radiogram</t>
  </si>
  <si>
    <t>रेडिओग्राम (पु.)</t>
  </si>
  <si>
    <t>radiograph</t>
  </si>
  <si>
    <t>क्ष किरणलेख (पु.), प्रारणचित्र (न.)</t>
  </si>
  <si>
    <t>radiography</t>
  </si>
  <si>
    <t>क्ष किरणलेखन (न.), प्रारणचित्रण (न.)</t>
  </si>
  <si>
    <t>radiolocation</t>
  </si>
  <si>
    <t>रेडिओ स्थाननिर्धारण (न.)</t>
  </si>
  <si>
    <t>radiology</t>
  </si>
  <si>
    <t>किरणशास्त्र (न.)</t>
  </si>
  <si>
    <t>radiotherapy</t>
  </si>
  <si>
    <t>किरणोपचार (पु.), रेडिओ चिकित्सा (स्त्री.)</t>
  </si>
  <si>
    <t>radiovision</t>
  </si>
  <si>
    <t>रेडिओ चित्रवाणी (स्त्री.)</t>
  </si>
  <si>
    <t>rail</t>
  </si>
  <si>
    <t>रुळ (पु.)</t>
  </si>
  <si>
    <t>rail bond</t>
  </si>
  <si>
    <t>रुळ बंध</t>
  </si>
  <si>
    <t>ramp</t>
  </si>
  <si>
    <t>चढण (स्त्री.), प्रवणि (पु.)</t>
  </si>
  <si>
    <t>random function</t>
  </si>
  <si>
    <t>यदृच्छ फल</t>
  </si>
  <si>
    <t>random winding</t>
  </si>
  <si>
    <t>range</t>
  </si>
  <si>
    <t>व्याप्ति (स्त्री.)</t>
  </si>
  <si>
    <t>ranging</t>
  </si>
  <si>
    <t>१ स्थानन (न.) २ व्याप्तिमापन (न.)</t>
  </si>
  <si>
    <t>rank</t>
  </si>
  <si>
    <t>कोटी (स्त्री.)</t>
  </si>
  <si>
    <t>raster</t>
  </si>
  <si>
    <t>रेषाचौकट (स्त्री.)</t>
  </si>
  <si>
    <t>rate</t>
  </si>
  <si>
    <t>१ दर (पु.) २ मान (न.)</t>
  </si>
  <si>
    <t>rated blowing current</t>
  </si>
  <si>
    <t>निर्धारित संधमन धारा</t>
  </si>
  <si>
    <t>rated breaking capacity</t>
  </si>
  <si>
    <t>निर्धारित विभंजन क्षमता</t>
  </si>
  <si>
    <t>rated input</t>
  </si>
  <si>
    <t>निर्धारित आदान</t>
  </si>
  <si>
    <t>rated load</t>
  </si>
  <si>
    <t>निर्धारित भार</t>
  </si>
  <si>
    <t>rated making capacity</t>
  </si>
  <si>
    <t>निर्धारित संयोजन क्षमता, इयत संयोजन क्षमता</t>
  </si>
  <si>
    <t>rated output</t>
  </si>
  <si>
    <t>निर्धारित प्रदान</t>
  </si>
  <si>
    <t>rated voltage</t>
  </si>
  <si>
    <t>निर्धारित व्होल्टता</t>
  </si>
  <si>
    <t>rating</t>
  </si>
  <si>
    <t>१ क्षमता निर्देशन (न.) २ निर्धारण (न.), इयत्ता निर्धारण (न.)</t>
  </si>
  <si>
    <t>ratio</t>
  </si>
  <si>
    <t>गुणोत्तर (न.), अनुपात (पु.)</t>
  </si>
  <si>
    <t>ratio balance protective system</t>
  </si>
  <si>
    <t>गुणोत्तर संतुलन रक्षण पद्धति</t>
  </si>
  <si>
    <t>ratio detector</t>
  </si>
  <si>
    <t>गुणोत्तर शोधी</t>
  </si>
  <si>
    <t>ratio error</t>
  </si>
  <si>
    <t>गुणोत्तर त्रुटि</t>
  </si>
  <si>
    <t>ratio of transformation</t>
  </si>
  <si>
    <t>परिवर्तन गुणोत्तर</t>
  </si>
  <si>
    <t>rational function</t>
  </si>
  <si>
    <t>परिमेय फल</t>
  </si>
  <si>
    <t>rationalisation</t>
  </si>
  <si>
    <t>परिमेयन (न.)</t>
  </si>
  <si>
    <t>rationalised system of units</t>
  </si>
  <si>
    <t>परिमापित एकक पद्धति</t>
  </si>
  <si>
    <t>Rawlplug</t>
  </si>
  <si>
    <t>रावल निग (पु.), रावल प्लग (पु.)</t>
  </si>
  <si>
    <t>Trade name</t>
  </si>
  <si>
    <t>ray</t>
  </si>
  <si>
    <t>किरण (पु.)</t>
  </si>
  <si>
    <t>ray therapy</t>
  </si>
  <si>
    <t>किरणचिकित्सा (स्त्री.)</t>
  </si>
  <si>
    <t>re-entrant armature winding</t>
  </si>
  <si>
    <t>पुनःप्रवेशी आर्मेचर कुंडलन</t>
  </si>
  <si>
    <t>re-entrant section</t>
  </si>
  <si>
    <t>पुनःप्रवेशी छेद</t>
  </si>
  <si>
    <t>reactance</t>
  </si>
  <si>
    <t>प्रतिरोध (पु.)</t>
  </si>
  <si>
    <t>reactance coil</t>
  </si>
  <si>
    <t>प्रतिरोध कुंडल</t>
  </si>
  <si>
    <t>reactance coupling</t>
  </si>
  <si>
    <t>प्रतिरोध युग्मन</t>
  </si>
  <si>
    <t>reactance tube</t>
  </si>
  <si>
    <t>प्रतिरोध नलिका</t>
  </si>
  <si>
    <t>reactance voltage</t>
  </si>
  <si>
    <t>प्रतिरोध व्होल्टता</t>
  </si>
  <si>
    <t>reaction</t>
  </si>
  <si>
    <t>१ chem. अभिक्रिया (स्त्री.) २ (as action reaction) प्रतिक्रिया (स्त्री.)</t>
  </si>
  <si>
    <t>reaction brush holder</t>
  </si>
  <si>
    <t>प्रतिक्रिया कुंचलाधारक</t>
  </si>
  <si>
    <t>reaction capacitor</t>
  </si>
  <si>
    <t>प्रतिक्रिया धारी</t>
  </si>
  <si>
    <t>reaction circuit</t>
  </si>
  <si>
    <t>प्रतिक्रिया परिपथ</t>
  </si>
  <si>
    <t>reaction coil</t>
  </si>
  <si>
    <t>प्रतिक्रिया कुंडल</t>
  </si>
  <si>
    <t>reactive</t>
  </si>
  <si>
    <t>प्रतिरोधी, प्रतिक्रिया</t>
  </si>
  <si>
    <t>reactive capacity</t>
  </si>
  <si>
    <t>प्रतिक्रिया क्षमता</t>
  </si>
  <si>
    <t>reactive component of volt amperes</t>
  </si>
  <si>
    <t>व्होल्ट ऍम्पिअरांचा प्रतिक्रिय घटक</t>
  </si>
  <si>
    <t>reactive component of voltage</t>
  </si>
  <si>
    <t>व्होल्टतेचा प्रतिक्रिय घटक</t>
  </si>
  <si>
    <t>reactive current</t>
  </si>
  <si>
    <t>प्रतिक्रिय धारा</t>
  </si>
  <si>
    <t>reactive kilovolt ampere</t>
  </si>
  <si>
    <t>प्रतिक्रिय किलोव्होल्ट ऍम्पिअर (प्रतिरोधी कि.व्हो.ऍ).</t>
  </si>
  <si>
    <t>reactive K.V.A.</t>
  </si>
  <si>
    <t>reactive load</t>
  </si>
  <si>
    <t>प्रतिक्रिय भार</t>
  </si>
  <si>
    <t>reactive volt ampere</t>
  </si>
  <si>
    <t>प्रतिक्रिय व्होल्ट ऍम्पिअर</t>
  </si>
  <si>
    <t>reactive volt ampere meter</t>
  </si>
  <si>
    <t>प्रतिक्रिय व्होल्ट ऍम्पिअर मापी</t>
  </si>
  <si>
    <t>reactive voltage</t>
  </si>
  <si>
    <t>प्रतिक्रिय व्होल्टता</t>
  </si>
  <si>
    <t>reactor</t>
  </si>
  <si>
    <t>१ प्रतिकारी (पु.) २ भट्टी (स्त्री.)</t>
  </si>
  <si>
    <t>read in</t>
  </si>
  <si>
    <t>अंतर्लेखन (न.)</t>
  </si>
  <si>
    <t>read out</t>
  </si>
  <si>
    <t>बहिर्वाचन (न.)</t>
  </si>
  <si>
    <t>real antenna</t>
  </si>
  <si>
    <t>वास्तव आकाशग</t>
  </si>
  <si>
    <t>real function</t>
  </si>
  <si>
    <t>वास्तव फल</t>
  </si>
  <si>
    <t>real image</t>
  </si>
  <si>
    <t>वास्तव प्रतिमा</t>
  </si>
  <si>
    <t>receive</t>
  </si>
  <si>
    <t>ग्रहण करणे</t>
  </si>
  <si>
    <t>receiver</t>
  </si>
  <si>
    <t>ग्राही (पु.)</t>
  </si>
  <si>
    <t>receiving</t>
  </si>
  <si>
    <t>ग्रहण (न.)</t>
  </si>
  <si>
    <t>ग्रहण, ग्राही</t>
  </si>
  <si>
    <t>receiving antenna</t>
  </si>
  <si>
    <t>ग्राही आकाशग</t>
  </si>
  <si>
    <t>receiving end</t>
  </si>
  <si>
    <t>ग्रहण टोक</t>
  </si>
  <si>
    <t>receiving station</t>
  </si>
  <si>
    <t>ग्रहण केंद्र</t>
  </si>
  <si>
    <t>receiving tube</t>
  </si>
  <si>
    <t>ग्राही नलिका</t>
  </si>
  <si>
    <t>reception</t>
  </si>
  <si>
    <t>receptive</t>
  </si>
  <si>
    <t>ग्रहणक्षम</t>
  </si>
  <si>
    <t>receptivity</t>
  </si>
  <si>
    <t>ग्रहणक्षमता (स्त्री.)</t>
  </si>
  <si>
    <t>recessed switch</t>
  </si>
  <si>
    <t>निवेशित स्विच</t>
  </si>
  <si>
    <t>recessed type fitting</t>
  </si>
  <si>
    <t>निवेशित जुळण</t>
  </si>
  <si>
    <t>reciprocal</t>
  </si>
  <si>
    <t>व्यस्त, अन्योन्य</t>
  </si>
  <si>
    <t>reciprocal impedance</t>
  </si>
  <si>
    <t>अन्योन्य संरोध</t>
  </si>
  <si>
    <t>reciprocal network</t>
  </si>
  <si>
    <t>व्यस्त जालव्यूह</t>
  </si>
  <si>
    <t>reciprocating field</t>
  </si>
  <si>
    <t>प्रत्यावर्ती क्षेत्र</t>
  </si>
  <si>
    <t>reciprocating motor</t>
  </si>
  <si>
    <t>प्रत्यावर्ती चलित्र</t>
  </si>
  <si>
    <t>reciprocity</t>
  </si>
  <si>
    <t>अन्योन्यता (स्त्री.), व्युत्क्रमता (स्त्री.)</t>
  </si>
  <si>
    <t>reciprocity theorem</t>
  </si>
  <si>
    <t>अन्योन्यता प्रमेय</t>
  </si>
  <si>
    <t>recloser</t>
  </si>
  <si>
    <t>पुनर्याएजी (पु.)</t>
  </si>
  <si>
    <t>recoil circuit</t>
  </si>
  <si>
    <t>प्रतिक्षेप परिपथ</t>
  </si>
  <si>
    <t>recoil discharge</t>
  </si>
  <si>
    <t>प्रतिक्षिप्त निर्भारण, विवारी निर्भारण</t>
  </si>
  <si>
    <t>recoiled</t>
  </si>
  <si>
    <t>प्रतिक्षिप्त</t>
  </si>
  <si>
    <t>recoiled electron</t>
  </si>
  <si>
    <t>प्रतिक्षिप्त इलेक्ट्रॉन</t>
  </si>
  <si>
    <t>recommended illumination values</t>
  </si>
  <si>
    <t>समुचित दीपन मूल्ये (न.अ.व.)</t>
  </si>
  <si>
    <t>record</t>
  </si>
  <si>
    <t>अभिलिखित करणे</t>
  </si>
  <si>
    <t>अभिलेख (पु.)</t>
  </si>
  <si>
    <t>recorder</t>
  </si>
  <si>
    <t>अभिलेखी (पु.)</t>
  </si>
  <si>
    <t>recording</t>
  </si>
  <si>
    <t>अभिलेखन (न.)</t>
  </si>
  <si>
    <t>recording car</t>
  </si>
  <si>
    <t>अभिलेखन यान</t>
  </si>
  <si>
    <t>recording instrument</t>
  </si>
  <si>
    <t>अभिलेखी उपकरण</t>
  </si>
  <si>
    <t>recovery time</t>
  </si>
  <si>
    <t>पूर्वस्थिति काल</t>
  </si>
  <si>
    <t>recovery voltage</t>
  </si>
  <si>
    <t>पूर्वस्थिति व्होल्टता</t>
  </si>
  <si>
    <t>rectangular array</t>
  </si>
  <si>
    <t>आयताकृति विन्यास</t>
  </si>
  <si>
    <t>rectangular waveguides</t>
  </si>
  <si>
    <t>आयताकृति तरंग मार्गदर्शी (पु.अ.व.)</t>
  </si>
  <si>
    <t>rectification</t>
  </si>
  <si>
    <t>दिष्टीकरण (न.)</t>
  </si>
  <si>
    <t>rectified</t>
  </si>
  <si>
    <t>दिष्ट</t>
  </si>
  <si>
    <t>rectified current</t>
  </si>
  <si>
    <t>rectified signal</t>
  </si>
  <si>
    <t>दिष्ट संकेत</t>
  </si>
  <si>
    <t>rectifier</t>
  </si>
  <si>
    <t>दिष्टकारी (पु.)</t>
  </si>
  <si>
    <t>rectifier circuit</t>
  </si>
  <si>
    <t>दिष्टकारी परिपथ</t>
  </si>
  <si>
    <t>rectifier filter</t>
  </si>
  <si>
    <t>दिष्टकारी गाळणी</t>
  </si>
  <si>
    <t>rectifier instrument</t>
  </si>
  <si>
    <t>दिष्टकारी उपकरण</t>
  </si>
  <si>
    <t>rectifier junction</t>
  </si>
  <si>
    <t>दिष्टकारी संयोग</t>
  </si>
  <si>
    <t>rectifier operated instrument</t>
  </si>
  <si>
    <t>दिष्टकारी चालित उपकरण</t>
  </si>
  <si>
    <t>rectifier operated motor</t>
  </si>
  <si>
    <t>दिष्टकारी चालिक चलित्र</t>
  </si>
  <si>
    <t>rectifier tube</t>
  </si>
  <si>
    <t>दिष्टकारी नलिका</t>
  </si>
  <si>
    <t>rectifying</t>
  </si>
  <si>
    <t>दिष्टकारी</t>
  </si>
  <si>
    <t>rectifying detector</t>
  </si>
  <si>
    <t>दिष्टकारी शोधी</t>
  </si>
  <si>
    <t>rectifying valve</t>
  </si>
  <si>
    <t>दिष्टकारी झडप</t>
  </si>
  <si>
    <t>red content of mercury lamp</t>
  </si>
  <si>
    <t>पारादीपातील लाल अंश</t>
  </si>
  <si>
    <t>reduced incidence matrix</t>
  </si>
  <si>
    <t>संक्षिप्त निबद्धता सारणी</t>
  </si>
  <si>
    <t>reduced load</t>
  </si>
  <si>
    <t>अवकृत भार</t>
  </si>
  <si>
    <t>reduced voltage tap</t>
  </si>
  <si>
    <t>अवकृत व्होल्टता शाखन</t>
  </si>
  <si>
    <t>reducing coupling</t>
  </si>
  <si>
    <t>अवकारी युग्मन</t>
  </si>
  <si>
    <t>reel insulator</t>
  </si>
  <si>
    <t>रीळ निरोधी</t>
  </si>
  <si>
    <t>reference</t>
  </si>
  <si>
    <t>निर्देश (पु.), संदर्भ (पु.)</t>
  </si>
  <si>
    <t>reference electrode system</t>
  </si>
  <si>
    <t>संदर्भ इलेक्ट्रोड पद्धति</t>
  </si>
  <si>
    <t>reference level</t>
  </si>
  <si>
    <t>निर्देश तल</t>
  </si>
  <si>
    <t>reference voltage</t>
  </si>
  <si>
    <t>निर्देश व्होल्टता</t>
  </si>
  <si>
    <t>refine</t>
  </si>
  <si>
    <t>शुद्ध करणे, परिष्कृत करणे</t>
  </si>
  <si>
    <t>refining</t>
  </si>
  <si>
    <t>शुद्धीकरण (न.), परिष्करण (न.)</t>
  </si>
  <si>
    <t>reflected</t>
  </si>
  <si>
    <t>परावर्तित</t>
  </si>
  <si>
    <t>reflected wave</t>
  </si>
  <si>
    <t>परावर्तित तरंग</t>
  </si>
  <si>
    <t>reflection</t>
  </si>
  <si>
    <t>परावर्तन (न.)</t>
  </si>
  <si>
    <t>reflection at ground</t>
  </si>
  <si>
    <t>भू परावर्तन</t>
  </si>
  <si>
    <t>reflection by ionosphere</t>
  </si>
  <si>
    <t>आयनावरण परावर्तन</t>
  </si>
  <si>
    <t>reflection factor</t>
  </si>
  <si>
    <t>परावर्तनांक (पु.)</t>
  </si>
  <si>
    <t>reflection of radio wave</t>
  </si>
  <si>
    <t>रेडिओ तरंग परावर्तन</t>
  </si>
  <si>
    <t>reflection of raido wave by ionosphere</t>
  </si>
  <si>
    <t>आयनावरणद्वारा रेडिओ तरंगाचे परावर्तन</t>
  </si>
  <si>
    <t>reflection of wave at ground</t>
  </si>
  <si>
    <t>तरंगाचे भू परावर्तन</t>
  </si>
  <si>
    <t>reflectivity</t>
  </si>
  <si>
    <t>परावर्तकता (स्त्री.)</t>
  </si>
  <si>
    <t>reflector</t>
  </si>
  <si>
    <t>परावर्ती (पु.)</t>
  </si>
  <si>
    <t>reflector antenna</t>
  </si>
  <si>
    <t>परावर्ती आकाशग</t>
  </si>
  <si>
    <t>reflector contour</t>
  </si>
  <si>
    <t>परावर्ती समतल रेषा</t>
  </si>
  <si>
    <t>reflector for antenna</t>
  </si>
  <si>
    <t>आकाशगासाठी परावर्ती</t>
  </si>
  <si>
    <t>reflex</t>
  </si>
  <si>
    <t>प्रतिक्षेप (पु.), प्रतिवर्त (पु.)</t>
  </si>
  <si>
    <t>reflex amplification</t>
  </si>
  <si>
    <t>प्रतिक्षेप प्रवर्धन</t>
  </si>
  <si>
    <t>reflex circuit</t>
  </si>
  <si>
    <t>refraction</t>
  </si>
  <si>
    <t>अपवर्तन (न.)</t>
  </si>
  <si>
    <t>refractive index</t>
  </si>
  <si>
    <t>refractor</t>
  </si>
  <si>
    <t>अपवर्ती (पु.)</t>
  </si>
  <si>
    <t>refrigeration</t>
  </si>
  <si>
    <t>प्रशीतन (न.)</t>
  </si>
  <si>
    <t>refrigeration tonnage load</t>
  </si>
  <si>
    <t>प्रशीतन टन भार</t>
  </si>
  <si>
    <t>regeneration</t>
  </si>
  <si>
    <t>पुनर्जनन (न.)</t>
  </si>
  <si>
    <t>also retroaction</t>
  </si>
  <si>
    <t>regeneration in amplifier</t>
  </si>
  <si>
    <t>प्रवर्धीतील पुनर्जनन</t>
  </si>
  <si>
    <t>regenerative</t>
  </si>
  <si>
    <t>पुनर्जननात्मक</t>
  </si>
  <si>
    <t>regenerative braking</t>
  </si>
  <si>
    <t>पुनर्जननात्मक आरोधन</t>
  </si>
  <si>
    <t>regenerative coupling</t>
  </si>
  <si>
    <t>पुनर्जननात्मक युग्मन</t>
  </si>
  <si>
    <t>regenerative detector</t>
  </si>
  <si>
    <t>पुनर्जननात्मक शोधी</t>
  </si>
  <si>
    <t>regenerator</t>
  </si>
  <si>
    <t>पुनर्जनित्र (न.)</t>
  </si>
  <si>
    <t>region</t>
  </si>
  <si>
    <t>प्रदेश (पु.), क्षेत्र (न.)</t>
  </si>
  <si>
    <t>register</t>
  </si>
  <si>
    <t>नोंदक (पु.)</t>
  </si>
  <si>
    <t>registering mechanism</t>
  </si>
  <si>
    <t>नोंदणी यंत्रणा</t>
  </si>
  <si>
    <t>regulating</t>
  </si>
  <si>
    <t>नियामी</t>
  </si>
  <si>
    <t>regulation</t>
  </si>
  <si>
    <t>नियमन (न.)</t>
  </si>
  <si>
    <t>regulation curve</t>
  </si>
  <si>
    <t>नियमन वक्र</t>
  </si>
  <si>
    <t>regulation down</t>
  </si>
  <si>
    <t>अधोनियमन (न.)</t>
  </si>
  <si>
    <t>regulation factor</t>
  </si>
  <si>
    <t>नियमन अंक</t>
  </si>
  <si>
    <t>regulation of a transformer</t>
  </si>
  <si>
    <t>परिवर्तित्राचे नियमन</t>
  </si>
  <si>
    <t>regulation up</t>
  </si>
  <si>
    <t>ऊर्ध्वनियमन (न.)</t>
  </si>
  <si>
    <t>regulator</t>
  </si>
  <si>
    <t>regulator cell</t>
  </si>
  <si>
    <t>नियामी घट</t>
  </si>
  <si>
    <t>reinforced</t>
  </si>
  <si>
    <t>प्रबलित</t>
  </si>
  <si>
    <t>rejection filter</t>
  </si>
  <si>
    <t>अस्वीकारी गाळणी</t>
  </si>
  <si>
    <t>rejector circuit</t>
  </si>
  <si>
    <t>अस्वीकारी परिपथ</t>
  </si>
  <si>
    <t>relative</t>
  </si>
  <si>
    <t>सापेक्ष</t>
  </si>
  <si>
    <t>relative humidity</t>
  </si>
  <si>
    <t>सापेक्ष आर्द्रता</t>
  </si>
  <si>
    <t>relative luminosity factor</t>
  </si>
  <si>
    <t>सापेक्ष दीप्तिता अंक</t>
  </si>
  <si>
    <t>relative luminous efficiency</t>
  </si>
  <si>
    <t>सापेक्ष दीप्तीय कार्यक्षमता.</t>
  </si>
  <si>
    <t>relativity</t>
  </si>
  <si>
    <t>सापेक्षता (स्त्री.)</t>
  </si>
  <si>
    <t>relaxation</t>
  </si>
  <si>
    <t>शिथिलन (न.)</t>
  </si>
  <si>
    <t>relaxation oscillation</t>
  </si>
  <si>
    <t>शिथिलन दोलन</t>
  </si>
  <si>
    <t>relaxation oscillator</t>
  </si>
  <si>
    <t>शिथिलन दोली</t>
  </si>
  <si>
    <t>relay</t>
  </si>
  <si>
    <t>पुनरेषी (पु.), रिले (पु.)</t>
  </si>
  <si>
    <t>relay station</t>
  </si>
  <si>
    <t>पुनरेषी केंद्र</t>
  </si>
  <si>
    <t>relay switch</t>
  </si>
  <si>
    <t>पुनरेषी स्विच</t>
  </si>
  <si>
    <t>relay type graphic instrument</t>
  </si>
  <si>
    <t>पुनरेषीयुक्त आलेखी उपकरण</t>
  </si>
  <si>
    <t>relaying</t>
  </si>
  <si>
    <t>पुनरेषण (न.)</t>
  </si>
  <si>
    <t>release</t>
  </si>
  <si>
    <t>१ विमोचनी (पु.) २ विमोचन (न.)</t>
  </si>
  <si>
    <t>release signal</t>
  </si>
  <si>
    <t>विमोचन संकेत</t>
  </si>
  <si>
    <t>relief vent</t>
  </si>
  <si>
    <t>निवारण वाताक्ष</t>
  </si>
  <si>
    <t>reluctance</t>
  </si>
  <si>
    <t>अभिरोध (पु.), अभिवाहरोध (पु.)</t>
  </si>
  <si>
    <t>reluctivity</t>
  </si>
  <si>
    <t>अभिरोधिता (स्त्री.)</t>
  </si>
  <si>
    <t>remagnetiser</t>
  </si>
  <si>
    <t>पुनःचुंबककारी (पु.)</t>
  </si>
  <si>
    <t>remanence</t>
  </si>
  <si>
    <t>शेषता (स्त्री.)</t>
  </si>
  <si>
    <t>remanent</t>
  </si>
  <si>
    <t>शेष</t>
  </si>
  <si>
    <t>remote control</t>
  </si>
  <si>
    <t>दूर नियंत्रण</t>
  </si>
  <si>
    <t>remote control system</t>
  </si>
  <si>
    <t>दूर नियंत्रण पद्धति</t>
  </si>
  <si>
    <t>remote controlled substation</t>
  </si>
  <si>
    <t>दूर नियंत्रित उपकेंद्र</t>
  </si>
  <si>
    <t>remote cut off tube</t>
  </si>
  <si>
    <t>दूर काट नलिका</t>
  </si>
  <si>
    <t>remote side</t>
  </si>
  <si>
    <t>पैल बाजू</t>
  </si>
  <si>
    <t>removable</t>
  </si>
  <si>
    <t>अपनेय</t>
  </si>
  <si>
    <t>removable contact</t>
  </si>
  <si>
    <t>अपनेय संपर्क</t>
  </si>
  <si>
    <t>repeater</t>
  </si>
  <si>
    <t>पुनरावर्ती (पु.)</t>
  </si>
  <si>
    <t>repeater station</t>
  </si>
  <si>
    <t>पुनरावर्ती केंद्र</t>
  </si>
  <si>
    <t>repeating</t>
  </si>
  <si>
    <t>पुनरावर्ती</t>
  </si>
  <si>
    <t>repeating timebase</t>
  </si>
  <si>
    <t>पुनरावर्ती कालतल</t>
  </si>
  <si>
    <t>repetition</t>
  </si>
  <si>
    <t>पुनरावर्तन (न.)</t>
  </si>
  <si>
    <t>repetition frequency</t>
  </si>
  <si>
    <t>पुनरावर्तन वारंवारता</t>
  </si>
  <si>
    <t>replay head</t>
  </si>
  <si>
    <t>पुनर्वादन शीर्ष</t>
  </si>
  <si>
    <t>representation</t>
  </si>
  <si>
    <t>प्रतिदर्शन (न.)</t>
  </si>
  <si>
    <t>repulsion</t>
  </si>
  <si>
    <t>प्रतिकर्षण (न.)</t>
  </si>
  <si>
    <t>repulsion induction motor</t>
  </si>
  <si>
    <t>प्रतिकर्षण प्रेरण चलित्र</t>
  </si>
  <si>
    <t>repulsion motor</t>
  </si>
  <si>
    <t>प्रतिकर्षण चलित्र</t>
  </si>
  <si>
    <t>repulsion start induction motor</t>
  </si>
  <si>
    <t>प्रतिकर्षण आरंभ प्रेरण चलित्र</t>
  </si>
  <si>
    <t>reservoir</t>
  </si>
  <si>
    <t>आशय (पु.)</t>
  </si>
  <si>
    <t>reset</t>
  </si>
  <si>
    <t>पुनर्याएजित (न.)</t>
  </si>
  <si>
    <t>residual</t>
  </si>
  <si>
    <t>शेष-</t>
  </si>
  <si>
    <t>residual capacitance</t>
  </si>
  <si>
    <t>शेष धारिता</t>
  </si>
  <si>
    <t>residual field</t>
  </si>
  <si>
    <t>शेष क्षेत्र</t>
  </si>
  <si>
    <t>residual magnetism flux</t>
  </si>
  <si>
    <t>शेष चुंबकत्व अभिवाह</t>
  </si>
  <si>
    <t>residual voltage</t>
  </si>
  <si>
    <t>शेष व्होल्टता</t>
  </si>
  <si>
    <t>residue</t>
  </si>
  <si>
    <t>शेष (पु.)</t>
  </si>
  <si>
    <t>resistance antenna</t>
  </si>
  <si>
    <t>रोध आकाशग</t>
  </si>
  <si>
    <t>resistance attenuator</t>
  </si>
  <si>
    <t>रोध क्षीणनकारी</t>
  </si>
  <si>
    <t>resistance brazing</t>
  </si>
  <si>
    <t>रोध पिझाळण</t>
  </si>
  <si>
    <t>रोध धारिता</t>
  </si>
  <si>
    <t>resistance capacitance amplifier</t>
  </si>
  <si>
    <t>रोध धारिता प्रवर्धी</t>
  </si>
  <si>
    <t>resistance capacitance coupling</t>
  </si>
  <si>
    <t>रोध धारिता युग्मन</t>
  </si>
  <si>
    <t>resistance coupled amplifier</t>
  </si>
  <si>
    <t>रोध युग्मित प्रवर्धी</t>
  </si>
  <si>
    <t>resistance drop</t>
  </si>
  <si>
    <t>रोध पात</t>
  </si>
  <si>
    <t>resistance flash butt welding</t>
  </si>
  <si>
    <t>रोध स्फुल्लिंग अग्र सांधण</t>
  </si>
  <si>
    <t>resistance furnace</t>
  </si>
  <si>
    <t>रोध भट्टी</t>
  </si>
  <si>
    <t>resistance neutralisation</t>
  </si>
  <si>
    <t>रोध निष्प्रभावन</t>
  </si>
  <si>
    <t>resistance oven</t>
  </si>
  <si>
    <t>१ रोध आवा २ रोध गरम पेटी</t>
  </si>
  <si>
    <t>resistance ratio</t>
  </si>
  <si>
    <t>रोध गुणोत्तर</t>
  </si>
  <si>
    <t>resistance seam welding</t>
  </si>
  <si>
    <t>रोध किनार सांधण</t>
  </si>
  <si>
    <t>resistance spot welding</t>
  </si>
  <si>
    <t>रोध ठिपका सांधण</t>
  </si>
  <si>
    <t>resistance stabilised oscillator</t>
  </si>
  <si>
    <t>रोध स्थायीकृत दोली</t>
  </si>
  <si>
    <t>resistance thermometer</t>
  </si>
  <si>
    <t>रोध तापमापी, रोध तापमानमापी</t>
  </si>
  <si>
    <t>resistance voltage</t>
  </si>
  <si>
    <t>रोध व्होल्टता</t>
  </si>
  <si>
    <t>resistance welding</t>
  </si>
  <si>
    <t>रोध सांधण</t>
  </si>
  <si>
    <t>resistive</t>
  </si>
  <si>
    <t>रोधी</t>
  </si>
  <si>
    <t>resistivity</t>
  </si>
  <si>
    <t>रोधिता (स्त्री.), रोधिकता (स्त्री.)</t>
  </si>
  <si>
    <t>resistor</t>
  </si>
  <si>
    <t>रोधी (पु.)</t>
  </si>
  <si>
    <t>resistor colour code</t>
  </si>
  <si>
    <t>रोधी वर्ण कूट</t>
  </si>
  <si>
    <t>resolution</t>
  </si>
  <si>
    <t>resolving power</t>
  </si>
  <si>
    <t>वियोजन शक्ति</t>
  </si>
  <si>
    <t>resonance</t>
  </si>
  <si>
    <t>संस्पंदन (न.)</t>
  </si>
  <si>
    <t>resonance curve</t>
  </si>
  <si>
    <t>संस्पंदन वक्र</t>
  </si>
  <si>
    <t>resonant</t>
  </si>
  <si>
    <t>संस्पंदी</t>
  </si>
  <si>
    <t>resonant cavity</t>
  </si>
  <si>
    <t>संस्पंदी गुहिका</t>
  </si>
  <si>
    <t>resonant circuit</t>
  </si>
  <si>
    <t>संस्पंदी परिपथ</t>
  </si>
  <si>
    <t>resonant element filter</t>
  </si>
  <si>
    <t>संस्पंदी घटक गाळणी</t>
  </si>
  <si>
    <t>resonant frequency</t>
  </si>
  <si>
    <t>संस्पंदी वारंवारता</t>
  </si>
  <si>
    <t>resonant line oscillator</t>
  </si>
  <si>
    <t>संस्पंदी तारमार्ग दोली</t>
  </si>
  <si>
    <t>resonant shunt</t>
  </si>
  <si>
    <t>संस्पंदी पार्श्वपथ</t>
  </si>
  <si>
    <t>resonator</t>
  </si>
  <si>
    <t>संस्पंदी (पु.)</t>
  </si>
  <si>
    <t>response</t>
  </si>
  <si>
    <t>अनुक्रिया (स्त्री.), प्रतिसाद (पु.)</t>
  </si>
  <si>
    <t>response characteristic</t>
  </si>
  <si>
    <t>अनुक्रिया अभिलक्षण</t>
  </si>
  <si>
    <t>resposne curve</t>
  </si>
  <si>
    <t>अनुक्रिया वक्र</t>
  </si>
  <si>
    <t>restarting</t>
  </si>
  <si>
    <t>पुनःप्रवर्तन (न.)</t>
  </si>
  <si>
    <t>restoration</t>
  </si>
  <si>
    <t>पुनःस्थापन (न.)</t>
  </si>
  <si>
    <t>restored voltage</t>
  </si>
  <si>
    <t>पुनःस्थापित व्होल्टता</t>
  </si>
  <si>
    <t>restoring coherer</t>
  </si>
  <si>
    <t>पुनःस्थापी संसंजक</t>
  </si>
  <si>
    <t>restricted hour tariff</t>
  </si>
  <si>
    <t>निर्बंधित काल प्रशुल्क</t>
  </si>
  <si>
    <t>restriking voltage</t>
  </si>
  <si>
    <t>पुनराघाती व्होल्टता</t>
  </si>
  <si>
    <t>resultant capacitance</t>
  </si>
  <si>
    <t>परिणामी धारिता</t>
  </si>
  <si>
    <t>resultant flux</t>
  </si>
  <si>
    <t>परिणामी अभिवाह</t>
  </si>
  <si>
    <t>retardation</t>
  </si>
  <si>
    <t>अवत्वरण (न.)</t>
  </si>
  <si>
    <t>retardation coil</t>
  </si>
  <si>
    <t>अवत्वरण कुंडल</t>
  </si>
  <si>
    <t>retarding</t>
  </si>
  <si>
    <t>अवत्वरणी</t>
  </si>
  <si>
    <t>retarding field</t>
  </si>
  <si>
    <t>अवत्वरणी क्षेत्र</t>
  </si>
  <si>
    <t>retentivity</t>
  </si>
  <si>
    <t>१ शेषता (स्त्री.) २ धारणशीलता (स्त्री.)</t>
  </si>
  <si>
    <t>retina</t>
  </si>
  <si>
    <t>दृष्टिपटल (न.)</t>
  </si>
  <si>
    <t>retiring lock release</t>
  </si>
  <si>
    <t>निवर्ती पाश विमोचनी</t>
  </si>
  <si>
    <t>retrace</t>
  </si>
  <si>
    <t>पुनर्रेखन (न.)</t>
  </si>
  <si>
    <t>retroaction</t>
  </si>
  <si>
    <t>return</t>
  </si>
  <si>
    <t>प्रत्यागमन (न.)</t>
  </si>
  <si>
    <t>return air duct</t>
  </si>
  <si>
    <t>प्रत्यागमन वात वाहिनी</t>
  </si>
  <si>
    <t>return stroke</t>
  </si>
  <si>
    <t>प्रत्याघात आघात</t>
  </si>
  <si>
    <t>reverbertion</t>
  </si>
  <si>
    <t>अनुरणन (न.)</t>
  </si>
  <si>
    <t>reverbertion time</t>
  </si>
  <si>
    <t>अनुरणन काल</t>
  </si>
  <si>
    <t>reversal</t>
  </si>
  <si>
    <t>व्युत्क्रमण (न.)</t>
  </si>
  <si>
    <t>reverse current circuit breaker</t>
  </si>
  <si>
    <t>व्युत्क्रमी धारा परिपथ वियोजी</t>
  </si>
  <si>
    <t>reverse current relay</t>
  </si>
  <si>
    <t>व्युत्क्रमी धारा पुनरेषी</t>
  </si>
  <si>
    <t>reverse current trip</t>
  </si>
  <si>
    <t>व्युत्क्रमी धारा सटक</t>
  </si>
  <si>
    <t>reverse energy relay</t>
  </si>
  <si>
    <t>व्युत्क्रमी ऊर्जा पुनरेषी</t>
  </si>
  <si>
    <t>reverse feed back</t>
  </si>
  <si>
    <t>व्युत्क्रमी पश्चप्रदाय</t>
  </si>
  <si>
    <t>reverse grid current</t>
  </si>
  <si>
    <t>व्युत्क्रमी जाल धारा</t>
  </si>
  <si>
    <t>reverse induced current</t>
  </si>
  <si>
    <t>व्युत्क्रमी प्रेरित धारा</t>
  </si>
  <si>
    <t>reverse power protective system</t>
  </si>
  <si>
    <t>व्युत्क्रमी शक्ति रक्षी पद्धति</t>
  </si>
  <si>
    <t>reverse power relay</t>
  </si>
  <si>
    <t>व्युत्क्रम शक्ति पुनरेषी</t>
  </si>
  <si>
    <t>reverser</t>
  </si>
  <si>
    <t>व्युत्क्रमी (पु.)</t>
  </si>
  <si>
    <t>reversible</t>
  </si>
  <si>
    <t>व्युत्क्रमशील</t>
  </si>
  <si>
    <t>reversible booster</t>
  </si>
  <si>
    <t>व्युत्क्रमशील वर्धी</t>
  </si>
  <si>
    <t>reversible motor</t>
  </si>
  <si>
    <t>व्युत्क्रमशील चलित्र</t>
  </si>
  <si>
    <t>reversing</t>
  </si>
  <si>
    <t>व्युत्क्रमी, उलट</t>
  </si>
  <si>
    <t>reversing split phase motor</t>
  </si>
  <si>
    <t>व्युत्क्रमी विभाजित प्रावस्था चलित्र</t>
  </si>
  <si>
    <t>reversing switch</t>
  </si>
  <si>
    <t>उलट स्विच</t>
  </si>
  <si>
    <t>reversing without off position switch</t>
  </si>
  <si>
    <t>विनाबंद उलट स्विच</t>
  </si>
  <si>
    <t>revolution</t>
  </si>
  <si>
    <t>फेरा (पु.), परिक्रमा (स्त्री.)</t>
  </si>
  <si>
    <t>revolving armature alternator</t>
  </si>
  <si>
    <t>घूर्णी आर्मेचर प्रत्यावर्तित्र</t>
  </si>
  <si>
    <t>rheostat</t>
  </si>
  <si>
    <t>चलरोधी (पु.)</t>
  </si>
  <si>
    <t>rheostatic accelertion</t>
  </si>
  <si>
    <t>रोधीय त्वरण</t>
  </si>
  <si>
    <t>rheostatic braking</t>
  </si>
  <si>
    <t>चलरोधीय आरोधन, रोधीय आरोधन</t>
  </si>
  <si>
    <t>rheostatic control</t>
  </si>
  <si>
    <t>चलरोधीय नियंत्रण</t>
  </si>
  <si>
    <t>rheostatic starter</t>
  </si>
  <si>
    <t>चलरोधीय आरंभी</t>
  </si>
  <si>
    <t>rhombic aerial</t>
  </si>
  <si>
    <t>समचतुर्भुजी आकाशग</t>
  </si>
  <si>
    <t>rhombic antenna</t>
  </si>
  <si>
    <t>ribbon microphone</t>
  </si>
  <si>
    <t>फीत सूक्ष्मध्वनि</t>
  </si>
  <si>
    <t>right handed</t>
  </si>
  <si>
    <t>सव्य</t>
  </si>
  <si>
    <t>rigid axle truck</t>
  </si>
  <si>
    <t>दृढ अक्ष शकट</t>
  </si>
  <si>
    <t>rigid support</t>
  </si>
  <si>
    <t>दृढ आधार</t>
  </si>
  <si>
    <t>ring</t>
  </si>
  <si>
    <t>वलय (न.)</t>
  </si>
  <si>
    <t>ring antenna</t>
  </si>
  <si>
    <t>वलय आकाशग</t>
  </si>
  <si>
    <t>ring armature</t>
  </si>
  <si>
    <t>वलय आर्मेचर</t>
  </si>
  <si>
    <t>ring clutch</t>
  </si>
  <si>
    <t>वलय ग्राभ</t>
  </si>
  <si>
    <t>ring connected armature</t>
  </si>
  <si>
    <t>वलय बद्ध आर्मेचर</t>
  </si>
  <si>
    <t>ring core</t>
  </si>
  <si>
    <t>वलय क्रोड</t>
  </si>
  <si>
    <t>ring current</t>
  </si>
  <si>
    <t>वलय धारा</t>
  </si>
  <si>
    <t>ring guard</t>
  </si>
  <si>
    <t>वलय रक्षी</t>
  </si>
  <si>
    <t>ring mains</t>
  </si>
  <si>
    <t>वलय प्रधानवाही (पु.अ.व.)</t>
  </si>
  <si>
    <t>ring system</t>
  </si>
  <si>
    <t>वलय पद्धति</t>
  </si>
  <si>
    <t>ring winding</t>
  </si>
  <si>
    <t>वलय कुंडलन, वलयी कुंडलन</t>
  </si>
  <si>
    <t>ringing</t>
  </si>
  <si>
    <t>नादन (न.), नाद (पु.)</t>
  </si>
  <si>
    <t>ripple</t>
  </si>
  <si>
    <t>ऊर्मिका (स्त्री.)</t>
  </si>
  <si>
    <t>ripple filter</t>
  </si>
  <si>
    <t>ऊर्मिका गाळणी</t>
  </si>
  <si>
    <t>ripple frequency</t>
  </si>
  <si>
    <t>ऊर्मिका वारंवारता</t>
  </si>
  <si>
    <t>ripple voltage</t>
  </si>
  <si>
    <t>ऊर्मिका व्होल्टता</t>
  </si>
  <si>
    <t>rise</t>
  </si>
  <si>
    <t>वृद्धि (स्त्री.), वाढ (स्त्री.)</t>
  </si>
  <si>
    <t>rise and fall shutter</t>
  </si>
  <si>
    <t>वर खाली होणारी झडप</t>
  </si>
  <si>
    <t>rise time</t>
  </si>
  <si>
    <t>वृद्धिकाल (पु.)</t>
  </si>
  <si>
    <t>rising mains</t>
  </si>
  <si>
    <t>आरोही प्रधानवाही (पु.अ.व.)</t>
  </si>
  <si>
    <t>rolling stock</t>
  </si>
  <si>
    <t>चल संच</t>
  </si>
  <si>
    <t>Rontgen rays</t>
  </si>
  <si>
    <t>room</t>
  </si>
  <si>
    <t>room index</t>
  </si>
  <si>
    <t>कक्ष निर्देशांक</t>
  </si>
  <si>
    <t>root locus</t>
  </si>
  <si>
    <t>मूल बिंदुपथ</t>
  </si>
  <si>
    <t>root mean square value</t>
  </si>
  <si>
    <t>वर्गमाध्य वर्गमूळ मूल्य (व.मा.व.मूल्य)</t>
  </si>
  <si>
    <t>R.M.S. value</t>
  </si>
  <si>
    <t>rose</t>
  </si>
  <si>
    <t>कटोरी (स्त्री.), वाटी (स्त्री.)</t>
  </si>
  <si>
    <t>rotary</t>
  </si>
  <si>
    <t>घूर्णी</t>
  </si>
  <si>
    <t>rotary convertor</t>
  </si>
  <si>
    <t>घूर्णी रुपांतरित्र</t>
  </si>
  <si>
    <t>rotary dial system</t>
  </si>
  <si>
    <t>घूर्णी तबकडी पद्धति</t>
  </si>
  <si>
    <t>rotary discharger</t>
  </si>
  <si>
    <t>घूर्णी निर्भारी</t>
  </si>
  <si>
    <t>rotary phase convertor</t>
  </si>
  <si>
    <t>घूर्णी प्रावस्था रुपांतरित्र</t>
  </si>
  <si>
    <t>rotary substation</t>
  </si>
  <si>
    <t>घूर्णी उपकेंद्र</t>
  </si>
  <si>
    <t>rotary switch</t>
  </si>
  <si>
    <t>घूर्णी स्विच</t>
  </si>
  <si>
    <t>also turn switch</t>
  </si>
  <si>
    <t>rotary transformer</t>
  </si>
  <si>
    <t>घूर्णी परिवर्तित्र</t>
  </si>
  <si>
    <t>rotating anode x ray tube</t>
  </si>
  <si>
    <t>घूर्णी ऍनोड क्ष किरण नलिका</t>
  </si>
  <si>
    <t>rotating brush</t>
  </si>
  <si>
    <t>घूर्णी कुंचला, घूर्णी कुंचा</t>
  </si>
  <si>
    <t>rotating component</t>
  </si>
  <si>
    <t>घूर्णी घटक</t>
  </si>
  <si>
    <t>rotating field</t>
  </si>
  <si>
    <t>घूर्णी क्षेत्र</t>
  </si>
  <si>
    <t>rotation</t>
  </si>
  <si>
    <t>घूर्णन (न.)</t>
  </si>
  <si>
    <t>rotor</t>
  </si>
  <si>
    <t>भ्रमी (पु.), भ्रमिता (पु.)</t>
  </si>
  <si>
    <t>round block</t>
  </si>
  <si>
    <t>गोल ब्लॉक</t>
  </si>
  <si>
    <t>roving</t>
  </si>
  <si>
    <t>संचारी</t>
  </si>
  <si>
    <t>roving eye</t>
  </si>
  <si>
    <t>संचारी नेत्र</t>
  </si>
  <si>
    <t>roving frame motor</t>
  </si>
  <si>
    <t>संचारी चौकट चलित्र</t>
  </si>
  <si>
    <t>rsistance</t>
  </si>
  <si>
    <t>रोध (पु.)</t>
  </si>
  <si>
    <t>rubber insulated cable</t>
  </si>
  <si>
    <t>रबर निरोधित केबल</t>
  </si>
  <si>
    <t>rule</t>
  </si>
  <si>
    <t>run back prevention</t>
  </si>
  <si>
    <t>पश्चगति प्रतिबंध</t>
  </si>
  <si>
    <t>run by</t>
  </si>
  <si>
    <t>running life</t>
  </si>
  <si>
    <t>सेवा आयुष्य</t>
  </si>
  <si>
    <t>rupturing</t>
  </si>
  <si>
    <t>भंजन (न.)</t>
  </si>
  <si>
    <t>rupturing capacity</t>
  </si>
  <si>
    <t>rush</t>
  </si>
  <si>
    <t>प्रधाव (स्त्री.)</t>
  </si>
  <si>
    <t>rust proof</t>
  </si>
  <si>
    <t>गंजरक्षित</t>
  </si>
  <si>
    <t>saddle</t>
  </si>
  <si>
    <t>बैठक (स्त्री.)</t>
  </si>
  <si>
    <t>saddle coil</t>
  </si>
  <si>
    <t>बैठक कुंडल</t>
  </si>
  <si>
    <t>safety</t>
  </si>
  <si>
    <t>सुरक्षा (स्त्री.)</t>
  </si>
  <si>
    <t>safety belt equipment</t>
  </si>
  <si>
    <t>सुरक्षा पट्टा सामग्री</t>
  </si>
  <si>
    <t>safety cut out</t>
  </si>
  <si>
    <t>सुरक्षा भंजक</t>
  </si>
  <si>
    <t>safety device</t>
  </si>
  <si>
    <t>सुरक्षा साधन</t>
  </si>
  <si>
    <t>safety factor</t>
  </si>
  <si>
    <t>सुरक्षांक (पु.)</t>
  </si>
  <si>
    <t>safety fuse</t>
  </si>
  <si>
    <t>सुरक्षा वितळतार</t>
  </si>
  <si>
    <t>safety gear</t>
  </si>
  <si>
    <t>सुरक्षा सामग्री</t>
  </si>
  <si>
    <t>safety switch</t>
  </si>
  <si>
    <t>सुरक्षा स्विच</t>
  </si>
  <si>
    <t>sag</t>
  </si>
  <si>
    <t>झोळ (पु.)</t>
  </si>
  <si>
    <t>salient</t>
  </si>
  <si>
    <t>सुप्रकट</t>
  </si>
  <si>
    <t>salient features</t>
  </si>
  <si>
    <t>सुप्रकट वैशिष्ट्ये (न.अ.व.)</t>
  </si>
  <si>
    <t>salient pole</t>
  </si>
  <si>
    <t>सुप्रकट धुव</t>
  </si>
  <si>
    <t>salient pole generator</t>
  </si>
  <si>
    <t>सुप्रकट धुव जनित्र</t>
  </si>
  <si>
    <t>salt bath heating</t>
  </si>
  <si>
    <t>क्षार मज्जनी ऊष्मन</t>
  </si>
  <si>
    <t>sample data</t>
  </si>
  <si>
    <t>विचयन दत्त</t>
  </si>
  <si>
    <t>sampling theorem</t>
  </si>
  <si>
    <t>विचयन प्रमेय</t>
  </si>
  <si>
    <t>sander</t>
  </si>
  <si>
    <t>वालुकाक्षेपी (पु.)</t>
  </si>
  <si>
    <t>satellite exchange</t>
  </si>
  <si>
    <t>उपग्रह विनिमय</t>
  </si>
  <si>
    <t>saturated diode</t>
  </si>
  <si>
    <t>संपृक्त डायोड</t>
  </si>
  <si>
    <t>saturation</t>
  </si>
  <si>
    <t>संपृक्ति (स्त्री.)</t>
  </si>
  <si>
    <t>saturation current</t>
  </si>
  <si>
    <t>संपृक्ति धारा</t>
  </si>
  <si>
    <t>saturation curve</t>
  </si>
  <si>
    <t>संपृक्ति वक्र</t>
  </si>
  <si>
    <t>saturation factor</t>
  </si>
  <si>
    <t>संपृक्ति अंक</t>
  </si>
  <si>
    <t>sausage</t>
  </si>
  <si>
    <t>गुच्छ (पु.), मोळी (स्त्री.)</t>
  </si>
  <si>
    <t>sausage aerial</t>
  </si>
  <si>
    <t>गुच्छ आकाशग</t>
  </si>
  <si>
    <t>saw</t>
  </si>
  <si>
    <t>आरा (पु.), करवत (स्त्री.)</t>
  </si>
  <si>
    <t>saw tooth generator</t>
  </si>
  <si>
    <t>आरा दंत जनित्र</t>
  </si>
  <si>
    <t>saw tooth wave</t>
  </si>
  <si>
    <t>आरा दंत तरंग</t>
  </si>
  <si>
    <t>saw tooth wave form</t>
  </si>
  <si>
    <t>आरा दंत तरंग रुप</t>
  </si>
  <si>
    <t>scalar</t>
  </si>
  <si>
    <t>अदिश (पु.)</t>
  </si>
  <si>
    <t>scale</t>
  </si>
  <si>
    <t>१ मापनी (स्त्री.) २ प्रमाण (न.), मान (न.)</t>
  </si>
  <si>
    <t>scale of fitting and fixture</t>
  </si>
  <si>
    <t>जोडणी खिळणीचे प्रमाण</t>
  </si>
  <si>
    <t>scaling</t>
  </si>
  <si>
    <t>मापन (न.)</t>
  </si>
  <si>
    <t>scanning</t>
  </si>
  <si>
    <t>क्रमवीक्षण (न.)</t>
  </si>
  <si>
    <t>scarfed joint</t>
  </si>
  <si>
    <t>कलम जोड</t>
  </si>
  <si>
    <t>scatter propagation</t>
  </si>
  <si>
    <t>विकीर्ण प्रसारण</t>
  </si>
  <si>
    <t>scattered x rays</t>
  </si>
  <si>
    <t>विकीर्ण क्ष किरण (पु.अ.व.), विकीर्ण X किरण (पु.अ.व.)</t>
  </si>
  <si>
    <t>scattering</t>
  </si>
  <si>
    <t>विकिरण (न.)</t>
  </si>
  <si>
    <t>scattering coefficient</t>
  </si>
  <si>
    <t>विकिरण गुणांक</t>
  </si>
  <si>
    <t>scattering of radio waves</t>
  </si>
  <si>
    <t>रेडिओ तरंग विकिरण</t>
  </si>
  <si>
    <t>scattering parameter</t>
  </si>
  <si>
    <t>विकिरण परामूल्य</t>
  </si>
  <si>
    <t>schedule speed</t>
  </si>
  <si>
    <t>अनुसूचित चाल</t>
  </si>
  <si>
    <t>scherbius advancer</t>
  </si>
  <si>
    <t>शेरबीयस अग्रित्र</t>
  </si>
  <si>
    <t>schering bridge</t>
  </si>
  <si>
    <t>शेरिंग सेतु</t>
  </si>
  <si>
    <t>schofield tintometer</t>
  </si>
  <si>
    <t>शोफिल्ड झाकमापी</t>
  </si>
  <si>
    <t>Schottky effect</t>
  </si>
  <si>
    <t>शॉटकी प्रभाव</t>
  </si>
  <si>
    <t>Schrage motor</t>
  </si>
  <si>
    <t>आगे चलित्र</t>
  </si>
  <si>
    <t>scintillation</t>
  </si>
  <si>
    <t>प्रस्फुरण (न.)</t>
  </si>
  <si>
    <t>scintillation counter</t>
  </si>
  <si>
    <t>प्रस्फुर गणित्र</t>
  </si>
  <si>
    <t>scissors type bush holder</t>
  </si>
  <si>
    <t>कैचीसदृश कुंचलाधारक</t>
  </si>
  <si>
    <t>scotch yoke</t>
  </si>
  <si>
    <t>स्कॉच जू</t>
  </si>
  <si>
    <t>scotopic vision</t>
  </si>
  <si>
    <t>मंदप्रकाश दृष्टि</t>
  </si>
  <si>
    <t>scott connection</t>
  </si>
  <si>
    <t>स्कॉट जोडणी</t>
  </si>
  <si>
    <t>scrambler</t>
  </si>
  <si>
    <t>विसंबंधक (पु.)</t>
  </si>
  <si>
    <t>scrambling</t>
  </si>
  <si>
    <t>विसंबंधन (न.)</t>
  </si>
  <si>
    <t>scratch filter</t>
  </si>
  <si>
    <t>ओरखडा गाळणी</t>
  </si>
  <si>
    <t>screen</t>
  </si>
  <si>
    <t>१ पट (पु.), पडदा (पु.) २ चाळणी (स्त्री.) ३ पटल (न.)</t>
  </si>
  <si>
    <t>screen burning</t>
  </si>
  <si>
    <t>पट ज्वलन</t>
  </si>
  <si>
    <t>screen grid</t>
  </si>
  <si>
    <t>पटल जाल, पटल ग्रिड</t>
  </si>
  <si>
    <t>screen grid modulation</t>
  </si>
  <si>
    <t>पटल जाल आपरिवर्तन</t>
  </si>
  <si>
    <t>screen grid thyratron</t>
  </si>
  <si>
    <t>पटल जाल थायरेट्रॉन</t>
  </si>
  <si>
    <t>screen modulation</t>
  </si>
  <si>
    <t>पटल आपरिवर्तन</t>
  </si>
  <si>
    <t>screen protected motor</t>
  </si>
  <si>
    <t>पटलरक्षित चलित्र</t>
  </si>
  <si>
    <t>screened antenna</t>
  </si>
  <si>
    <t>पटलित आकाशग</t>
  </si>
  <si>
    <t>screening</t>
  </si>
  <si>
    <t>१ पटेक्षण (न.) २ पटलन (न.)</t>
  </si>
  <si>
    <t>screening effect</t>
  </si>
  <si>
    <t>पटल प्रभाव</t>
  </si>
  <si>
    <t>screening protector</t>
  </si>
  <si>
    <t>पटलन रक्षी</t>
  </si>
  <si>
    <t>screening reactor</t>
  </si>
  <si>
    <t>पटलकारी प्रतिरोधी</t>
  </si>
  <si>
    <t>screw</t>
  </si>
  <si>
    <t>पेच (पु.), स्क्रू (पु.)</t>
  </si>
  <si>
    <t>screw cap</t>
  </si>
  <si>
    <t>पेच टोपण</t>
  </si>
  <si>
    <t>screw cap type insulator</t>
  </si>
  <si>
    <t>पेचटोपप्रकारचा निरोधी</t>
  </si>
  <si>
    <t>screw plug cartridge fuse</t>
  </si>
  <si>
    <t>पेच निग काडतूस वितळतार</t>
  </si>
  <si>
    <t>screwed conduit</t>
  </si>
  <si>
    <t>पेचित वाहनळी</t>
  </si>
  <si>
    <t>screwed coupler</t>
  </si>
  <si>
    <t>पेचित युग्मी</t>
  </si>
  <si>
    <t>screwed socket</t>
  </si>
  <si>
    <t>पेचित खोबण</t>
  </si>
  <si>
    <t>seal</t>
  </si>
  <si>
    <t>निमीलन होणे, निमीलन करणे</t>
  </si>
  <si>
    <t>sealed end</t>
  </si>
  <si>
    <t>मुद्रित अंत</t>
  </si>
  <si>
    <t>sealed off cathode ray oscillograph</t>
  </si>
  <si>
    <t>मुद्रित कॅथोड किरण दोलनलेखी</t>
  </si>
  <si>
    <t>sealing box</t>
  </si>
  <si>
    <t>मुद्रा पेटी</t>
  </si>
  <si>
    <t>sealing chamber</t>
  </si>
  <si>
    <t>मुद्रा कक्ष</t>
  </si>
  <si>
    <t>sealing end</t>
  </si>
  <si>
    <t>मुद्रण अंत</t>
  </si>
  <si>
    <t>seam</t>
  </si>
  <si>
    <t>किनार (स्त्री.)</t>
  </si>
  <si>
    <t>seam resistance welding</t>
  </si>
  <si>
    <t>किनार रोध सांधण</t>
  </si>
  <si>
    <t>seam welding</t>
  </si>
  <si>
    <t>किनार सांधण</t>
  </si>
  <si>
    <t>seamless</t>
  </si>
  <si>
    <t>किनारहीन</t>
  </si>
  <si>
    <t>search coil</t>
  </si>
  <si>
    <t>शोध कुंडल</t>
  </si>
  <si>
    <t>search light</t>
  </si>
  <si>
    <t>शोध दीप</t>
  </si>
  <si>
    <t>searcher</t>
  </si>
  <si>
    <t>seasonal tariff</t>
  </si>
  <si>
    <t>हंगामी प्रशुल्क, मोसमी प्रशुल्क</t>
  </si>
  <si>
    <t>second</t>
  </si>
  <si>
    <t>सेकंद (न.)</t>
  </si>
  <si>
    <t>unit</t>
  </si>
  <si>
    <t>second harmonic</t>
  </si>
  <si>
    <t>द्वितीय संवादिक</t>
  </si>
  <si>
    <t>secondary</t>
  </si>
  <si>
    <t>द्वितीयक कुंडल</t>
  </si>
  <si>
    <t>(a term commonly used for a secondary coil)</t>
  </si>
  <si>
    <t>दुय्यम, द्वितीयक, अन्य (as in to secondary channel interference अन्य प्रणाल व्यतिकरण)</t>
  </si>
  <si>
    <t>secondary battery</t>
  </si>
  <si>
    <t>दुय्यम बॅटरी</t>
  </si>
  <si>
    <t>secondary channel interference</t>
  </si>
  <si>
    <t>अन्य प्रणाल व्यतिकरण</t>
  </si>
  <si>
    <t>secondary coil</t>
  </si>
  <si>
    <t>secondary constant</t>
  </si>
  <si>
    <t>द्वितीयक स्थिरांक, दुय्यम स्थिरांक</t>
  </si>
  <si>
    <t>secondary detector</t>
  </si>
  <si>
    <t>द्वितीय शोधी</t>
  </si>
  <si>
    <t>secondary electrode</t>
  </si>
  <si>
    <t>दुय्यम इलेक्ट्रोड</t>
  </si>
  <si>
    <t>secondary electron</t>
  </si>
  <si>
    <t>दुय्यम इलेक्ट्रॉन</t>
  </si>
  <si>
    <t>secondary emission</t>
  </si>
  <si>
    <t>दुय्यम उत्सर्जन, द्वितीयक उत्सर्जन</t>
  </si>
  <si>
    <t>secondary emissive cell</t>
  </si>
  <si>
    <t>दुय्यम उत्सर्जी घट</t>
  </si>
  <si>
    <t>secondary frequency standard</t>
  </si>
  <si>
    <t>दुय्यम वारंवारता मानक</t>
  </si>
  <si>
    <t>secondary leakage</t>
  </si>
  <si>
    <t>द्वितीयक गलन</t>
  </si>
  <si>
    <t>secondary load</t>
  </si>
  <si>
    <t>द्वितीयक भार</t>
  </si>
  <si>
    <t>secondary standard</t>
  </si>
  <si>
    <t>दुय्यम मानक</t>
  </si>
  <si>
    <t>secondary standard lamp</t>
  </si>
  <si>
    <t>दुय्यम मानक दीप</t>
  </si>
  <si>
    <t>secondary variator</t>
  </si>
  <si>
    <t>दुय्यम विचरणी</t>
  </si>
  <si>
    <t>secondary voltage</t>
  </si>
  <si>
    <t>द्वितीयक व्होल्टता</t>
  </si>
  <si>
    <t>secondary wave</t>
  </si>
  <si>
    <t>दुय्यम तरंग</t>
  </si>
  <si>
    <t>secondary winding</t>
  </si>
  <si>
    <t>दुय्यम कुंडल</t>
  </si>
  <si>
    <t>secondary x ray</t>
  </si>
  <si>
    <t>दुय्यम क्ष किरण, दुय्यम X किरण</t>
  </si>
  <si>
    <t>secrecy equipment</t>
  </si>
  <si>
    <t>secret switch</t>
  </si>
  <si>
    <t>section</t>
  </si>
  <si>
    <t>१ खंड (पु.), भाग (पु.) २ छेद (पु.) ३ विभाग (पु.)</t>
  </si>
  <si>
    <t>section gap</t>
  </si>
  <si>
    <t>section insulator</t>
  </si>
  <si>
    <t>विभागीय निरोधी</t>
  </si>
  <si>
    <t>section pillar</t>
  </si>
  <si>
    <t>खंड स्तंभ</t>
  </si>
  <si>
    <t>section switch</t>
  </si>
  <si>
    <t>विभाग स्विच</t>
  </si>
  <si>
    <t>sectionalisation</t>
  </si>
  <si>
    <t>विभाजन (न.)</t>
  </si>
  <si>
    <t>sectionalisation of network</t>
  </si>
  <si>
    <t>जालव्यूह विभाजन</t>
  </si>
  <si>
    <t>sectionalise</t>
  </si>
  <si>
    <t>विभाग करणे, विभाग होणे</t>
  </si>
  <si>
    <t>sector flux</t>
  </si>
  <si>
    <t>खंड अभिवाह</t>
  </si>
  <si>
    <t>sectoral lens antenna</t>
  </si>
  <si>
    <t>वृत्तखंड भिंग आकाशग</t>
  </si>
  <si>
    <t>sediment</t>
  </si>
  <si>
    <t>अवसाद (पु.)</t>
  </si>
  <si>
    <t>seebeck effect</t>
  </si>
  <si>
    <t>सीबेक परिणाम</t>
  </si>
  <si>
    <t>segment</t>
  </si>
  <si>
    <t>खंड (पु.)</t>
  </si>
  <si>
    <t>segmental</t>
  </si>
  <si>
    <t>खंडीय</t>
  </si>
  <si>
    <t>segmental armature core disc</t>
  </si>
  <si>
    <t>खंडीय आर्मेचर क्रोड चकती</t>
  </si>
  <si>
    <t>segmental conductor</t>
  </si>
  <si>
    <t>खंडीय वाही</t>
  </si>
  <si>
    <t>seizing signal</t>
  </si>
  <si>
    <t>पकड संकेत</t>
  </si>
  <si>
    <t>selectance</t>
  </si>
  <si>
    <t>वरणांक (पु.)</t>
  </si>
  <si>
    <t>selection</t>
  </si>
  <si>
    <t>निवड (स्त्री.), वरण (न.)</t>
  </si>
  <si>
    <t>selective</t>
  </si>
  <si>
    <t>निवडक, वरणीय</t>
  </si>
  <si>
    <t>selective communication</t>
  </si>
  <si>
    <t>निवडक संपरिवर्तन</t>
  </si>
  <si>
    <t>selective emission</t>
  </si>
  <si>
    <t>वरणीय उत्सर्जन</t>
  </si>
  <si>
    <t>selective fading</t>
  </si>
  <si>
    <t>वरणीय परिमंदन</t>
  </si>
  <si>
    <t>selective protection</t>
  </si>
  <si>
    <t>वरणीय रक्षण</t>
  </si>
  <si>
    <t>selective reflection</t>
  </si>
  <si>
    <t>वरणीय परावर्तन</t>
  </si>
  <si>
    <t>selective resonance</t>
  </si>
  <si>
    <t>वरणीय संस्पंदन</t>
  </si>
  <si>
    <t>selectivity</t>
  </si>
  <si>
    <t>वरणीयता (स्त्री.)</t>
  </si>
  <si>
    <t>selector</t>
  </si>
  <si>
    <t>वरणित्र (न.), संवरी (पु.), वरणी (पु.)</t>
  </si>
  <si>
    <t>selector plug</t>
  </si>
  <si>
    <t>वरणी निग</t>
  </si>
  <si>
    <t>selector switch</t>
  </si>
  <si>
    <t>वरणी स्विच</t>
  </si>
  <si>
    <t>selenium rectifier</t>
  </si>
  <si>
    <t>सेलेनिअम दिष्टकारी</t>
  </si>
  <si>
    <t>self baking</t>
  </si>
  <si>
    <t>स्वयंभर्जी</t>
  </si>
  <si>
    <t>self baking electrode</t>
  </si>
  <si>
    <t>स्वयंभर्जी इलेक्ट्रोड</t>
  </si>
  <si>
    <t>self balance protection</t>
  </si>
  <si>
    <t>स्वयंतुल रक्षण</t>
  </si>
  <si>
    <t>self capacitance</t>
  </si>
  <si>
    <t>स्वयंधारिता (स्त्री.)</t>
  </si>
  <si>
    <t>self closing door</t>
  </si>
  <si>
    <t>स्वयंबंदी दरवाजा</t>
  </si>
  <si>
    <t>self closing gate</t>
  </si>
  <si>
    <t>स्वयंबंदी द्वार</t>
  </si>
  <si>
    <t>self excitation</t>
  </si>
  <si>
    <t>स्वयंउत्तेजन (न.)</t>
  </si>
  <si>
    <t>self excited</t>
  </si>
  <si>
    <t>स्वयंउत्तेजित</t>
  </si>
  <si>
    <t>self excited oscillation</t>
  </si>
  <si>
    <t>स्वयंउत्तेजित दोलन</t>
  </si>
  <si>
    <t>self exciting induction generator</t>
  </si>
  <si>
    <t>स्वयंउत्तेजी प्रेरण जनित्र</t>
  </si>
  <si>
    <t>self heterodyne</t>
  </si>
  <si>
    <t>स्वयंमिश्रबल (न.)</t>
  </si>
  <si>
    <t>self impedance</t>
  </si>
  <si>
    <t>स्वसंरोध (पु.)</t>
  </si>
  <si>
    <t>self impedance of antenna</t>
  </si>
  <si>
    <t>आकाशग स्वसंरोध</t>
  </si>
  <si>
    <t>self induced electromotive force</t>
  </si>
  <si>
    <t>स्वयंप्रेरित विद्युतगामी बल</t>
  </si>
  <si>
    <t>self inductance</t>
  </si>
  <si>
    <t>स्वप्रेरितता (स्त्री.)</t>
  </si>
  <si>
    <t>self induction</t>
  </si>
  <si>
    <t>स्वप्रेरण (न.)</t>
  </si>
  <si>
    <t>self levelling device</t>
  </si>
  <si>
    <t>स्वयंसमतली साधन</t>
  </si>
  <si>
    <t>self operated</t>
  </si>
  <si>
    <t>स्वयंचलित</t>
  </si>
  <si>
    <t>self oscillation</t>
  </si>
  <si>
    <t>स्वयंदोलन (न.)</t>
  </si>
  <si>
    <t>self rectifying circuit</t>
  </si>
  <si>
    <t>स्वयंदिष्टकारी परिपथ</t>
  </si>
  <si>
    <t>self restoring coherer</t>
  </si>
  <si>
    <t>स्वयं पुनःस्थापी संसंजक</t>
  </si>
  <si>
    <t>self starting synchronous motor</t>
  </si>
  <si>
    <t>स्वयं आरंभी संकालिक चलित्र</t>
  </si>
  <si>
    <t>self surge impedance</t>
  </si>
  <si>
    <t>उल्लोल स्वसंरोध, स्वौल्लोल संरोध</t>
  </si>
  <si>
    <t>self synchronising</t>
  </si>
  <si>
    <t>स्वसंकालन (न.)</t>
  </si>
  <si>
    <t>स्वयंसंकालक</t>
  </si>
  <si>
    <t>self ventilated</t>
  </si>
  <si>
    <t>स्वयंवातित</t>
  </si>
  <si>
    <t>selsyn</t>
  </si>
  <si>
    <t>semaphore signals</t>
  </si>
  <si>
    <t>चिन्ह संकेत (पु.अ.व.)</t>
  </si>
  <si>
    <t>semi automatic</t>
  </si>
  <si>
    <t>अर्धस्वयंचलित</t>
  </si>
  <si>
    <t>semi automatic arc welding</t>
  </si>
  <si>
    <t>अर्धस्वयंचलित प्रज्योत सांधण</t>
  </si>
  <si>
    <t>semi automatic exchange</t>
  </si>
  <si>
    <t>अर्धस्वयंचलित विनिमय</t>
  </si>
  <si>
    <t>semi closed slot</t>
  </si>
  <si>
    <t>अर्ध बंद खाच</t>
  </si>
  <si>
    <t>semi conductor</t>
  </si>
  <si>
    <t>अर्धवाही (पु.)</t>
  </si>
  <si>
    <t>N type semi conductor N प्रकार अर्धवाही P type semi conductor P प्रकार अर्धवाही</t>
  </si>
  <si>
    <t>semi direct lighting</t>
  </si>
  <si>
    <t>अर्धसरल दीपन</t>
  </si>
  <si>
    <t>semi dual control</t>
  </si>
  <si>
    <t>अर्धद्वैती नियंत्रण</t>
  </si>
  <si>
    <t>semi enclosed</t>
  </si>
  <si>
    <t>अर्धसमावृत</t>
  </si>
  <si>
    <t>semi enclosed fuse</t>
  </si>
  <si>
    <t>अर्धसमावृत वितळतार</t>
  </si>
  <si>
    <t>semi flush switch</t>
  </si>
  <si>
    <t>अर्ध समतल स्विच, अर्ध निवेशित स्विच</t>
  </si>
  <si>
    <t>semi immersed liquid quenched fuse</t>
  </si>
  <si>
    <t>अर्धनिमज्जित द्रवशामित वितळतार</t>
  </si>
  <si>
    <t>semi indirect fitting</t>
  </si>
  <si>
    <t>अर्ध असरल उपकरण</t>
  </si>
  <si>
    <t>semi indirect lighting</t>
  </si>
  <si>
    <t>अर्ध असरल दीपन</t>
  </si>
  <si>
    <t>semi log plot</t>
  </si>
  <si>
    <t>अर्धलाग आलेख</t>
  </si>
  <si>
    <t>semi permeable partition</t>
  </si>
  <si>
    <t>अर्ध पार्थ विभाजन</t>
  </si>
  <si>
    <t>semi recessed switch</t>
  </si>
  <si>
    <t>अर्ध निवेशित स्विच</t>
  </si>
  <si>
    <t>semi sunk switch</t>
  </si>
  <si>
    <t>अर्धनिवेशित स्विच</t>
  </si>
  <si>
    <t>semi-conductor rectifier</t>
  </si>
  <si>
    <t>अर्ध वाही दिष्टकारी</t>
  </si>
  <si>
    <t>sender</t>
  </si>
  <si>
    <t>प्रेषी (पु.)</t>
  </si>
  <si>
    <t>sending end</t>
  </si>
  <si>
    <t>प्रेषण टोक</t>
  </si>
  <si>
    <t>sense</t>
  </si>
  <si>
    <t>अभिदिशा (स्त्री.)</t>
  </si>
  <si>
    <t>sense determination</t>
  </si>
  <si>
    <t>अभिदिशा निश्चिति</t>
  </si>
  <si>
    <t>sensible</t>
  </si>
  <si>
    <t>संवेद्य</t>
  </si>
  <si>
    <t>sensing</t>
  </si>
  <si>
    <t>संवेदन (न.)</t>
  </si>
  <si>
    <t>sensitisation</t>
  </si>
  <si>
    <t>संवेदीकरण (न.)</t>
  </si>
  <si>
    <t>sensitive</t>
  </si>
  <si>
    <t>संवेदी</t>
  </si>
  <si>
    <t>sensitiveness</t>
  </si>
  <si>
    <t>संवेदनशीलता (स्त्री.)</t>
  </si>
  <si>
    <t>sensitivity</t>
  </si>
  <si>
    <t>संवेदिता (स्त्री.), संवेदनता (स्त्री.)</t>
  </si>
  <si>
    <t>sensor</t>
  </si>
  <si>
    <t>संवेदी (पु.)</t>
  </si>
  <si>
    <t>separate excitation</t>
  </si>
  <si>
    <t>पृथक उत्तेजन, बहिरुत्तेजन (न.)</t>
  </si>
  <si>
    <t>separately excited</t>
  </si>
  <si>
    <t>बहिरुत्तेजित</t>
  </si>
  <si>
    <t>separately ventilated motor</t>
  </si>
  <si>
    <t>बहिर्वातित चलित्र</t>
  </si>
  <si>
    <t>separation</t>
  </si>
  <si>
    <t>विलगन (न.)</t>
  </si>
  <si>
    <t>separation circuit</t>
  </si>
  <si>
    <t>separator</t>
  </si>
  <si>
    <t>पृथक्कारी (पु.), विलगक (पु.)</t>
  </si>
  <si>
    <t>separator circuit</t>
  </si>
  <si>
    <t>पृथक्कारी परिपथ</t>
  </si>
  <si>
    <t>also separation circuit</t>
  </si>
  <si>
    <t>sequence</t>
  </si>
  <si>
    <t>अनुक्रम (पु.), क्रम (पु.)</t>
  </si>
  <si>
    <t>क्रमिक</t>
  </si>
  <si>
    <t>sequence signal</t>
  </si>
  <si>
    <t>क्रमिक संकेत</t>
  </si>
  <si>
    <t>sequence start ballast</t>
  </si>
  <si>
    <t>अनुक्रम आरंभ स्थैर्यभार</t>
  </si>
  <si>
    <t>sequence switch</t>
  </si>
  <si>
    <t>अनुक्रम स्विच, क्रमिक स्विच</t>
  </si>
  <si>
    <t>sequence table</t>
  </si>
  <si>
    <t>अनुक्रम सारणी</t>
  </si>
  <si>
    <t>sequential scanning</t>
  </si>
  <si>
    <t>अनुक्रमी क्रमवीक्षण</t>
  </si>
  <si>
    <t>series</t>
  </si>
  <si>
    <t>श्रेणी (स्त्री.)</t>
  </si>
  <si>
    <t>sing. &amp; pl.</t>
  </si>
  <si>
    <t>series and shunt feed back</t>
  </si>
  <si>
    <t>श्रेणी आणि पार्श्वपथ पश्चप्रदाय</t>
  </si>
  <si>
    <t>series arm</t>
  </si>
  <si>
    <t>श्रेणी बाहु, श्रेणी भुज</t>
  </si>
  <si>
    <t>series characteristic</t>
  </si>
  <si>
    <t>श्रेणी अभिलक्षण</t>
  </si>
  <si>
    <t>series characteristic motor</t>
  </si>
  <si>
    <t>श्रेणी अभिलक्षणी चलित्र</t>
  </si>
  <si>
    <t>series circuit</t>
  </si>
  <si>
    <t>श्रेणी परिपथ</t>
  </si>
  <si>
    <t>series coil</t>
  </si>
  <si>
    <t>श्रेणी कुंडल</t>
  </si>
  <si>
    <t>series field</t>
  </si>
  <si>
    <t>श्रेणी क्षेत्र</t>
  </si>
  <si>
    <t>series modulation</t>
  </si>
  <si>
    <t>श्रेणी आपरिवर्तन</t>
  </si>
  <si>
    <t>series motor</t>
  </si>
  <si>
    <t>श्रेणी चलित्र</t>
  </si>
  <si>
    <t>series parallel circuit</t>
  </si>
  <si>
    <t>श्रेणी समांतर परिपथ</t>
  </si>
  <si>
    <t>series parallel connection</t>
  </si>
  <si>
    <t>श्रेणी समांतर जोडणी</t>
  </si>
  <si>
    <t>series parallel control</t>
  </si>
  <si>
    <t>श्रेणी समांतर नियंत्रण</t>
  </si>
  <si>
    <t>series parallel controller</t>
  </si>
  <si>
    <t>श्रेणी समांतर नियंत्री</t>
  </si>
  <si>
    <t>series parallel switch</t>
  </si>
  <si>
    <t>श्रेणी समांतर स्विच</t>
  </si>
  <si>
    <t>series parallel switching starter</t>
  </si>
  <si>
    <t>श्रेणी समांतर स्विचन आरंभी</t>
  </si>
  <si>
    <t>series parallel winding</t>
  </si>
  <si>
    <t>श्रेणी समांतर कुंडलन</t>
  </si>
  <si>
    <t>series regulator</t>
  </si>
  <si>
    <t>श्रेणी नियामी</t>
  </si>
  <si>
    <t>series resonant circuit</t>
  </si>
  <si>
    <t>श्रेणी संस्पंदी परिपथ</t>
  </si>
  <si>
    <t>series system</t>
  </si>
  <si>
    <t>श्रेणी पद्धति</t>
  </si>
  <si>
    <t>series system of distribution</t>
  </si>
  <si>
    <t>वितरणाची श्रेणी पद्धति</t>
  </si>
  <si>
    <t>series traction motor</t>
  </si>
  <si>
    <t>श्रेणी संकर्षण चलित्र</t>
  </si>
  <si>
    <t>series transformer</t>
  </si>
  <si>
    <t>श्रेणी परिवर्तित्र</t>
  </si>
  <si>
    <t>series trip</t>
  </si>
  <si>
    <t>श्रेणी सटक</t>
  </si>
  <si>
    <t>series winding</t>
  </si>
  <si>
    <t>१ श्रेणी कुंडलन २ श्रेणी कुंडल</t>
  </si>
  <si>
    <t>series wound</t>
  </si>
  <si>
    <t>श्रेणी कुंडलित</t>
  </si>
  <si>
    <t>serrated</t>
  </si>
  <si>
    <t>सरीदार</t>
  </si>
  <si>
    <t>serrated banding clip</t>
  </si>
  <si>
    <t>सरीदार बंध चाप</t>
  </si>
  <si>
    <t>serrated roller</t>
  </si>
  <si>
    <t>सरीदार लाटणी</t>
  </si>
  <si>
    <t>serrated vertical pulse</t>
  </si>
  <si>
    <t>सरीदार उभा स्पंद</t>
  </si>
  <si>
    <t>served lead covered cable</t>
  </si>
  <si>
    <t>वेष्टित शिसेकोषित केबल</t>
  </si>
  <si>
    <t>service</t>
  </si>
  <si>
    <t>service area</t>
  </si>
  <si>
    <t>सेवा क्षेत्र</t>
  </si>
  <si>
    <t>service cable</t>
  </si>
  <si>
    <t>सेवा केबल</t>
  </si>
  <si>
    <t>service call</t>
  </si>
  <si>
    <t>सेवा पाचारण</t>
  </si>
  <si>
    <t>service capacity</t>
  </si>
  <si>
    <t>सेवा क्षमता</t>
  </si>
  <si>
    <t>service charge</t>
  </si>
  <si>
    <t>सेवा आकार</t>
  </si>
  <si>
    <t>service factor</t>
  </si>
  <si>
    <t>सेवा अंक</t>
  </si>
  <si>
    <t>service lift</t>
  </si>
  <si>
    <t>सेवा उद्वाही</t>
  </si>
  <si>
    <t>service line</t>
  </si>
  <si>
    <t>सेवा तारमार्ग, सेवा तार</t>
  </si>
  <si>
    <t>service mains</t>
  </si>
  <si>
    <t>सेवा प्रधानवाही (पु.अ.व.)</t>
  </si>
  <si>
    <t>service value</t>
  </si>
  <si>
    <t>सेवा मूल्य</t>
  </si>
  <si>
    <t>service voltage</t>
  </si>
  <si>
    <t>सेवा व्होल्टता</t>
  </si>
  <si>
    <t>serving</t>
  </si>
  <si>
    <t>वेष्टन (न.), आवरण (न.)</t>
  </si>
  <si>
    <t>servo system</t>
  </si>
  <si>
    <t>सेवा पद्धति</t>
  </si>
  <si>
    <t>servomotor</t>
  </si>
  <si>
    <t>सेवा चलित्र (न.)</t>
  </si>
  <si>
    <t>set</t>
  </si>
  <si>
    <t>संच (पु.), सट (पु.)</t>
  </si>
  <si>
    <t>set noise</t>
  </si>
  <si>
    <t>सट कुरव</t>
  </si>
  <si>
    <t>set up scale instrument</t>
  </si>
  <si>
    <t>नष्ट शून्य उपकरण, दमनित शून्य उपकरण</t>
  </si>
  <si>
    <t>also suppressed zero instrument</t>
  </si>
  <si>
    <t>shackle</t>
  </si>
  <si>
    <t>निगड (स्त्री.)</t>
  </si>
  <si>
    <t>shackle insulator</t>
  </si>
  <si>
    <t>निगड निरोधी</t>
  </si>
  <si>
    <t>shaded pole</t>
  </si>
  <si>
    <t>छायित धुव (पु.)</t>
  </si>
  <si>
    <t>shaded pole instrument</t>
  </si>
  <si>
    <t>छायित धुव उपकरण</t>
  </si>
  <si>
    <t>also shielded pole instrument</t>
  </si>
  <si>
    <t>shadow factor</t>
  </si>
  <si>
    <t>छाया अंक</t>
  </si>
  <si>
    <t>shaft</t>
  </si>
  <si>
    <t>१ दंड (पु.) (as in armature shaft आर्मेचर दंड) २ कूप (पु.)</t>
  </si>
  <si>
    <t>shaft cable</t>
  </si>
  <si>
    <t>कूप टेबल</t>
  </si>
  <si>
    <t>shaped conductor</t>
  </si>
  <si>
    <t>रुपित वाही</t>
  </si>
  <si>
    <t>shaped conductor cable</t>
  </si>
  <si>
    <t>रुपित वाही केबल</t>
  </si>
  <si>
    <t>shaping network</t>
  </si>
  <si>
    <t>रुपण जालव्यूह</t>
  </si>
  <si>
    <t>sharp bend</t>
  </si>
  <si>
    <t>अल्पत्रिज्या वाक (पु.)</t>
  </si>
  <si>
    <t>sharp tuning</t>
  </si>
  <si>
    <t>सूक्ष्म मेलन</t>
  </si>
  <si>
    <t>sharpness of directivity</t>
  </si>
  <si>
    <t>दिशिकतेची सूक्ष्मता</t>
  </si>
  <si>
    <t>sheath</t>
  </si>
  <si>
    <t>कोष (पु.)</t>
  </si>
  <si>
    <t>sheath effect</t>
  </si>
  <si>
    <t>कोष परिणाम</t>
  </si>
  <si>
    <t>sheathed electrode</t>
  </si>
  <si>
    <t>कोषित इलेक्ट्रोड</t>
  </si>
  <si>
    <t>sheathed pilot system</t>
  </si>
  <si>
    <t>कोषित अभिदर्शी पद्धति</t>
  </si>
  <si>
    <t>sheave</t>
  </si>
  <si>
    <t>खाचकप्पी (स्त्री.)</t>
  </si>
  <si>
    <t>sheet</t>
  </si>
  <si>
    <t>पत्रा (पु.)</t>
  </si>
  <si>
    <t>shell</t>
  </si>
  <si>
    <t>shell type transformer</t>
  </si>
  <si>
    <t>कवच परिवर्तित्र</t>
  </si>
  <si>
    <t>shield</t>
  </si>
  <si>
    <t>परिरक्षी (पु.)</t>
  </si>
  <si>
    <t>shielded bridge</t>
  </si>
  <si>
    <t>परिरक्षित सेतु</t>
  </si>
  <si>
    <t>shielded coil</t>
  </si>
  <si>
    <t>परिरक्षित कुंडल</t>
  </si>
  <si>
    <t>shielded conductor cable</t>
  </si>
  <si>
    <t>परिरक्षित वाही केबल</t>
  </si>
  <si>
    <t>shielded pole instrument</t>
  </si>
  <si>
    <t>shielding</t>
  </si>
  <si>
    <t>परिरक्षण (न.)</t>
  </si>
  <si>
    <t>shielding coils</t>
  </si>
  <si>
    <t>परिरक्षण कुंडले (न.अ.व.)</t>
  </si>
  <si>
    <t>shift</t>
  </si>
  <si>
    <t>सृति (स्त्री.)</t>
  </si>
  <si>
    <t>shifted and delayed function</t>
  </si>
  <si>
    <t>सृत आणि विलंबित फल</t>
  </si>
  <si>
    <t>shifter</t>
  </si>
  <si>
    <t>सृतिकारी (पु.)</t>
  </si>
  <si>
    <t>shim</t>
  </si>
  <si>
    <t>पर्णी (पु.)</t>
  </si>
  <si>
    <t>shock excitation</t>
  </si>
  <si>
    <t>shockproof</t>
  </si>
  <si>
    <t>आघातरक्षित, आघातरक्षी-</t>
  </si>
  <si>
    <t>shockproof switch</t>
  </si>
  <si>
    <t>आघातरक्षी स्विच</t>
  </si>
  <si>
    <t>shoe</t>
  </si>
  <si>
    <t>पाद (पु.), पादतल (पु.)</t>
  </si>
  <si>
    <t>short</t>
  </si>
  <si>
    <t>लघु</t>
  </si>
  <si>
    <t>short chord winding</t>
  </si>
  <si>
    <t>लघु अभ्यंतर कुंडलन</t>
  </si>
  <si>
    <t>short circuit</t>
  </si>
  <si>
    <t>लघु परिपथ (पु.)</t>
  </si>
  <si>
    <t>short circuit admittance</t>
  </si>
  <si>
    <t>लघु परिपथ संवहन</t>
  </si>
  <si>
    <t>short circuit calculator</t>
  </si>
  <si>
    <t>लघु परिपथ गणित्र</t>
  </si>
  <si>
    <t>short circuit current</t>
  </si>
  <si>
    <t>लघु परिपथ धारा</t>
  </si>
  <si>
    <t>short circuit impedance</t>
  </si>
  <si>
    <t>लघु परिपथ संरोध</t>
  </si>
  <si>
    <t>short circuit ratio</t>
  </si>
  <si>
    <t>लघु परिपथ गुणोत्तर</t>
  </si>
  <si>
    <t>short circuit test</t>
  </si>
  <si>
    <t>लघु परिपथ परीक्षण</t>
  </si>
  <si>
    <t>short circuit transition</t>
  </si>
  <si>
    <t>लघु परिपथ संक्रमण</t>
  </si>
  <si>
    <t>short circuit voltage</t>
  </si>
  <si>
    <t>लघु परिपथ व्होल्टता</t>
  </si>
  <si>
    <t>short circuited rotor</t>
  </si>
  <si>
    <t>लघु परिपथ भ्रमिता</t>
  </si>
  <si>
    <t>short circuiting device</t>
  </si>
  <si>
    <t>लघु परिपथ साधन</t>
  </si>
  <si>
    <t>short linear source</t>
  </si>
  <si>
    <t>लघु रेखीय प्रभव</t>
  </si>
  <si>
    <t>short sight</t>
  </si>
  <si>
    <t>ऱ्हस्वदृष्टि (स्त्री.)</t>
  </si>
  <si>
    <t>short time breakdown voltage</t>
  </si>
  <si>
    <t>लघुकाल विभंग व्होल्टता</t>
  </si>
  <si>
    <t>short time current</t>
  </si>
  <si>
    <t>अल्पकाल धारा</t>
  </si>
  <si>
    <t>short time rating</t>
  </si>
  <si>
    <t>लघुकाल निर्धारण</t>
  </si>
  <si>
    <t>short wave therapy</t>
  </si>
  <si>
    <t>लघु तरंग चिकित्सा</t>
  </si>
  <si>
    <t>short waves</t>
  </si>
  <si>
    <t>लघु तरंग (पु.अ.व.)</t>
  </si>
  <si>
    <t>short winding</t>
  </si>
  <si>
    <t>लघु कुंडलन</t>
  </si>
  <si>
    <t>also bastard winding</t>
  </si>
  <si>
    <t>shortening condenser</t>
  </si>
  <si>
    <t>आकुंचन धारी</t>
  </si>
  <si>
    <t>shot</t>
  </si>
  <si>
    <t>निर्घात (पु.)</t>
  </si>
  <si>
    <t>shot effect</t>
  </si>
  <si>
    <t>निर्घात परिणाम, प्रक्षेप कुरव</t>
  </si>
  <si>
    <t>shoulder</t>
  </si>
  <si>
    <t>स्कंध (पु.)</t>
  </si>
  <si>
    <t>shower</t>
  </si>
  <si>
    <t>वर्षाव (पु.)</t>
  </si>
  <si>
    <t>shrinking commutator</t>
  </si>
  <si>
    <t>आकुंची संपरिवर्ती</t>
  </si>
  <si>
    <t>shunt</t>
  </si>
  <si>
    <t>पार्श्वपथ (पु.)</t>
  </si>
  <si>
    <t>shunt arm</t>
  </si>
  <si>
    <t>पार्श्वपथ भुज</t>
  </si>
  <si>
    <t>shunt characteristic</t>
  </si>
  <si>
    <t>पार्श्वपथ अभिलक्षण</t>
  </si>
  <si>
    <t>shunt characteristic motor</t>
  </si>
  <si>
    <t>पार्श्वपथ अभिलक्षण चलित्र</t>
  </si>
  <si>
    <t>shunt circuit</t>
  </si>
  <si>
    <t>पार्श्व परिपथ</t>
  </si>
  <si>
    <t>shunt coil</t>
  </si>
  <si>
    <t>पार्श्व कुंडल</t>
  </si>
  <si>
    <t>shunt excited antenna</t>
  </si>
  <si>
    <t>पार्श्वपथ उत्तेजित आकाशग</t>
  </si>
  <si>
    <t>shunt feed</t>
  </si>
  <si>
    <t>shunt field</t>
  </si>
  <si>
    <t>पार्श्वपथ क्षेत्र</t>
  </si>
  <si>
    <t>shunt field relay</t>
  </si>
  <si>
    <t>पार्श्वपथ क्षेत्र पुनरेषी</t>
  </si>
  <si>
    <t>shunt field rheostat</t>
  </si>
  <si>
    <t>पार्श्वपथ क्षेत्र चलरोधी</t>
  </si>
  <si>
    <t>shunt impedance</t>
  </si>
  <si>
    <t>पार्श्वपथ संरोध</t>
  </si>
  <si>
    <t>shunt transition</t>
  </si>
  <si>
    <t>पार्श्व संक्रमण, पार्श्वपथ संक्रमण</t>
  </si>
  <si>
    <t>shunt trip</t>
  </si>
  <si>
    <t>पार्श्वपथ सटक (स्त्री.)</t>
  </si>
  <si>
    <t>shunt winding</t>
  </si>
  <si>
    <t>१ पार्श्व कुंडल २ पार्श्व कुंडलन</t>
  </si>
  <si>
    <t>shunt wound</t>
  </si>
  <si>
    <t>पार्श्व कुंडलित</t>
  </si>
  <si>
    <t>shunted instrument</t>
  </si>
  <si>
    <t>सपार्श्वपथ उपकरण, पार्श्वपथित उपकरण</t>
  </si>
  <si>
    <t>shunting</t>
  </si>
  <si>
    <t>पार्श्वपथन (न.)</t>
  </si>
  <si>
    <t>shutter</t>
  </si>
  <si>
    <t>झडप (स्त्री.)</t>
  </si>
  <si>
    <t>shuttle armature</t>
  </si>
  <si>
    <t>धोटा आर्मेचर</t>
  </si>
  <si>
    <t>side</t>
  </si>
  <si>
    <t>बाजू (स्त्री.), पार्श्व (न.)</t>
  </si>
  <si>
    <t>side band</t>
  </si>
  <si>
    <t>पार्श्व पट्ट</t>
  </si>
  <si>
    <t>side circuit</t>
  </si>
  <si>
    <t>side contact rail</t>
  </si>
  <si>
    <t>पार्श्व स्पर्श रुळ</t>
  </si>
  <si>
    <t>side frequency</t>
  </si>
  <si>
    <t>पार्श्व वारंवारता</t>
  </si>
  <si>
    <t>side running trolley</t>
  </si>
  <si>
    <t>पार्श्व चक्र ठेला</t>
  </si>
  <si>
    <t>side sheets</t>
  </si>
  <si>
    <t>पार्श्व पत्रे (पु.अ.व.)</t>
  </si>
  <si>
    <t>side wave</t>
  </si>
  <si>
    <t>पार्श्व तरंग</t>
  </si>
  <si>
    <t>Siemens dynamometer</t>
  </si>
  <si>
    <t>सीमेन्सचा गतिजमापी</t>
  </si>
  <si>
    <t>siemens electro dynamometer</t>
  </si>
  <si>
    <t>सीमेन्सचा विदयुत गतिजमापी</t>
  </si>
  <si>
    <t>Siemens winding</t>
  </si>
  <si>
    <t>signal</t>
  </si>
  <si>
    <t>संकेत (पु.)</t>
  </si>
  <si>
    <t>signal control</t>
  </si>
  <si>
    <t>संकेत नियंत्रण</t>
  </si>
  <si>
    <t>signal generator</t>
  </si>
  <si>
    <t>संकेत जनित्र</t>
  </si>
  <si>
    <t>signal lamp</t>
  </si>
  <si>
    <t>संकेत दीप</t>
  </si>
  <si>
    <t>signal noise ratio</t>
  </si>
  <si>
    <t>संकेत कुरव गुणोत्तर</t>
  </si>
  <si>
    <t>signal plate</t>
  </si>
  <si>
    <t>संकेत पट्टी</t>
  </si>
  <si>
    <t>signal shaping</t>
  </si>
  <si>
    <t>संकेत रुपण</t>
  </si>
  <si>
    <t>signal to noise ratio</t>
  </si>
  <si>
    <t>signalling</t>
  </si>
  <si>
    <t>संकेतन (न.)</t>
  </si>
  <si>
    <t>silent discharge</t>
  </si>
  <si>
    <t>नीरव निर्भारण</t>
  </si>
  <si>
    <t>silhouette effect</t>
  </si>
  <si>
    <t>तिमिरचित्र प्रभाव, तिमिरचित्र परिणाम</t>
  </si>
  <si>
    <t>silit resistor</t>
  </si>
  <si>
    <t>सिलिट रोधी</t>
  </si>
  <si>
    <t>sill ratio</t>
  </si>
  <si>
    <t>तलसर गुणोत्तर, उंबरा गुणोत्तर</t>
  </si>
  <si>
    <t>silver coulometer</t>
  </si>
  <si>
    <t>रजत कुलोममापी</t>
  </si>
  <si>
    <t>silvered glass reflector</t>
  </si>
  <si>
    <t>रजत काच परावर्ती</t>
  </si>
  <si>
    <t>simple catenary construction</t>
  </si>
  <si>
    <t>सरल रज्जुका संरचना</t>
  </si>
  <si>
    <t>simple harmonic motion</t>
  </si>
  <si>
    <t>सरल संवादी गति</t>
  </si>
  <si>
    <t>simplex channel</t>
  </si>
  <si>
    <t>एकपथी प्रणाल</t>
  </si>
  <si>
    <t>simplex dialling</t>
  </si>
  <si>
    <t>एकपथी अंकपृष्ठन</t>
  </si>
  <si>
    <t>simplex system</t>
  </si>
  <si>
    <t>एकपथी पद्धति</t>
  </si>
  <si>
    <t>simplex winding</t>
  </si>
  <si>
    <t>१ एकपथी कुंडलन २ एकपथी कुंडल</t>
  </si>
  <si>
    <t>simulation</t>
  </si>
  <si>
    <t>सरुपण (न.), सदृशीकरण (न.)</t>
  </si>
  <si>
    <t>simultaneous broadcasting</t>
  </si>
  <si>
    <t>युगपत् परिक्षेपण</t>
  </si>
  <si>
    <t>sine galvanometer</t>
  </si>
  <si>
    <t>साईन गॅल्व्हानोमापी</t>
  </si>
  <si>
    <t>sine wave</t>
  </si>
  <si>
    <t>साईन तरंग</t>
  </si>
  <si>
    <t>singing</t>
  </si>
  <si>
    <t>१ स्वर (पु.) २ गान (न.)</t>
  </si>
  <si>
    <t>singing point</t>
  </si>
  <si>
    <t>स्वरबिंदु</t>
  </si>
  <si>
    <t>singing spark system</t>
  </si>
  <si>
    <t>स्वर स्फुल्लिंग पद्धति</t>
  </si>
  <si>
    <t>single block</t>
  </si>
  <si>
    <t>एकेरी ब्लॉक</t>
  </si>
  <si>
    <t>single break</t>
  </si>
  <si>
    <t>एकल भंग</t>
  </si>
  <si>
    <t>single break switch</t>
  </si>
  <si>
    <t>एकल भंजक स्विच</t>
  </si>
  <si>
    <t>single cable</t>
  </si>
  <si>
    <t>एकल केबल</t>
  </si>
  <si>
    <t>single catenary suspension</t>
  </si>
  <si>
    <t>एकल रज्जुका निलंबन</t>
  </si>
  <si>
    <t>single channel</t>
  </si>
  <si>
    <t>एकेरी प्रणाल, एकेरी वाहिनी</t>
  </si>
  <si>
    <t>single circuit</t>
  </si>
  <si>
    <t>एकल परिपथ</t>
  </si>
  <si>
    <t>single core cable</t>
  </si>
  <si>
    <t>एक क्रोड केबल</t>
  </si>
  <si>
    <t>single current</t>
  </si>
  <si>
    <t>एकल धारा</t>
  </si>
  <si>
    <t>single disc winding</t>
  </si>
  <si>
    <t>१ एकल चकती कुंडलन, एकेरी चकती कुंडलन २ एकेरी चकती कुंडल</t>
  </si>
  <si>
    <t>single electrode system</t>
  </si>
  <si>
    <t>एकल इलेक्ट्रोड पद्धति</t>
  </si>
  <si>
    <t>single fluid cell</t>
  </si>
  <si>
    <t>एक द्रायु घट</t>
  </si>
  <si>
    <t>single layer winding</t>
  </si>
  <si>
    <t>१ एकस्तरी कुंडलन, एकेरी स्तर कुंडलन २ एकस्तरी कुंडल, एकेरी स्तर कुंडल</t>
  </si>
  <si>
    <t>single line diagram</t>
  </si>
  <si>
    <t>एकरेषीय आकृति</t>
  </si>
  <si>
    <t>single line transmisison</t>
  </si>
  <si>
    <t>एकल तारमार्ग पारेषण</t>
  </si>
  <si>
    <t>single loop feed back</t>
  </si>
  <si>
    <t>एकलूपी पश्चप्रदाय</t>
  </si>
  <si>
    <t>single motor equipment</t>
  </si>
  <si>
    <t>एकचलित्र सामग्री</t>
  </si>
  <si>
    <t>single needle system</t>
  </si>
  <si>
    <t>एकसूची पद्धति</t>
  </si>
  <si>
    <t>single operator welding set</t>
  </si>
  <si>
    <t>एक परिकर्मा सांधण सट</t>
  </si>
  <si>
    <t>single phase</t>
  </si>
  <si>
    <t>एकल प्रावस्था (स्त्री.)</t>
  </si>
  <si>
    <t>single phase induction motor</t>
  </si>
  <si>
    <t>एकल प्रावस्था प्रेरण चलित्र</t>
  </si>
  <si>
    <t>single phase induction regulator</t>
  </si>
  <si>
    <t>एकल प्रावस्था प्रेरण नियामी</t>
  </si>
  <si>
    <t>single phase rectifier</t>
  </si>
  <si>
    <t>एकल प्रावस्था दिष्टकारी</t>
  </si>
  <si>
    <t>single phase rectifier circuit</t>
  </si>
  <si>
    <t>एकल प्रावस्था दिष्टकारी परिपथ</t>
  </si>
  <si>
    <t>single phase transformer</t>
  </si>
  <si>
    <t>एकल प्रावस्था परिवर्तित्र</t>
  </si>
  <si>
    <t>single phasing</t>
  </si>
  <si>
    <t>१ एकल प्रावस्थाभवन (न.) २ एकल प्रावस्थाकरण (न.)</t>
  </si>
  <si>
    <t>single pole</t>
  </si>
  <si>
    <t>एकल धुव</t>
  </si>
  <si>
    <t>single pole double throw switch</t>
  </si>
  <si>
    <t>एकधुवी द्विक्षेपी स्विच</t>
  </si>
  <si>
    <t>single pole single throw switch</t>
  </si>
  <si>
    <t>एकधुवी एकक्षेपी स्विच</t>
  </si>
  <si>
    <t>single pole switch</t>
  </si>
  <si>
    <t>एकल धुव स्विच</t>
  </si>
  <si>
    <t>single potential</t>
  </si>
  <si>
    <t>उएकल विभव</t>
  </si>
  <si>
    <t>single rate prepayment meter</t>
  </si>
  <si>
    <t>एकल दर पूर्वभरणा मापी</t>
  </si>
  <si>
    <t>single roping</t>
  </si>
  <si>
    <t>एकेरी दोरबंधन</t>
  </si>
  <si>
    <t>single side band generation</t>
  </si>
  <si>
    <t>एकल पार्श्वपट्ट जनन</t>
  </si>
  <si>
    <t>single side band receiver</t>
  </si>
  <si>
    <t>एकल पार्श्वपट्ट ग्राही</t>
  </si>
  <si>
    <t>single side band system</t>
  </si>
  <si>
    <t>एकल पार्श्वपट्ट पद्धति</t>
  </si>
  <si>
    <t>single side band transmission</t>
  </si>
  <si>
    <t>एकल पार्श्वपट्ट पारेषण</t>
  </si>
  <si>
    <t>single signal receiver</t>
  </si>
  <si>
    <t>एकल संकेत ग्राही</t>
  </si>
  <si>
    <t>single switch call</t>
  </si>
  <si>
    <t>एक स्विच पाचारण</t>
  </si>
  <si>
    <t>single throw switch</t>
  </si>
  <si>
    <t>एकक्षेपी स्विच</t>
  </si>
  <si>
    <t>single turn coil</t>
  </si>
  <si>
    <t>१ एकवेढी कुंडलन २ एकवेढा कुंडल</t>
  </si>
  <si>
    <t>single wire feeder</t>
  </si>
  <si>
    <t>एकतार प्रदायी</t>
  </si>
  <si>
    <t>single wrap roping</t>
  </si>
  <si>
    <t>एकलगुंठी रज्जुकाम</t>
  </si>
  <si>
    <t>sink</t>
  </si>
  <si>
    <t>sinor</t>
  </si>
  <si>
    <t>साइनदिश (पु.)</t>
  </si>
  <si>
    <t>sinusoidal</t>
  </si>
  <si>
    <t>साइनवक्र-</t>
  </si>
  <si>
    <t>sinusoidal therapy</t>
  </si>
  <si>
    <t>साइनवक्र चिकित्सा</t>
  </si>
  <si>
    <t>siren</t>
  </si>
  <si>
    <t>भोंगा (पु.)</t>
  </si>
  <si>
    <t>six phase rectifier circuit</t>
  </si>
  <si>
    <t>षट् प्रावस्था दिष्टकारी परिपथ</t>
  </si>
  <si>
    <t>skeleton type switchboard</t>
  </si>
  <si>
    <t>skew</t>
  </si>
  <si>
    <t>तिर्यक्</t>
  </si>
  <si>
    <t>skew coil</t>
  </si>
  <si>
    <t>तिर्यक् कुंडल</t>
  </si>
  <si>
    <t>skew symmetric</t>
  </si>
  <si>
    <t>तिर्यक् सममित</t>
  </si>
  <si>
    <t>skewed slot</t>
  </si>
  <si>
    <t>तिर्यक् खाच</t>
  </si>
  <si>
    <t>skiagraph</t>
  </si>
  <si>
    <t>छायालेख (पु.)</t>
  </si>
  <si>
    <t>skin effect</t>
  </si>
  <si>
    <t>पृष्ठ परिणाम, त्वचा परिणाम</t>
  </si>
  <si>
    <t>skip distance</t>
  </si>
  <si>
    <t>मूक अंतर, प्लुति अंतर</t>
  </si>
  <si>
    <t>skip effect</t>
  </si>
  <si>
    <t>प्लुति प्रभाव</t>
  </si>
  <si>
    <t>skirt</t>
  </si>
  <si>
    <t>स्कर्ट (पु.)</t>
  </si>
  <si>
    <t>sky factor</t>
  </si>
  <si>
    <t>आकाश अंक</t>
  </si>
  <si>
    <t>sky light</t>
  </si>
  <si>
    <t>आकाश प्रभा</t>
  </si>
  <si>
    <t>sky wave</t>
  </si>
  <si>
    <t>आकाश तरंग</t>
  </si>
  <si>
    <t>slab</t>
  </si>
  <si>
    <t>१ लादी (स्त्री.) २ टप्पा (पु.)</t>
  </si>
  <si>
    <t>slack cable switch</t>
  </si>
  <si>
    <t>सैल केबल स्विच</t>
  </si>
  <si>
    <t>slack rope switch</t>
  </si>
  <si>
    <t>सैल रज्जु स्विच</t>
  </si>
  <si>
    <t>slave clock</t>
  </si>
  <si>
    <t>दासघटि (स्त्री.)</t>
  </si>
  <si>
    <t>sleeve</t>
  </si>
  <si>
    <t>बाही (स्त्री.)</t>
  </si>
  <si>
    <t>sleeve control cord circuit</t>
  </si>
  <si>
    <t>बाही नियंत्रण रज्जु परिपथ</t>
  </si>
  <si>
    <t>sleeve joint</t>
  </si>
  <si>
    <t>बाही जोड</t>
  </si>
  <si>
    <t>slide base</t>
  </si>
  <si>
    <t>सरक तल (पु.)</t>
  </si>
  <si>
    <t>slide rails</t>
  </si>
  <si>
    <t>सरक रुळ (पु.अ.व.)</t>
  </si>
  <si>
    <t>slide resistance</t>
  </si>
  <si>
    <t>सरक रोध (पु.)</t>
  </si>
  <si>
    <t>slide wire</t>
  </si>
  <si>
    <t>सरक तार (स्त्री.)</t>
  </si>
  <si>
    <t>sliding contact</t>
  </si>
  <si>
    <t>सरक संपर्क</t>
  </si>
  <si>
    <t>sling</t>
  </si>
  <si>
    <t>दोलधारी (पु.)</t>
  </si>
  <si>
    <t>sling thermometer</t>
  </si>
  <si>
    <t>गोफण तापमापी, गोफण तापमानमापी</t>
  </si>
  <si>
    <t>slip</t>
  </si>
  <si>
    <t>सर्पण (न.)</t>
  </si>
  <si>
    <t>slip meter</t>
  </si>
  <si>
    <t>सर्पणमापी (पु.)</t>
  </si>
  <si>
    <t>slip regulator</t>
  </si>
  <si>
    <t>सर्पण नियामी</t>
  </si>
  <si>
    <t>slip ring</t>
  </si>
  <si>
    <t>सर्पी वलय (न.), सरक कडे (न.)</t>
  </si>
  <si>
    <t>slip ring bush</t>
  </si>
  <si>
    <t>सर्पी वलय बुश</t>
  </si>
  <si>
    <t>slip ring motor</t>
  </si>
  <si>
    <t>सर्पी वलय चलित्र</t>
  </si>
  <si>
    <t>slip ring rotor</t>
  </si>
  <si>
    <t>सर्पी वलय भ्रमिता</t>
  </si>
  <si>
    <t>slip ring spider</t>
  </si>
  <si>
    <t>सर्पी वलय क्रोडधारी</t>
  </si>
  <si>
    <t>slipper brake</t>
  </si>
  <si>
    <t>सर्पी आरोधी</t>
  </si>
  <si>
    <t>slope conductance</t>
  </si>
  <si>
    <t>प्रवणता रोध</t>
  </si>
  <si>
    <t>slot</t>
  </si>
  <si>
    <t>slot leakage</t>
  </si>
  <si>
    <t>खाच गलन</t>
  </si>
  <si>
    <t>slot linkage</t>
  </si>
  <si>
    <t>खाच ग्रथन</t>
  </si>
  <si>
    <t>slot pitch</t>
  </si>
  <si>
    <t>खाच अभ्यंतर</t>
  </si>
  <si>
    <t>slot ripple</t>
  </si>
  <si>
    <t>खाच ऊर्मिका</t>
  </si>
  <si>
    <t>slot system</t>
  </si>
  <si>
    <t>खाच पद्धति</t>
  </si>
  <si>
    <t>slot wedge</t>
  </si>
  <si>
    <t>खाच पाचर</t>
  </si>
  <si>
    <t>slotted core</t>
  </si>
  <si>
    <t>खचित क्रोड</t>
  </si>
  <si>
    <t>slow acting relay</t>
  </si>
  <si>
    <t>मंदचारी पुनरेषी</t>
  </si>
  <si>
    <t>slow break switch</t>
  </si>
  <si>
    <t>मंदवियोजी स्विच</t>
  </si>
  <si>
    <t>slowing switch</t>
  </si>
  <si>
    <t>मंदन स्विच</t>
  </si>
  <si>
    <t>sludge</t>
  </si>
  <si>
    <t>गाळ (पु.), अवमल (पु.)</t>
  </si>
  <si>
    <t>sludging</t>
  </si>
  <si>
    <t>अवमलन (न.)</t>
  </si>
  <si>
    <t>slug</t>
  </si>
  <si>
    <t>स्लग (पु.)</t>
  </si>
  <si>
    <t>small bayonet cap</t>
  </si>
  <si>
    <t>लहान संगीन टोपण</t>
  </si>
  <si>
    <t>small calorie</t>
  </si>
  <si>
    <t>small centre contact bayonet cap</t>
  </si>
  <si>
    <t>लहान मध्यसंपर्क संगीन टोपण</t>
  </si>
  <si>
    <t>small Edison screw cap</t>
  </si>
  <si>
    <t>लहान एडिसन पेचटोपण</t>
  </si>
  <si>
    <t>smasher</t>
  </si>
  <si>
    <t>भंजी (पु.)</t>
  </si>
  <si>
    <t>smith chart</t>
  </si>
  <si>
    <t>स्मिथचा तक्ता</t>
  </si>
  <si>
    <t>smooth conductor cable</t>
  </si>
  <si>
    <t>मसृण वाही केबल</t>
  </si>
  <si>
    <t>smooth core</t>
  </si>
  <si>
    <t>खाचहीन क्रोड</t>
  </si>
  <si>
    <t>also unslotted core</t>
  </si>
  <si>
    <t>smooth core armature</t>
  </si>
  <si>
    <t>खाचहीन क्रोड आर्मेचर</t>
  </si>
  <si>
    <t>smooth core rotor</t>
  </si>
  <si>
    <t>खाचहीन क्रोड भ्रमिता</t>
  </si>
  <si>
    <t>smoothing circuit</t>
  </si>
  <si>
    <t>सरलन परिपथ</t>
  </si>
  <si>
    <t>smoothing equipment</t>
  </si>
  <si>
    <t>सरलन सामग्री</t>
  </si>
  <si>
    <t>snap switch</t>
  </si>
  <si>
    <t>त्वर स्विच</t>
  </si>
  <si>
    <t>snapped conductor</t>
  </si>
  <si>
    <t>तुटलेला वाही</t>
  </si>
  <si>
    <t>snapping of conductor</t>
  </si>
  <si>
    <t>वाहीचे सटकन तुटणे</t>
  </si>
  <si>
    <t>socket</t>
  </si>
  <si>
    <t>socket inlet</t>
  </si>
  <si>
    <t>खोबण आगम</t>
  </si>
  <si>
    <t>socket outlet</t>
  </si>
  <si>
    <t>खोबण निर्गम</t>
  </si>
  <si>
    <t>socket outlet adapter</t>
  </si>
  <si>
    <t>खोबण निर्गम अनुकूलक</t>
  </si>
  <si>
    <t>socket outlet and plug</t>
  </si>
  <si>
    <t>खोबण निर्गम व निग</t>
  </si>
  <si>
    <t>sodium discharge</t>
  </si>
  <si>
    <t>सोडियम निर्भारण</t>
  </si>
  <si>
    <t>sodium discharge lamp</t>
  </si>
  <si>
    <t>सोडियम निर्भारण दीप</t>
  </si>
  <si>
    <t>sodium lamp</t>
  </si>
  <si>
    <t>सोडियम दीप</t>
  </si>
  <si>
    <t>sodium vapour</t>
  </si>
  <si>
    <t>सोडियम बाष्प</t>
  </si>
  <si>
    <t>sodium vapour lamp</t>
  </si>
  <si>
    <t>सोडियम बाष्प दीप</t>
  </si>
  <si>
    <t>soft colour</t>
  </si>
  <si>
    <t>मृदु वर्ण</t>
  </si>
  <si>
    <t>soft iron armature</t>
  </si>
  <si>
    <t>मृदु लोह आर्मेचर</t>
  </si>
  <si>
    <t>soft iron instrument</t>
  </si>
  <si>
    <t>मृदु लोह उपकरण</t>
  </si>
  <si>
    <t>soft valve</t>
  </si>
  <si>
    <t>मृदु झडप</t>
  </si>
  <si>
    <t>solar</t>
  </si>
  <si>
    <t>सौर</t>
  </si>
  <si>
    <t>solar activity</t>
  </si>
  <si>
    <t>सौर सक्रियता</t>
  </si>
  <si>
    <t>solar energy</t>
  </si>
  <si>
    <t>सौर ऊर्जा</t>
  </si>
  <si>
    <t>solar illumination</t>
  </si>
  <si>
    <t>सौर दीपन</t>
  </si>
  <si>
    <t>solar irradiation</t>
  </si>
  <si>
    <t>सौर अंतःप्रारण</t>
  </si>
  <si>
    <t>solder</t>
  </si>
  <si>
    <t>झाळणे</t>
  </si>
  <si>
    <t>झाळ (पु.), टाका (पु.)</t>
  </si>
  <si>
    <t>झाळण (न.)</t>
  </si>
  <si>
    <t>brazing पिझाळण ऐwelding सांधण</t>
  </si>
  <si>
    <t>sole plate</t>
  </si>
  <si>
    <t>तळपत्रा (पु.)</t>
  </si>
  <si>
    <t>solenoid</t>
  </si>
  <si>
    <t>नालकुंतल (पु.)</t>
  </si>
  <si>
    <t>solenoid brake</t>
  </si>
  <si>
    <t>नालकुंतल आरोधी</t>
  </si>
  <si>
    <t>solenoid relay</t>
  </si>
  <si>
    <t>नालकुंतल पुनरेषी</t>
  </si>
  <si>
    <t>solenoid starter</t>
  </si>
  <si>
    <t>नालकुंतल आरंभी</t>
  </si>
  <si>
    <t>solenoid valve</t>
  </si>
  <si>
    <t>नालकुंतल झडप</t>
  </si>
  <si>
    <t>solid</t>
  </si>
  <si>
    <t>१ घनाकृति, घन २ स्तरहीन</t>
  </si>
  <si>
    <t>solid carbon</t>
  </si>
  <si>
    <t>घन कार्बन</t>
  </si>
  <si>
    <t>solid conductor</t>
  </si>
  <si>
    <t>घन वाही</t>
  </si>
  <si>
    <t>solid end</t>
  </si>
  <si>
    <t>घन अग्र</t>
  </si>
  <si>
    <t>solid pole</t>
  </si>
  <si>
    <t>स्तरहीन धुव</t>
  </si>
  <si>
    <t>solid state diode</t>
  </si>
  <si>
    <t>घनावस्था डायोड</t>
  </si>
  <si>
    <t>solid state masser</t>
  </si>
  <si>
    <t>घनावस्था मेसर</t>
  </si>
  <si>
    <t>solid system</t>
  </si>
  <si>
    <t>घन पद्धति</t>
  </si>
  <si>
    <t>solidly earthed system</t>
  </si>
  <si>
    <t>sonde</t>
  </si>
  <si>
    <t>साँड (न.)</t>
  </si>
  <si>
    <t>sonic</t>
  </si>
  <si>
    <t>स्वनी</t>
  </si>
  <si>
    <t>ध्वनि (पु.)</t>
  </si>
  <si>
    <t>howling कोलाहलन hum गुंजारव humming गुंजन noise कुरव note स्वरक tone स्वर voice आवाज</t>
  </si>
  <si>
    <t>sounder</t>
  </si>
  <si>
    <t>१ परिज्ञापी (पु.) २ ध्वनित्र (न.)</t>
  </si>
  <si>
    <t>soundproof</t>
  </si>
  <si>
    <t>ध्वनिरक्षित</t>
  </si>
  <si>
    <t>source</t>
  </si>
  <si>
    <t>प्रभव (पु.)</t>
  </si>
  <si>
    <t>source colour</t>
  </si>
  <si>
    <t>प्रभव वर्ण</t>
  </si>
  <si>
    <t>space</t>
  </si>
  <si>
    <t>१ अवकाश (पु.) २ स्थान (न.)</t>
  </si>
  <si>
    <t>space attenuation</t>
  </si>
  <si>
    <t>अवकाश क्षीणन</t>
  </si>
  <si>
    <t>space charge</t>
  </si>
  <si>
    <t>अवकाश प्रभार</t>
  </si>
  <si>
    <t>space charge effect</t>
  </si>
  <si>
    <t>अवकाश प्रभार परिणाम</t>
  </si>
  <si>
    <t>space charge effect of electrons</t>
  </si>
  <si>
    <t>इलेक्ट्रॉनचे अवकाश प्रभार परिणाम</t>
  </si>
  <si>
    <t>space charge limitation</t>
  </si>
  <si>
    <t>अवकाश प्रभार सीमन</t>
  </si>
  <si>
    <t>space contact</t>
  </si>
  <si>
    <t>अवकाश संपर्क</t>
  </si>
  <si>
    <t>space current</t>
  </si>
  <si>
    <t>अवकाश धारा</t>
  </si>
  <si>
    <t>space diversity</t>
  </si>
  <si>
    <t>अवकाश विविधता</t>
  </si>
  <si>
    <t>space factor</t>
  </si>
  <si>
    <t>क्षेत्रांक</t>
  </si>
  <si>
    <t>space wave</t>
  </si>
  <si>
    <t>अवकाश तरंग</t>
  </si>
  <si>
    <t>spaced antennae</t>
  </si>
  <si>
    <t>अवकाशित आकाशग (पु.अ.व.)</t>
  </si>
  <si>
    <t>spacing</t>
  </si>
  <si>
    <t>१ अंतराल (पु.) २ अंतरालन (न.), अवकाशन (न.)</t>
  </si>
  <si>
    <t>spacing current</t>
  </si>
  <si>
    <t>अवकाशन धारा</t>
  </si>
  <si>
    <t>spacing height ratio</t>
  </si>
  <si>
    <t>अंतर उंची गुणोत्तर</t>
  </si>
  <si>
    <t>spacing of conductors</t>
  </si>
  <si>
    <t>१ वाही अंतराल २ वाही अंतरालन</t>
  </si>
  <si>
    <t>spacing of sources</t>
  </si>
  <si>
    <t>प्रभव अंतरालन</t>
  </si>
  <si>
    <t>spacing wave</t>
  </si>
  <si>
    <t>अवकाशन तरंग</t>
  </si>
  <si>
    <t>spade tuning</t>
  </si>
  <si>
    <t>खोरे मेलन</t>
  </si>
  <si>
    <t>span</t>
  </si>
  <si>
    <t>प्रांतर (न.)</t>
  </si>
  <si>
    <t>span length</t>
  </si>
  <si>
    <t>span pole</t>
  </si>
  <si>
    <t>प्रांतर खांब</t>
  </si>
  <si>
    <t>span wire</t>
  </si>
  <si>
    <t>प्रांतर तार (स्त्री.)</t>
  </si>
  <si>
    <t>spark</t>
  </si>
  <si>
    <t>स्फुल्लिंग (पु.) ठिणगी (स्त्री.)</t>
  </si>
  <si>
    <t>spark absorber</t>
  </si>
  <si>
    <t>स्फुल्लिंग शोषी</t>
  </si>
  <si>
    <t>spark advance</t>
  </si>
  <si>
    <t>स्फुल्लिंग अग्रेसरण</t>
  </si>
  <si>
    <t>spark coil</t>
  </si>
  <si>
    <t>स्फुल्लिंग कुंडल</t>
  </si>
  <si>
    <t>spark frequency</t>
  </si>
  <si>
    <t>स्फुल्लिंग वारंवारता</t>
  </si>
  <si>
    <t>spark gap</t>
  </si>
  <si>
    <t>स्फुल्लिंग अंतर</t>
  </si>
  <si>
    <t>spark gap arrester</t>
  </si>
  <si>
    <t>स्फुल्लिंग अंतर प्रग्राही</t>
  </si>
  <si>
    <t>spark over test</t>
  </si>
  <si>
    <t>स्फुल्लिंगन चाचणी</t>
  </si>
  <si>
    <t>also flashover test</t>
  </si>
  <si>
    <t>spark over voltage</t>
  </si>
  <si>
    <t>स्फुल्लिंगन व्होल्टता</t>
  </si>
  <si>
    <t>spark plug</t>
  </si>
  <si>
    <t>स्फुल्लिंग निग</t>
  </si>
  <si>
    <t>spark resistance</t>
  </si>
  <si>
    <t>स्फुल्लिंग रोध</t>
  </si>
  <si>
    <t>spark system</t>
  </si>
  <si>
    <t>स्फुल्लिंग पद्धति</t>
  </si>
  <si>
    <t>spark transmitter</t>
  </si>
  <si>
    <t>स्फुल्लिंग पारेषित्र</t>
  </si>
  <si>
    <t>sparking</t>
  </si>
  <si>
    <t>sparking contact</t>
  </si>
  <si>
    <t>स्फुल्लिंगन संपर्क</t>
  </si>
  <si>
    <t>sparking potential</t>
  </si>
  <si>
    <t>स्फुल्लिंगन विभव</t>
  </si>
  <si>
    <t>sparkless</t>
  </si>
  <si>
    <t>ठिणगीहीन, ठिणगीविरहित</t>
  </si>
  <si>
    <t>sparkless commutation</t>
  </si>
  <si>
    <t>ठिणगीविरहित संपरिवर्तन</t>
  </si>
  <si>
    <t>special duty motor</t>
  </si>
  <si>
    <t>विशिष्ट सेवा चलित्र</t>
  </si>
  <si>
    <t>specific</t>
  </si>
  <si>
    <t>विशिष्ट</t>
  </si>
  <si>
    <t>specific conductance</t>
  </si>
  <si>
    <t>विशिष्ट प्रवहन</t>
  </si>
  <si>
    <t>specific conductivity</t>
  </si>
  <si>
    <t>विशिष्ट वाहकता</t>
  </si>
  <si>
    <t>specific damping</t>
  </si>
  <si>
    <t>विशिष्ट अवमंदन</t>
  </si>
  <si>
    <t>specific electric loading</t>
  </si>
  <si>
    <t>विशिष्ट विद्युत भारण</t>
  </si>
  <si>
    <t>specific inductance capacity</t>
  </si>
  <si>
    <t>विशिष्ट प्रेरण क्षमता</t>
  </si>
  <si>
    <t>specific ionic mobility</t>
  </si>
  <si>
    <t>विशिष्ट आयनिक चलनशीलता</t>
  </si>
  <si>
    <t>specific output</t>
  </si>
  <si>
    <t>विशिष्ट प्रदान</t>
  </si>
  <si>
    <t>specific resistance</t>
  </si>
  <si>
    <t>विशिष्ट रोध, विशिष्ट रोधिता</t>
  </si>
  <si>
    <t>specific thermal resistance</t>
  </si>
  <si>
    <t>विशिष्ट तापीय रोधिता</t>
  </si>
  <si>
    <t>specific torque coefficient</t>
  </si>
  <si>
    <t>specification</t>
  </si>
  <si>
    <t>विनिर्देश (पु.)</t>
  </si>
  <si>
    <t>spectral absorption power</t>
  </si>
  <si>
    <t>पिसारा शोषण शक्ति</t>
  </si>
  <si>
    <t>spectral band</t>
  </si>
  <si>
    <t>पिसारा पट्ट</t>
  </si>
  <si>
    <t>spectral column</t>
  </si>
  <si>
    <t>पिसारा स्तंभ</t>
  </si>
  <si>
    <t>spectral distribution curve</t>
  </si>
  <si>
    <t>पिसारा वितरण वक्र</t>
  </si>
  <si>
    <t>spectral energy distribution</t>
  </si>
  <si>
    <t>पिसारा ऊर्जा वितरण</t>
  </si>
  <si>
    <t>spectral line</t>
  </si>
  <si>
    <t>पिसारा रेखा</t>
  </si>
  <si>
    <t>spectral power distribution</t>
  </si>
  <si>
    <t>पिसारा शक्ति वितरण</t>
  </si>
  <si>
    <t>spectral sensitivity</t>
  </si>
  <si>
    <t>पिसारा संवेदिता</t>
  </si>
  <si>
    <t>spectrometer</t>
  </si>
  <si>
    <t>पिसारणमापी (पु.), वर्णपंक्तिमापी (पु.)</t>
  </si>
  <si>
    <t>spectroradiometer</t>
  </si>
  <si>
    <t>पिसारारेडिओमापी (पु.)</t>
  </si>
  <si>
    <t>spectroscope</t>
  </si>
  <si>
    <t>पिसारणदर्शी (पु.)</t>
  </si>
  <si>
    <t>spectrum</t>
  </si>
  <si>
    <t>पिसारा (पु.), स्पेक्ट्रम (पु.), वर्णपंक्ति (स्त्री.)</t>
  </si>
  <si>
    <t>spectrum analyser</t>
  </si>
  <si>
    <t>स्पेक्ट्रम विश्लेषक</t>
  </si>
  <si>
    <t>specular</t>
  </si>
  <si>
    <t>दर्पणीय, दर्पणी</t>
  </si>
  <si>
    <t>specular reflection</t>
  </si>
  <si>
    <t>दर्पणी परावर्तन</t>
  </si>
  <si>
    <t>specular reflection factor</t>
  </si>
  <si>
    <t>दर्पणी परावर्तन अंक</t>
  </si>
  <si>
    <t>specularity</t>
  </si>
  <si>
    <t>दर्पणीयता (स्त्री.)</t>
  </si>
  <si>
    <t>specularly reflected flux</t>
  </si>
  <si>
    <t>दर्पणी परावर्तित अभिवाह</t>
  </si>
  <si>
    <t>speech bands</t>
  </si>
  <si>
    <t>वाक् पट्ट (पु.अ.व.)</t>
  </si>
  <si>
    <t>speed</t>
  </si>
  <si>
    <t>चाल (स्त्री.)</t>
  </si>
  <si>
    <t>speed adjusting rheostat</t>
  </si>
  <si>
    <t>चाल अनुयोजन चलरोधी</t>
  </si>
  <si>
    <t>speed governing</t>
  </si>
  <si>
    <t>चाल नियंत्रण</t>
  </si>
  <si>
    <t>speed of rotation</t>
  </si>
  <si>
    <t>घूर्णन चाल</t>
  </si>
  <si>
    <t>speed recovery</t>
  </si>
  <si>
    <t>चाल पूर्वस्थिति</t>
  </si>
  <si>
    <t>speed regulating rheostat</t>
  </si>
  <si>
    <t>चाल नियंत्री चलरोधी</t>
  </si>
  <si>
    <t>sphere gap</t>
  </si>
  <si>
    <t>गोलक अंतर</t>
  </si>
  <si>
    <t>spherical aberration</t>
  </si>
  <si>
    <t>गोलीय विपथन</t>
  </si>
  <si>
    <t>spherical reduction factor</t>
  </si>
  <si>
    <t>गोलीय अवकृत अंक</t>
  </si>
  <si>
    <t>spheroidal antenna</t>
  </si>
  <si>
    <t>गोलकल्पीय आकाशग</t>
  </si>
  <si>
    <t>spider</t>
  </si>
  <si>
    <t>क्रोडधारी (पु.)</t>
  </si>
  <si>
    <t>spigot</t>
  </si>
  <si>
    <t>निग (पु.)</t>
  </si>
  <si>
    <t>spill</t>
  </si>
  <si>
    <t>उत्प्लव (पु.)</t>
  </si>
  <si>
    <t>spindle</t>
  </si>
  <si>
    <t>चाती (स्त्री.)</t>
  </si>
  <si>
    <t>spiral scanning</t>
  </si>
  <si>
    <t>सर्पिल क्रमवीक्षण</t>
  </si>
  <si>
    <t>spiral time base</t>
  </si>
  <si>
    <t>सर्पिल वेळ आधार</t>
  </si>
  <si>
    <t>spirally wound electrode</t>
  </si>
  <si>
    <t>सर्पिल कुंडलित इलेक्ट्रोड</t>
  </si>
  <si>
    <t>splashproof</t>
  </si>
  <si>
    <t>उच्छलरक्षित</t>
  </si>
  <si>
    <t>splashproof apparatus</t>
  </si>
  <si>
    <t>उच्छलरक्षित सामग्री</t>
  </si>
  <si>
    <t>splashproof enclosure</t>
  </si>
  <si>
    <t>उच्छलरक्षित परिवेष्टन</t>
  </si>
  <si>
    <t>spliced joint</t>
  </si>
  <si>
    <t>समबद्ध जोड</t>
  </si>
  <si>
    <t>spliced return loop</t>
  </si>
  <si>
    <t>समबद्ध प्रत्यागामी लूप</t>
  </si>
  <si>
    <t>splicing ear</t>
  </si>
  <si>
    <t>समबंधन कान</t>
  </si>
  <si>
    <t>spline</t>
  </si>
  <si>
    <t>खाचपट्टी (स्त्री.)</t>
  </si>
  <si>
    <t>split</t>
  </si>
  <si>
    <t>विभाजित</t>
  </si>
  <si>
    <t>विभाजित करणे, विभाजित होणे</t>
  </si>
  <si>
    <t>split anode magnetron</t>
  </si>
  <si>
    <t>विभाजित ऍनोड मॅग्नेट्रॉन</t>
  </si>
  <si>
    <t>split conductor cable</t>
  </si>
  <si>
    <t>विभाजित वाही केबल</t>
  </si>
  <si>
    <t>split conductor protection</t>
  </si>
  <si>
    <t>विभाजित वाही रक्षण</t>
  </si>
  <si>
    <t>split fitting</t>
  </si>
  <si>
    <t>विभाजित जोडणी</t>
  </si>
  <si>
    <t>split phase</t>
  </si>
  <si>
    <t>विभाजित प्रावस्था (स्त्री.)</t>
  </si>
  <si>
    <t>splitter</t>
  </si>
  <si>
    <t>splitting plate</t>
  </si>
  <si>
    <t>विभाजन पत्री</t>
  </si>
  <si>
    <t>spoke construction</t>
  </si>
  <si>
    <t>आरेदार रचना</t>
  </si>
  <si>
    <t>spool</t>
  </si>
  <si>
    <t>रीळ (न.)</t>
  </si>
  <si>
    <t>sporadic E layer reflection</t>
  </si>
  <si>
    <t>तुरळक E स्तर परावर्तन, कदाचनिक E स्तर परावर्तन</t>
  </si>
  <si>
    <t>spot</t>
  </si>
  <si>
    <t>१ ठिपका (पु.), तिलक (पु.) २ बिंदु (पु.)</t>
  </si>
  <si>
    <t>spot lighting</t>
  </si>
  <si>
    <t>बिंदुप्रकाशन (न.), बिंदुदीपन (न.)</t>
  </si>
  <si>
    <t>spot welding</t>
  </si>
  <si>
    <t>ठिपका सांधण</t>
  </si>
  <si>
    <t>spot wobble</t>
  </si>
  <si>
    <t>तिलक दोलन</t>
  </si>
  <si>
    <t>spotlight</t>
  </si>
  <si>
    <t>बिंदुप्रकाश (पु.)</t>
  </si>
  <si>
    <t>spray</t>
  </si>
  <si>
    <t>तुषार (पु.)</t>
  </si>
  <si>
    <t>spray light enclosure</t>
  </si>
  <si>
    <t>तुषार प्रकाश परिवेष्टन</t>
  </si>
  <si>
    <t>spread</t>
  </si>
  <si>
    <t>spread factor</t>
  </si>
  <si>
    <t>वितरण अंक</t>
  </si>
  <si>
    <t>spreader</t>
  </si>
  <si>
    <t>विस्तारी (पु.), विसारी (पु.)</t>
  </si>
  <si>
    <t>spring</t>
  </si>
  <si>
    <t>स्प्रिंग (स्त्री.)</t>
  </si>
  <si>
    <t>spurious oscillation</t>
  </si>
  <si>
    <t>आगंतुक दोलन</t>
  </si>
  <si>
    <t>spurious response</t>
  </si>
  <si>
    <t>आगंतुक अनुक्रिया</t>
  </si>
  <si>
    <t>sputtering</t>
  </si>
  <si>
    <t>स्फुरंजन (न.)</t>
  </si>
  <si>
    <t>square law</t>
  </si>
  <si>
    <t>वर्ग नियम</t>
  </si>
  <si>
    <t>square law condenser</t>
  </si>
  <si>
    <t>वर्ग नियम धारी</t>
  </si>
  <si>
    <t>square law detector</t>
  </si>
  <si>
    <t>वर्ग नियम शोधी</t>
  </si>
  <si>
    <t>square law rectifier</t>
  </si>
  <si>
    <t>वर्ग नियम दिष्टकारी</t>
  </si>
  <si>
    <t>square pulse</t>
  </si>
  <si>
    <t>चौरस स्पंद</t>
  </si>
  <si>
    <t>square wave</t>
  </si>
  <si>
    <t>चौरस तरंग</t>
  </si>
  <si>
    <t>square wave generator</t>
  </si>
  <si>
    <t>चौरस तरंग जनित्र</t>
  </si>
  <si>
    <t>square wave oscillator</t>
  </si>
  <si>
    <t>चौरस तरंग दोली</t>
  </si>
  <si>
    <t>square wave testing</t>
  </si>
  <si>
    <t>चौरस तरंग चाचणी</t>
  </si>
  <si>
    <t>square wave testing of amplifier</t>
  </si>
  <si>
    <t>प्रवर्धीची चौरस तरंग चाचणी</t>
  </si>
  <si>
    <t>squelch circuit</t>
  </si>
  <si>
    <t>निर्दालन परिपथ</t>
  </si>
  <si>
    <t>squirrel cage induction motor</t>
  </si>
  <si>
    <t>पंजर प्रेरण चलित्र</t>
  </si>
  <si>
    <t>squirrel cage rotor</t>
  </si>
  <si>
    <t>stabilisation</t>
  </si>
  <si>
    <t>स्थायीकरण (न.)</t>
  </si>
  <si>
    <t>stabilised</t>
  </si>
  <si>
    <t>स्थायीकृत</t>
  </si>
  <si>
    <t>stabilised braking</t>
  </si>
  <si>
    <t>स्थायीकृत आरोधन</t>
  </si>
  <si>
    <t>stabilised feedback</t>
  </si>
  <si>
    <t>स्थायीकृत पश्चप्रदाय</t>
  </si>
  <si>
    <t>stabilised resistance</t>
  </si>
  <si>
    <t>स्थायीकारी रोध</t>
  </si>
  <si>
    <t>stabiliser</t>
  </si>
  <si>
    <t>स्थायीकारी (पु.)</t>
  </si>
  <si>
    <t>stability</t>
  </si>
  <si>
    <t>स्थायित्व (न.), स्थैर्य (न.)</t>
  </si>
  <si>
    <t>stability test</t>
  </si>
  <si>
    <t>स्थायित्व चाचणी, स्थायित्व परीक्षण</t>
  </si>
  <si>
    <t>stable</t>
  </si>
  <si>
    <t>स्थायी</t>
  </si>
  <si>
    <t>stack</t>
  </si>
  <si>
    <t>एरास (स्त्री.)</t>
  </si>
  <si>
    <t>stacking factor</t>
  </si>
  <si>
    <t>रास अंक</t>
  </si>
  <si>
    <t>stage</t>
  </si>
  <si>
    <t>पद (न.)</t>
  </si>
  <si>
    <t>stage amplifier</t>
  </si>
  <si>
    <t>पद प्रवर्धी</t>
  </si>
  <si>
    <t>stage lighting</t>
  </si>
  <si>
    <t>रंगमंच दीपन</t>
  </si>
  <si>
    <t>stagger</t>
  </si>
  <si>
    <t>सांतर (न.)</t>
  </si>
  <si>
    <t>stagger tuned amplifier</t>
  </si>
  <si>
    <t>सांतर मेलित प्रवर्धी</t>
  </si>
  <si>
    <t>staggered</t>
  </si>
  <si>
    <t>सांतरित</t>
  </si>
  <si>
    <t>staggered brush</t>
  </si>
  <si>
    <t>सांतरित कुंचला</t>
  </si>
  <si>
    <t>staggered tuning</t>
  </si>
  <si>
    <t>सांतरित मेलन</t>
  </si>
  <si>
    <t>staggering</t>
  </si>
  <si>
    <t>सांतरण (न.)</t>
  </si>
  <si>
    <t>stair lighting</t>
  </si>
  <si>
    <t>सोपान दीपन</t>
  </si>
  <si>
    <t>stall time</t>
  </si>
  <si>
    <t>स्थान काल</t>
  </si>
  <si>
    <t>stalling torque</t>
  </si>
  <si>
    <t>स्तंभी मोटना</t>
  </si>
  <si>
    <t>stalloy</t>
  </si>
  <si>
    <t>स्टॅलॉय (न.)</t>
  </si>
  <si>
    <t>stamping</t>
  </si>
  <si>
    <t>ठसाप्रत्री (स्त्री.)</t>
  </si>
  <si>
    <t>stand</t>
  </si>
  <si>
    <t>उपस्तंभ (पु.)</t>
  </si>
  <si>
    <t>stand by</t>
  </si>
  <si>
    <t>सिद्ध</t>
  </si>
  <si>
    <t>stand by charge</t>
  </si>
  <si>
    <t>सिद्धता आकार</t>
  </si>
  <si>
    <t>stand by losses</t>
  </si>
  <si>
    <t>सिद्धता हानि</t>
  </si>
  <si>
    <t>stand insulator</t>
  </si>
  <si>
    <t>उपस्तंभ निरोधी (पु.)</t>
  </si>
  <si>
    <t>standard</t>
  </si>
  <si>
    <t>मानक (न.)</t>
  </si>
  <si>
    <t>standard ampere</t>
  </si>
  <si>
    <t>मानक ऍम्पिअर</t>
  </si>
  <si>
    <t>standard cell</t>
  </si>
  <si>
    <t>मानक घट</t>
  </si>
  <si>
    <t>standard field generator</t>
  </si>
  <si>
    <t>मानक क्षेत्र जनित्र</t>
  </si>
  <si>
    <t>standard lamp</t>
  </si>
  <si>
    <t>मानक दीप</t>
  </si>
  <si>
    <t>standard of frequency</t>
  </si>
  <si>
    <t>वारंवारता मानक</t>
  </si>
  <si>
    <t>standard ohm</t>
  </si>
  <si>
    <t>मानक ओम</t>
  </si>
  <si>
    <t>standard table</t>
  </si>
  <si>
    <t>मानक सारणी</t>
  </si>
  <si>
    <t>standard wave error</t>
  </si>
  <si>
    <t>मानक तरंग त्रुटि</t>
  </si>
  <si>
    <t>standard wire gauge</t>
  </si>
  <si>
    <t>प्रमाणित तार प्रमापी (प्र.ता.प्र)</t>
  </si>
  <si>
    <t>(S.W.G.)</t>
  </si>
  <si>
    <t>standing charge</t>
  </si>
  <si>
    <t>standing wave</t>
  </si>
  <si>
    <t>अप्रगामी तरंग, स्थायी तरंग</t>
  </si>
  <si>
    <t>star</t>
  </si>
  <si>
    <t>तारका (स्त्री.)</t>
  </si>
  <si>
    <t>star connection</t>
  </si>
  <si>
    <t>तारका जोडणी, स्टार जोडणी</t>
  </si>
  <si>
    <t>star delta starter</t>
  </si>
  <si>
    <t>तारका डेल्टा आरंभी, Y आरंभी</t>
  </si>
  <si>
    <t>also Y starter</t>
  </si>
  <si>
    <t>star delta switching starter</t>
  </si>
  <si>
    <t>तारका डेल्टा स्विचन प्रारंभी, Y स्विचन आरंभी</t>
  </si>
  <si>
    <t>star mesh transformation</t>
  </si>
  <si>
    <t>तारका जालाक्ष परिवर्तन</t>
  </si>
  <si>
    <t>star point</t>
  </si>
  <si>
    <t>तारका बिंदु</t>
  </si>
  <si>
    <t>star voltage</t>
  </si>
  <si>
    <t>तारका व्होल्टता, स्टार व्होल्टता</t>
  </si>
  <si>
    <t>start stop control</t>
  </si>
  <si>
    <t>आरंभ विराम नियंत्रण</t>
  </si>
  <si>
    <t>starter</t>
  </si>
  <si>
    <t>एआरंभक (पु.), आरंभी (पु.), प्रवर्ती (पु.)</t>
  </si>
  <si>
    <t>starteriess circuit</t>
  </si>
  <si>
    <t>आरंभविहीन परिपथ</t>
  </si>
  <si>
    <t>starting</t>
  </si>
  <si>
    <t>आरंभ (पु.), प्रवर्तन (न.)</t>
  </si>
  <si>
    <t>starting current</t>
  </si>
  <si>
    <t>आरंभ धारा</t>
  </si>
  <si>
    <t>starting torque</t>
  </si>
  <si>
    <t>आरंभ मोटना</t>
  </si>
  <si>
    <t>starting winding</t>
  </si>
  <si>
    <t>आरंभी कुंडल</t>
  </si>
  <si>
    <t>state</t>
  </si>
  <si>
    <t>अवस्था (स्त्री.)</t>
  </si>
  <si>
    <t>state equation</t>
  </si>
  <si>
    <t>अवस्था समीकरण</t>
  </si>
  <si>
    <t>state variable</t>
  </si>
  <si>
    <t>अवस्था चल</t>
  </si>
  <si>
    <t>static</t>
  </si>
  <si>
    <t>स्थैतिक</t>
  </si>
  <si>
    <t>static balancer</t>
  </si>
  <si>
    <t>स्थैतिक संतोली</t>
  </si>
  <si>
    <t>static breeze</t>
  </si>
  <si>
    <t>स्थैतिक झुळुक</t>
  </si>
  <si>
    <t>static brush</t>
  </si>
  <si>
    <t>स्थैतिक कुंचला</t>
  </si>
  <si>
    <t>static characteristics</t>
  </si>
  <si>
    <t>स्थैतिक अभिलक्षणे (न.अ.व.)</t>
  </si>
  <si>
    <t>static condenser</t>
  </si>
  <si>
    <t>स्थैतिक धारी</t>
  </si>
  <si>
    <t>static electricity</t>
  </si>
  <si>
    <t>स्थैतिक विद्युत</t>
  </si>
  <si>
    <t>static frequency changer</t>
  </si>
  <si>
    <t>स्थैतिक वारंवारता बदलकारी</t>
  </si>
  <si>
    <t>static induced current</t>
  </si>
  <si>
    <t>स्थैतिक प्रेरित धारा</t>
  </si>
  <si>
    <t>static machine</t>
  </si>
  <si>
    <t>स्थैतिक यंत्र</t>
  </si>
  <si>
    <t>static overload capacity factor</t>
  </si>
  <si>
    <t>स्थैतिक अतिभार क्षमता अंक</t>
  </si>
  <si>
    <t>static precipitation</t>
  </si>
  <si>
    <t>स्थैतिक अवक्षेपण</t>
  </si>
  <si>
    <t>static wave current</t>
  </si>
  <si>
    <t>स्थैतिक तरंग धारा</t>
  </si>
  <si>
    <t>statics</t>
  </si>
  <si>
    <t>स्थैतिकी (स्त्री.)</t>
  </si>
  <si>
    <t>station</t>
  </si>
  <si>
    <t>केंद्र (न.) स्थानक (न.)</t>
  </si>
  <si>
    <t>stationary accumulator</t>
  </si>
  <si>
    <t>अचल संचयी</t>
  </si>
  <si>
    <t>stationary battery</t>
  </si>
  <si>
    <t>अचल बॅटरी</t>
  </si>
  <si>
    <t>stator</t>
  </si>
  <si>
    <t>स्थाता (पु.)</t>
  </si>
  <si>
    <t>stator bore</t>
  </si>
  <si>
    <t>स्थाता संछिद्र</t>
  </si>
  <si>
    <t>stator core</t>
  </si>
  <si>
    <t>स्थाता क्रोड</t>
  </si>
  <si>
    <t>stay</t>
  </si>
  <si>
    <t>स्थिरकारी (पु.), ताण (पु.)</t>
  </si>
  <si>
    <t>stay pole</t>
  </si>
  <si>
    <t>स्थिरकारी खांब</t>
  </si>
  <si>
    <t>stay rod</t>
  </si>
  <si>
    <t>स्थिरकारी दंड</t>
  </si>
  <si>
    <t>stay wire</t>
  </si>
  <si>
    <t>स्थिरकारी तार (स्त्री.)</t>
  </si>
  <si>
    <t>steady</t>
  </si>
  <si>
    <t>स्थिर, स्थिरकारी</t>
  </si>
  <si>
    <t>steady arm</t>
  </si>
  <si>
    <t>स्थिरकारी भुजा</t>
  </si>
  <si>
    <t>steady brace</t>
  </si>
  <si>
    <t>steady current</t>
  </si>
  <si>
    <t>steady direct current</t>
  </si>
  <si>
    <t>स्थिर दिष्ट धारा</t>
  </si>
  <si>
    <t>steady span</t>
  </si>
  <si>
    <t>स्थिरकारी विस्तृति</t>
  </si>
  <si>
    <t>steady state</t>
  </si>
  <si>
    <t>स्थिर अवस्था</t>
  </si>
  <si>
    <t>steady state current</t>
  </si>
  <si>
    <t>स्थिर अवस्था धारा</t>
  </si>
  <si>
    <t>steam</t>
  </si>
  <si>
    <t>वाफ (स्त्री.)</t>
  </si>
  <si>
    <t>vapour बाष्प</t>
  </si>
  <si>
    <t>steel</t>
  </si>
  <si>
    <t>पोलाद (न.)</t>
  </si>
  <si>
    <t>steel armoured cable</t>
  </si>
  <si>
    <t>पोलाद कवचित केबल</t>
  </si>
  <si>
    <t>steel cored aluminium conductor</t>
  </si>
  <si>
    <t>पोलाद क्रोडित ऍल्युमिनिअम वाही</t>
  </si>
  <si>
    <t>steel reinforced aluminium conductor</t>
  </si>
  <si>
    <t>पोलाद प्रबलित ऍल्युमिनिअम वाही (पो.प्र.ऍ.वा.)</t>
  </si>
  <si>
    <t>(S.R.A.C. or A.C.S.R.)</t>
  </si>
  <si>
    <t>steel tank rectifier</t>
  </si>
  <si>
    <t>पोलादी टाकी दिष्टकारी</t>
  </si>
  <si>
    <t>steel tower</t>
  </si>
  <si>
    <t>पोलादी मनोरा</t>
  </si>
  <si>
    <t>steepness</t>
  </si>
  <si>
    <t>steering</t>
  </si>
  <si>
    <t>दिक्नियंत्रण (न.)</t>
  </si>
  <si>
    <t>step down transformer</t>
  </si>
  <si>
    <t>अवपरिवर्तित्र (न.)</t>
  </si>
  <si>
    <t>step function</t>
  </si>
  <si>
    <t>पायरी फल</t>
  </si>
  <si>
    <t>step tariff</t>
  </si>
  <si>
    <t>टप्पा प्रशुल्क</t>
  </si>
  <si>
    <t>step up transformer</t>
  </si>
  <si>
    <t>उत्परिवर्तित्र (न.)</t>
  </si>
  <si>
    <t>stepless accelertion</t>
  </si>
  <si>
    <t>टप्पाहीन त्वरण</t>
  </si>
  <si>
    <t>stepped</t>
  </si>
  <si>
    <t>stepped lens</t>
  </si>
  <si>
    <t>सोपानी भिंग</t>
  </si>
  <si>
    <t>stepping motor</t>
  </si>
  <si>
    <t>सोपानी चलित्र</t>
  </si>
  <si>
    <t>steradian</t>
  </si>
  <si>
    <t>स्टिरेडिअन (न.)</t>
  </si>
  <si>
    <t>stereophonic sound system</t>
  </si>
  <si>
    <t>घनस्वरीय ध्वनिव्यवस्था, घनस्वरीय ध्वनिपद्धति</t>
  </si>
  <si>
    <t>stereoscopic vision</t>
  </si>
  <si>
    <t>घनदर्शी दृष्टि</t>
  </si>
  <si>
    <t>stilb</t>
  </si>
  <si>
    <t>स्टिल्ब (न.)</t>
  </si>
  <si>
    <t>stillage</t>
  </si>
  <si>
    <t>stimulus</t>
  </si>
  <si>
    <t>चेतक (पु.), उद्दीपक (पु.)</t>
  </si>
  <si>
    <t>stobie furnace</t>
  </si>
  <si>
    <t>स्टोबी भट्टी</t>
  </si>
  <si>
    <t>stone insulator</t>
  </si>
  <si>
    <t>दगडी निरोधी</t>
  </si>
  <si>
    <t>stop (key)</t>
  </si>
  <si>
    <t>सीमक (पु.)</t>
  </si>
  <si>
    <t>stop end (of a cable)</t>
  </si>
  <si>
    <t>विराम टोक</t>
  </si>
  <si>
    <t>stop filter</t>
  </si>
  <si>
    <t>stopper</t>
  </si>
  <si>
    <t>प्रतिबंधी (पु.)</t>
  </si>
  <si>
    <t>storage</t>
  </si>
  <si>
    <t>संचय (पु.)</t>
  </si>
  <si>
    <t>storage battery</t>
  </si>
  <si>
    <t>संचायक बॅटरी</t>
  </si>
  <si>
    <t>storage cell</t>
  </si>
  <si>
    <t>संचयी घट</t>
  </si>
  <si>
    <t>storage tube</t>
  </si>
  <si>
    <t>संचयी नलिका</t>
  </si>
  <si>
    <t>straight line ear</t>
  </si>
  <si>
    <t>सरळ रेषा कर्ण</t>
  </si>
  <si>
    <t>straight line hanger</t>
  </si>
  <si>
    <t>सरळ रेषा आलंब</t>
  </si>
  <si>
    <t>straight line law</t>
  </si>
  <si>
    <t>सरळ रेषा नियम</t>
  </si>
  <si>
    <t>straight through joint</t>
  </si>
  <si>
    <t>आरपार जोड</t>
  </si>
  <si>
    <t>strain</t>
  </si>
  <si>
    <t>ताण (पु.)</t>
  </si>
  <si>
    <t>strain clamp</t>
  </si>
  <si>
    <t>ताण पकड</t>
  </si>
  <si>
    <t>strain insulator</t>
  </si>
  <si>
    <t>ताण निरोधी</t>
  </si>
  <si>
    <t>strand</t>
  </si>
  <si>
    <t>छेडा (पु.)</t>
  </si>
  <si>
    <t>stranded conductor</t>
  </si>
  <si>
    <t>छेडेदार वाही</t>
  </si>
  <si>
    <t>stranded galvanised steel wire</t>
  </si>
  <si>
    <t>छेडेदार जस्तविलेपित पोलादी तार</t>
  </si>
  <si>
    <t>stranded wire</t>
  </si>
  <si>
    <t>छेडेदार तार</t>
  </si>
  <si>
    <t>stray</t>
  </si>
  <si>
    <t>आगंतुक</t>
  </si>
  <si>
    <t>stray capacitance</t>
  </si>
  <si>
    <t>आगंतुक धारिता</t>
  </si>
  <si>
    <t>stray field</t>
  </si>
  <si>
    <t>आगंतुक क्षेत्र</t>
  </si>
  <si>
    <t>stray load</t>
  </si>
  <si>
    <t>आगंतुक भार</t>
  </si>
  <si>
    <t>stray load loss</t>
  </si>
  <si>
    <t>आगंतुक भार हानि</t>
  </si>
  <si>
    <t>stream</t>
  </si>
  <si>
    <t>धार (स्त्री.), वाह (पु.)</t>
  </si>
  <si>
    <t>street light control</t>
  </si>
  <si>
    <t>मार्ग दीप नियंत्रण</t>
  </si>
  <si>
    <t>street light wire</t>
  </si>
  <si>
    <t>मार्ग दीप तार</t>
  </si>
  <si>
    <t>street lighting</t>
  </si>
  <si>
    <t>रस्ता दीपन</t>
  </si>
  <si>
    <t>strength</t>
  </si>
  <si>
    <t>१ तीव्रता (स्त्री.) २ सामर्थ्य (न.), बल (न.)</t>
  </si>
  <si>
    <t>strength of poles</t>
  </si>
  <si>
    <t>खांबबल (न.)</t>
  </si>
  <si>
    <t>stress</t>
  </si>
  <si>
    <t>एप्रतिबल (न.)</t>
  </si>
  <si>
    <t>striae</t>
  </si>
  <si>
    <t>सूत्र रेषा (स्त्री.अ.व.)</t>
  </si>
  <si>
    <t>sing. stria</t>
  </si>
  <si>
    <t>strike</t>
  </si>
  <si>
    <t>आघात (पु.)</t>
  </si>
  <si>
    <t>striking</t>
  </si>
  <si>
    <t>आघाती</t>
  </si>
  <si>
    <t>string efficiency</t>
  </si>
  <si>
    <t>साखळी कार्यक्षमता</t>
  </si>
  <si>
    <t>string insulator</t>
  </si>
  <si>
    <t>साखळी निरोधी</t>
  </si>
  <si>
    <t>strip</t>
  </si>
  <si>
    <t>पट्टी (स्त्री.)</t>
  </si>
  <si>
    <t>strip wound armature</t>
  </si>
  <si>
    <t>पट्टी कुंडलित आर्मेचर</t>
  </si>
  <si>
    <t>stripping</t>
  </si>
  <si>
    <t>निर्लेपन (न.)</t>
  </si>
  <si>
    <t>removal of an electro deposit</t>
  </si>
  <si>
    <t>stroboscope</t>
  </si>
  <si>
    <t>भ्रमदर्शी (पु.)</t>
  </si>
  <si>
    <t>stroboscopic effect</t>
  </si>
  <si>
    <t>भ्रमदर्शी परिणाम</t>
  </si>
  <si>
    <t>stroke</t>
  </si>
  <si>
    <t>stroke multiple</t>
  </si>
  <si>
    <t>आघात श्रेणी</t>
  </si>
  <si>
    <t>strong current</t>
  </si>
  <si>
    <t>strong electrolyte</t>
  </si>
  <si>
    <t>तीव्र विद्युतापघटनी</t>
  </si>
  <si>
    <t>strut</t>
  </si>
  <si>
    <t>टेकू (पु.), धिरा (पु.)</t>
  </si>
  <si>
    <t>stub</t>
  </si>
  <si>
    <t>थोटुक (न.)</t>
  </si>
  <si>
    <t>Radio</t>
  </si>
  <si>
    <t>sub-audio frequency</t>
  </si>
  <si>
    <t>अवश्रुति वारंवारता</t>
  </si>
  <si>
    <t>sub-circuit</t>
  </si>
  <si>
    <t>उपपरिपथ (पु.)</t>
  </si>
  <si>
    <t>sub-exchange</t>
  </si>
  <si>
    <t>उपविनिमय (पु.)</t>
  </si>
  <si>
    <t>sub-graph</t>
  </si>
  <si>
    <t>उपआलेख (पु.)</t>
  </si>
  <si>
    <t>sub-programme</t>
  </si>
  <si>
    <t>उपकार्यक्रम (पु.)</t>
  </si>
  <si>
    <t>sub-routine</t>
  </si>
  <si>
    <t>१ उपपरिपाठी (पु.) २ उपपरिपाठ (पु.)</t>
  </si>
  <si>
    <t>sub-station</t>
  </si>
  <si>
    <t>उपकेंद्र (न.)</t>
  </si>
  <si>
    <t>sub-synchronous</t>
  </si>
  <si>
    <t>अवसंकालित</t>
  </si>
  <si>
    <t>subcarrier</t>
  </si>
  <si>
    <t>उपवाहनिक (पु.)</t>
  </si>
  <si>
    <t>subjective brightness</t>
  </si>
  <si>
    <t>व्यक्तिनिष्ठ द्युति</t>
  </si>
  <si>
    <t>subjective phenomenon</t>
  </si>
  <si>
    <t>व्यक्तिनिष्ठ प्रघटना</t>
  </si>
  <si>
    <t>submersible</t>
  </si>
  <si>
    <t>निमज्जीय</t>
  </si>
  <si>
    <t>subsequent stroke</t>
  </si>
  <si>
    <t>अनुग आघात</t>
  </si>
  <si>
    <t>substance</t>
  </si>
  <si>
    <t>substandard</t>
  </si>
  <si>
    <t>मानक कल्प (पु.)</t>
  </si>
  <si>
    <t>substandard apparatus</t>
  </si>
  <si>
    <t>मानक कल्प उपकरण</t>
  </si>
  <si>
    <t>substitution measurement</t>
  </si>
  <si>
    <t>आदेशन मापन</t>
  </si>
  <si>
    <t>subtractive coloured light</t>
  </si>
  <si>
    <t>ऊनन वर्णप्रकाश, ऊनन वर्णदीप</t>
  </si>
  <si>
    <t>summation</t>
  </si>
  <si>
    <t>समाकलन (न.)</t>
  </si>
  <si>
    <t>summation instrument</t>
  </si>
  <si>
    <t>बेरीज उपकरण, समाकलन उपकरण</t>
  </si>
  <si>
    <t>sunk key</t>
  </si>
  <si>
    <t>बुडित चावी</t>
  </si>
  <si>
    <t>sunk switch</t>
  </si>
  <si>
    <t>निवेशित स्विच, निमज्जित स्विच</t>
  </si>
  <si>
    <t>super audio frequency</t>
  </si>
  <si>
    <t>पराश्रुति वारंवारता</t>
  </si>
  <si>
    <t>super-regenerative receiver</t>
  </si>
  <si>
    <t>महापुनर्जननशील ग्राही, परापुनर्जननशील ग्राही</t>
  </si>
  <si>
    <t>superheterodyne receiver</t>
  </si>
  <si>
    <t>महामिश्रबल ग्राही, परामिश्रबल ग्राही</t>
  </si>
  <si>
    <t>superhigh frequency</t>
  </si>
  <si>
    <t>महाउच्च वारंवारता</t>
  </si>
  <si>
    <t>superhigh frequency receiver</t>
  </si>
  <si>
    <t>महाउच्च वारंवारता ग्राही</t>
  </si>
  <si>
    <t>superimposed</t>
  </si>
  <si>
    <t>अध्यारोपित</t>
  </si>
  <si>
    <t>superimposed alternating current</t>
  </si>
  <si>
    <t>अध्यारोपित प्रत्यावर्ती धारा</t>
  </si>
  <si>
    <t>superposition intergral</t>
  </si>
  <si>
    <t>अध्यारोपण संकलक</t>
  </si>
  <si>
    <t>supersonic amplifier</t>
  </si>
  <si>
    <t>पराश्रव प्रवर्धी</t>
  </si>
  <si>
    <t>supervisory control</t>
  </si>
  <si>
    <t>पर्यवेक्षी नियंत्रण</t>
  </si>
  <si>
    <t>supplementary anode</t>
  </si>
  <si>
    <t>पूरक ऍनोड</t>
  </si>
  <si>
    <t>supply</t>
  </si>
  <si>
    <t>पुरवठा (पु.)</t>
  </si>
  <si>
    <t>supply duct</t>
  </si>
  <si>
    <t>प्रदाय वाहिनी</t>
  </si>
  <si>
    <t>supply mains</t>
  </si>
  <si>
    <t>पुरवठा प्रधानवाही (पु.अ.व.)</t>
  </si>
  <si>
    <t>supply meter</t>
  </si>
  <si>
    <t>पुरवठा मापी</t>
  </si>
  <si>
    <t>supply point</t>
  </si>
  <si>
    <t>पुरवठा बिंदु</t>
  </si>
  <si>
    <t>supply station</t>
  </si>
  <si>
    <t>पुरवठा केंद्र</t>
  </si>
  <si>
    <t>support</t>
  </si>
  <si>
    <t>आधार (पु.), आधारिका (स्त्री.)</t>
  </si>
  <si>
    <t>support wire</t>
  </si>
  <si>
    <t>आधार तार (स्त्री.)</t>
  </si>
  <si>
    <t>supporting structure</t>
  </si>
  <si>
    <t>आधारी रचना</t>
  </si>
  <si>
    <t>suppressed</t>
  </si>
  <si>
    <t>दमनित</t>
  </si>
  <si>
    <t>suppressed carrier system</t>
  </si>
  <si>
    <t>दमनित वाहनिक पद्धति</t>
  </si>
  <si>
    <t>suppressed carrier wave</t>
  </si>
  <si>
    <t>दमनित वाहनिक तरंग</t>
  </si>
  <si>
    <t>suppressed zero instrument</t>
  </si>
  <si>
    <t>suppression</t>
  </si>
  <si>
    <t>दमन (न.)</t>
  </si>
  <si>
    <t>suppression of natural frequency</t>
  </si>
  <si>
    <t>स्वाभाविक वारंवारता दमन</t>
  </si>
  <si>
    <t>suppressor</t>
  </si>
  <si>
    <t>दमनकारी (पु.)</t>
  </si>
  <si>
    <t>suppressor grid modulation</t>
  </si>
  <si>
    <t>दमनकारी जाल आपरिवर्तन</t>
  </si>
  <si>
    <t>surface</t>
  </si>
  <si>
    <t>पृष्ठ (न.)</t>
  </si>
  <si>
    <t>surface barrier transistor</t>
  </si>
  <si>
    <t>पृष्ठ बांध ट्रान्झिस्टर</t>
  </si>
  <si>
    <t>surface contact system</t>
  </si>
  <si>
    <t>पृष्ठ संपर्क पद्धति</t>
  </si>
  <si>
    <t>surface sources</t>
  </si>
  <si>
    <t>पृष्ठ प्रभव (पु.अ.व.)</t>
  </si>
  <si>
    <t>surface switch</t>
  </si>
  <si>
    <t>पृष्ठ स्विच (पु.)</t>
  </si>
  <si>
    <t>surface wave</t>
  </si>
  <si>
    <t>पृष्ठ तरंग</t>
  </si>
  <si>
    <t>surge</t>
  </si>
  <si>
    <t>उल्लोल (पु.)</t>
  </si>
  <si>
    <t>surge absorber</t>
  </si>
  <si>
    <t>उल्लोल अवशोषी</t>
  </si>
  <si>
    <t>surge busbar</t>
  </si>
  <si>
    <t>उल्लोल बसबार, उल्लोल महावाही</t>
  </si>
  <si>
    <t>surge crest ammeter</t>
  </si>
  <si>
    <t>उल्लोल शिखर ऍमीटर</t>
  </si>
  <si>
    <t>surge current indicator</t>
  </si>
  <si>
    <t>उल्लोल धारा दर्शी</t>
  </si>
  <si>
    <t>surge diverter</t>
  </si>
  <si>
    <t>उल्लोल अपवाही</t>
  </si>
  <si>
    <t>surge generator</t>
  </si>
  <si>
    <t>उल्लोल जनित्र</t>
  </si>
  <si>
    <t>surge impedance</t>
  </si>
  <si>
    <t>उल्लोल संरोध</t>
  </si>
  <si>
    <t>surge limiting electrolytic capacitor</t>
  </si>
  <si>
    <t>उल्लोल सीमन विद्युत अपघटनी धारी</t>
  </si>
  <si>
    <t>surge modifier</t>
  </si>
  <si>
    <t>उल्लोल सौम्यकारी</t>
  </si>
  <si>
    <t>surge proof electrolytic capacitor</t>
  </si>
  <si>
    <t>उल्लोलरक्षी विद्युत अपघटनी धारी</t>
  </si>
  <si>
    <t>surge protective apparatus</t>
  </si>
  <si>
    <t>उल्लोल रक्षी सामग्री</t>
  </si>
  <si>
    <t>surveillance</t>
  </si>
  <si>
    <t>संनिरीक्षण (न.)</t>
  </si>
  <si>
    <t>susceptance</t>
  </si>
  <si>
    <t>प्रतिवहन (न.)</t>
  </si>
  <si>
    <t>susceptibility</t>
  </si>
  <si>
    <t>प्रतिवाहिता (स्त्री.), प्रतिवाहकता (स्त्री.)</t>
  </si>
  <si>
    <t>susceptive</t>
  </si>
  <si>
    <t>प्रतिवाही</t>
  </si>
  <si>
    <t>susceptor phase advancer</t>
  </si>
  <si>
    <t>प्रतिवहन प्रावस्था अग्रित्र</t>
  </si>
  <si>
    <t>suspension</t>
  </si>
  <si>
    <t>१ निलंबन (न.) २ निलंब (पु.)</t>
  </si>
  <si>
    <t>suspension clamp</t>
  </si>
  <si>
    <t>निलंबन पकड (स्त्री.)</t>
  </si>
  <si>
    <t>suspension insulator</t>
  </si>
  <si>
    <t>निलंबन निरोधी, लोंबता निरोधी</t>
  </si>
  <si>
    <t>suspension push</t>
  </si>
  <si>
    <t>निलंब दाबस्विच</t>
  </si>
  <si>
    <t>suspension switch</t>
  </si>
  <si>
    <t>निलंब स्विच</t>
  </si>
  <si>
    <t>suspension type insulator</t>
  </si>
  <si>
    <t>sustained oscillation</t>
  </si>
  <si>
    <t>अविरत दोलन</t>
  </si>
  <si>
    <t>swan neck insulator</t>
  </si>
  <si>
    <t>हंसग्रीवा निरोधी</t>
  </si>
  <si>
    <t>sweep</t>
  </si>
  <si>
    <t>प्रसर्प (पु.)</t>
  </si>
  <si>
    <t>sweep circuit</t>
  </si>
  <si>
    <t>प्रसर्प परिपथ, झेप परिपथ</t>
  </si>
  <si>
    <t>swing axle truck</t>
  </si>
  <si>
    <t>दोलाक्ष शकट</t>
  </si>
  <si>
    <t>swinging of the conductors</t>
  </si>
  <si>
    <t>वाही दोलन</t>
  </si>
  <si>
    <t>switch</t>
  </si>
  <si>
    <t>स्विच (पु.)</t>
  </si>
  <si>
    <t>switch and fuse</t>
  </si>
  <si>
    <t>स्विच आणि वितळतार</t>
  </si>
  <si>
    <t>switch group</t>
  </si>
  <si>
    <t>स्विच गट</t>
  </si>
  <si>
    <t>switch lampholder</t>
  </si>
  <si>
    <t>स्विच दीपधारी</t>
  </si>
  <si>
    <t>switch plate</t>
  </si>
  <si>
    <t>स्विच पट्टिका (स्त्री.)</t>
  </si>
  <si>
    <t>switch plug</t>
  </si>
  <si>
    <t>स्विच निग</t>
  </si>
  <si>
    <t>switch socket</t>
  </si>
  <si>
    <t>स्विच खोबण</t>
  </si>
  <si>
    <t>switch starter</t>
  </si>
  <si>
    <t>स्विच आरंभी (पु.)</t>
  </si>
  <si>
    <t>switch type voltage regulator</t>
  </si>
  <si>
    <t>स्विच व्होल्टता नियामी</t>
  </si>
  <si>
    <t>switchboard</t>
  </si>
  <si>
    <t>स्विच फलक (पु.)</t>
  </si>
  <si>
    <t>switchboard panel</t>
  </si>
  <si>
    <t>स्विच फलक</t>
  </si>
  <si>
    <t>switchboard plug</t>
  </si>
  <si>
    <t>स्विच फलक निग</t>
  </si>
  <si>
    <t>switchfuse unit</t>
  </si>
  <si>
    <t>स्विच वितळतार संच</t>
  </si>
  <si>
    <t>switchgear</t>
  </si>
  <si>
    <t>स्विच उपस्कर (पु.), स्विच सामग्री (स्त्री.), स्विच गिअर (पु.)</t>
  </si>
  <si>
    <t>switchgear equipment</t>
  </si>
  <si>
    <t>स्विच उपस्कर सामग्री</t>
  </si>
  <si>
    <t>switchgear pillar</t>
  </si>
  <si>
    <t>स्विच उपस्कर स्तंभ</t>
  </si>
  <si>
    <t>switching</t>
  </si>
  <si>
    <t>स्विचन (न.)</t>
  </si>
  <si>
    <t>switching off</t>
  </si>
  <si>
    <t>स्विच बंद करणे (न.)</t>
  </si>
  <si>
    <t>switching on</t>
  </si>
  <si>
    <t>स्विच चालू करणे (न.)</t>
  </si>
  <si>
    <t>switching starter</t>
  </si>
  <si>
    <t>स्विचन आरंभी</t>
  </si>
  <si>
    <t>switching station</t>
  </si>
  <si>
    <t>स्विचन केंद्र</t>
  </si>
  <si>
    <t>switching tube</t>
  </si>
  <si>
    <t>स्विच नलिका</t>
  </si>
  <si>
    <t>symbolic illumination</t>
  </si>
  <si>
    <t>प्रतीकात्मक रोषणाई</t>
  </si>
  <si>
    <t>symmetrical breaking capacity</t>
  </si>
  <si>
    <t>सममित विभंजन क्षमता</t>
  </si>
  <si>
    <t>symmetrical breaking current</t>
  </si>
  <si>
    <t>सममित विभंजन धारा</t>
  </si>
  <si>
    <t>symmetrical components</t>
  </si>
  <si>
    <t>सममित घटक (पु.अ.व.)</t>
  </si>
  <si>
    <t>symmetrical light distribution</t>
  </si>
  <si>
    <t>सममित प्रकाश वितरण</t>
  </si>
  <si>
    <t>symmetrical polyphase system</t>
  </si>
  <si>
    <t>सममित बहुप्रावस्था पद्धति</t>
  </si>
  <si>
    <t>symmetrical short circuit current</t>
  </si>
  <si>
    <t>सममित लघुपरिपथ धारा</t>
  </si>
  <si>
    <t>symmetry</t>
  </si>
  <si>
    <t>सममिति (स्त्री.)</t>
  </si>
  <si>
    <t>sympathetic door operation</t>
  </si>
  <si>
    <t>सहानुकारी द्वार परिकर्म</t>
  </si>
  <si>
    <t>synchro</t>
  </si>
  <si>
    <t>संकाली</t>
  </si>
  <si>
    <t>स्वयंसंकालित्र (न.)</t>
  </si>
  <si>
    <t>also Autosyn or Selsyn</t>
  </si>
  <si>
    <t>synchronisation</t>
  </si>
  <si>
    <t>संकालन (न.)</t>
  </si>
  <si>
    <t>synchronisation of oscillators</t>
  </si>
  <si>
    <t>दोली संकालन</t>
  </si>
  <si>
    <t>synchronisation torque factor</t>
  </si>
  <si>
    <t>संकालन मोटना अंक</t>
  </si>
  <si>
    <t>synchronise</t>
  </si>
  <si>
    <t>संकालन होणे, संकालन करणे</t>
  </si>
  <si>
    <t>synchronised locomotive brake system</t>
  </si>
  <si>
    <t>संकालित लोहमार्ग इंजिन आरोध पद्धति, संकालित रुळयंत्र आरोध पद्धति</t>
  </si>
  <si>
    <t>synchroniser</t>
  </si>
  <si>
    <t>संकालक (पु.)</t>
  </si>
  <si>
    <t>synchronising</t>
  </si>
  <si>
    <t>synchronising current</t>
  </si>
  <si>
    <t>संकालन धारा</t>
  </si>
  <si>
    <t>synchronising pulse</t>
  </si>
  <si>
    <t>संकालन स्पंद</t>
  </si>
  <si>
    <t>synchronism</t>
  </si>
  <si>
    <t>संकालता (स्त्री.), संकालत्व (न.)</t>
  </si>
  <si>
    <t>synchronoscope</t>
  </si>
  <si>
    <t>संकालनदर्शी (पु.)</t>
  </si>
  <si>
    <t>also synchroscope</t>
  </si>
  <si>
    <t>synchronous</t>
  </si>
  <si>
    <t>संकालिक</t>
  </si>
  <si>
    <t>synchronous alternating current generator</t>
  </si>
  <si>
    <t>संकालिक प्रत्यावर्ती धारा जनित्र</t>
  </si>
  <si>
    <t>synchronous capacitor</t>
  </si>
  <si>
    <t>संकालिक धारी</t>
  </si>
  <si>
    <t>synchronous clock</t>
  </si>
  <si>
    <t>संकालिक घड्याळ</t>
  </si>
  <si>
    <t>synchronous condenser</t>
  </si>
  <si>
    <t>synchronous impedance</t>
  </si>
  <si>
    <t>संकालिक संरोध</t>
  </si>
  <si>
    <t>synchronous induction motor</t>
  </si>
  <si>
    <t>संकालिक प्रेरण चलित्र</t>
  </si>
  <si>
    <t>synchronous motor</t>
  </si>
  <si>
    <t>संकालिक चलित्र</t>
  </si>
  <si>
    <t>synchronous reactance</t>
  </si>
  <si>
    <t>संकालिक प्रतिरोध</t>
  </si>
  <si>
    <t>synchronous speed</t>
  </si>
  <si>
    <t>संकालिक चाल</t>
  </si>
  <si>
    <t>synchroscope</t>
  </si>
  <si>
    <t>synthesis of network</t>
  </si>
  <si>
    <t>जालव्यूह संश्लेषण</t>
  </si>
  <si>
    <t>system</t>
  </si>
  <si>
    <t>१ पद्धति (स्त्री.) (as in leakage protective system गलनरक्षी पद्धति) २ संस्था (स्त्री.) (as in antenna system आकाशग संस्था) ३ व्यवस्था (स्त्री.)</t>
  </si>
  <si>
    <t>system of distribution</t>
  </si>
  <si>
    <t>वितरण पद्धति</t>
  </si>
  <si>
    <t>system of distribution shunt</t>
  </si>
  <si>
    <t>पार्श्वपथीय वितरण पद्धति</t>
  </si>
  <si>
    <t>system of units</t>
  </si>
  <si>
    <t>एकक पद्धति</t>
  </si>
  <si>
    <t>T antenna</t>
  </si>
  <si>
    <t>T आकाशग (पु.)</t>
  </si>
  <si>
    <t>T attenuator</t>
  </si>
  <si>
    <t>T क्षीणनकारी (पु.)</t>
  </si>
  <si>
    <t>T connection</t>
  </si>
  <si>
    <t>T जोडणी (स्त्री.)</t>
  </si>
  <si>
    <t>T network</t>
  </si>
  <si>
    <t>T जालव्यूह (पु.)</t>
  </si>
  <si>
    <t>T section</t>
  </si>
  <si>
    <t>T छेद (पु.)</t>
  </si>
  <si>
    <t>T wire</t>
  </si>
  <si>
    <t>T तार (स्त्री.)</t>
  </si>
  <si>
    <t>table standard</t>
  </si>
  <si>
    <t>सुवाह्य मानक</t>
  </si>
  <si>
    <t>tachometer</t>
  </si>
  <si>
    <t>चालमापी (पु.)</t>
  </si>
  <si>
    <t>tachometric electrometer</t>
  </si>
  <si>
    <t>चलमितीय विद्युतमापी</t>
  </si>
  <si>
    <t>tag block</t>
  </si>
  <si>
    <t>अग्र गट</t>
  </si>
  <si>
    <t>tandem</t>
  </si>
  <si>
    <t>tandem connection</t>
  </si>
  <si>
    <t>tandem knife switch</t>
  </si>
  <si>
    <t>सोपानी पाते स्विच</t>
  </si>
  <si>
    <t>tandem motor</t>
  </si>
  <si>
    <t>tandem section</t>
  </si>
  <si>
    <t>सोपानी छेद</t>
  </si>
  <si>
    <t>tandem selector</t>
  </si>
  <si>
    <t>सोपानी वरणी</t>
  </si>
  <si>
    <t>tandem working</t>
  </si>
  <si>
    <t>सोपानी कार्य</t>
  </si>
  <si>
    <t>tangent chord catenary construction</t>
  </si>
  <si>
    <t>स्पर्श जीवा रज्जुका संरचना</t>
  </si>
  <si>
    <t>tangent scale</t>
  </si>
  <si>
    <t>स्पर्शरेषा मापनी, टॅन्जंट मापनी</t>
  </si>
  <si>
    <t>tank</t>
  </si>
  <si>
    <t>टाकी (स्त्री.)</t>
  </si>
  <si>
    <t>tank circuit</t>
  </si>
  <si>
    <t>टाकी परिपथ</t>
  </si>
  <si>
    <t>tantalum capacitor</t>
  </si>
  <si>
    <t>टॅन्टॅलम धारी</t>
  </si>
  <si>
    <t>tap</t>
  </si>
  <si>
    <t>१ (tapping point) शाखन बिंदु (पु.), जात्य बिंदु (पु.) २ शाखन (न.)</t>
  </si>
  <si>
    <t>tap changer</t>
  </si>
  <si>
    <t>शाखन वरणी, शाखन बदलकारी</t>
  </si>
  <si>
    <t>(also tap selector)</t>
  </si>
  <si>
    <t>tap changing gear</t>
  </si>
  <si>
    <t>शाखन बिंदु शाखांतरण उपस्कर, जात्य बिंदु शाखांतरण उपस्कर</t>
  </si>
  <si>
    <t>tap field control</t>
  </si>
  <si>
    <t>शाखन क्षेत्र नियंत्रण</t>
  </si>
  <si>
    <t>tap field motor</t>
  </si>
  <si>
    <t>शाखन क्षेत्र चलित्र</t>
  </si>
  <si>
    <t>tap selector</t>
  </si>
  <si>
    <t>tap selector switch</t>
  </si>
  <si>
    <t>शाखन वरणी स्विच</t>
  </si>
  <si>
    <t>tape</t>
  </si>
  <si>
    <t>फीत (स्त्री.)</t>
  </si>
  <si>
    <t>tape machine</t>
  </si>
  <si>
    <t>फीत यंत्र (न.)</t>
  </si>
  <si>
    <t>taper slot</t>
  </si>
  <si>
    <t>निमुळती खाच</t>
  </si>
  <si>
    <t>tapered</t>
  </si>
  <si>
    <t>निमुळता</t>
  </si>
  <si>
    <t>tapered babbitted socket</t>
  </si>
  <si>
    <t>निमुळती बॅबिट खोबण</t>
  </si>
  <si>
    <t>tapered transmission line</t>
  </si>
  <si>
    <t>निमुळता पारेषण तारमार्ग</t>
  </si>
  <si>
    <t>tapped field controller</t>
  </si>
  <si>
    <t>शाखित क्षेत्र नियंत्री</t>
  </si>
  <si>
    <t>tappet switch</t>
  </si>
  <si>
    <t>स्पर्शक स्विच</t>
  </si>
  <si>
    <t>tapping</t>
  </si>
  <si>
    <t>शाखन (न.)</t>
  </si>
  <si>
    <t>tapping switch</t>
  </si>
  <si>
    <t>शाखन स्विच</t>
  </si>
  <si>
    <t>target</t>
  </si>
  <si>
    <t>लक्ष्य (न.)</t>
  </si>
  <si>
    <t>target diagram</t>
  </si>
  <si>
    <t>लक्ष्य रेखाकृति</t>
  </si>
  <si>
    <t>tariff</t>
  </si>
  <si>
    <t>प्रशुल्क (न.)</t>
  </si>
  <si>
    <t>teaser transformer</t>
  </si>
  <si>
    <t>लंब परिवर्तित्र</t>
  </si>
  <si>
    <t>tee</t>
  </si>
  <si>
    <t>टी (पु.)</t>
  </si>
  <si>
    <t>tee joint</t>
  </si>
  <si>
    <t>T जोड</t>
  </si>
  <si>
    <t>telautography</t>
  </si>
  <si>
    <t>दूरस्वयंलेखन (न.)</t>
  </si>
  <si>
    <t>telecommunication</t>
  </si>
  <si>
    <t>दूरसंचारण (न.)</t>
  </si>
  <si>
    <t>telecontrol</t>
  </si>
  <si>
    <t>दूरनियंत्रण (न.)</t>
  </si>
  <si>
    <t>telegram</t>
  </si>
  <si>
    <t>दूरलेख (पु.), तार (स्त्री.)</t>
  </si>
  <si>
    <t>telegraph</t>
  </si>
  <si>
    <t>दूरलेखी (पु.)</t>
  </si>
  <si>
    <t>telegraph line</t>
  </si>
  <si>
    <t>दूरलेखन तारमार्ग</t>
  </si>
  <si>
    <t>telegraphy</t>
  </si>
  <si>
    <t>दूरलेखन (न.)</t>
  </si>
  <si>
    <t>telemeter</t>
  </si>
  <si>
    <t>दूरमापी (पु.)</t>
  </si>
  <si>
    <t>telemetering</t>
  </si>
  <si>
    <t>दूरमापन (न.)</t>
  </si>
  <si>
    <t>telemetry</t>
  </si>
  <si>
    <t>दूरमिति (स्त्री.)</t>
  </si>
  <si>
    <t>telephone</t>
  </si>
  <si>
    <t>दूरध्वनि (पु.)</t>
  </si>
  <si>
    <t>telephone bell</t>
  </si>
  <si>
    <t>दूरध्वनि घंटी</t>
  </si>
  <si>
    <t>telephone interference factor</t>
  </si>
  <si>
    <t>दूरध्वनि व्यतिकरण अंक</t>
  </si>
  <si>
    <t>telephone telegraph circuit</t>
  </si>
  <si>
    <t>दूरध्वनि दूरलेख परिपथ</t>
  </si>
  <si>
    <t>telephony</t>
  </si>
  <si>
    <t>दूरध्वनिकी (स्त्री.), दूरध्वनन (न.)</t>
  </si>
  <si>
    <t>telephotograph</t>
  </si>
  <si>
    <t>दूरप्रकाशलेख (पु.)</t>
  </si>
  <si>
    <t>teleprinter</t>
  </si>
  <si>
    <t>दूरमुद्रक (पु.)</t>
  </si>
  <si>
    <t>telescope</t>
  </si>
  <si>
    <t>दूरदर्शी (पु.)</t>
  </si>
  <si>
    <t>teletypewriter</t>
  </si>
  <si>
    <t>दूरटंकलेखी (पु.)</t>
  </si>
  <si>
    <t>televise</t>
  </si>
  <si>
    <t>दूर दर्शवणे, दूरदर्शनवर दाखवणे</t>
  </si>
  <si>
    <t>television</t>
  </si>
  <si>
    <t>दूरदर्शन (न.), दूरचित्रवाणी (स्त्री.), दूरचित्र (न.)</t>
  </si>
  <si>
    <t>television amplifier</t>
  </si>
  <si>
    <t>दूरचित्रवाणी प्रवर्धी</t>
  </si>
  <si>
    <t>television antenna</t>
  </si>
  <si>
    <t>दूरदर्शन आकाशग</t>
  </si>
  <si>
    <t>television broadcasting</t>
  </si>
  <si>
    <t>दूरचित्रवाणी परिक्षेपण</t>
  </si>
  <si>
    <t>television camera</t>
  </si>
  <si>
    <t>दूरचित्र कॅमेरा</t>
  </si>
  <si>
    <t>television diplexer</t>
  </si>
  <si>
    <t>दूरचित्रवाणी द्विमुखी, दूरदर्शन द्विमुखी</t>
  </si>
  <si>
    <t>television frequency</t>
  </si>
  <si>
    <t>दृक् वारंवारता, चित्र वारंवारता</t>
  </si>
  <si>
    <t>also video frequency</t>
  </si>
  <si>
    <t>television system</t>
  </si>
  <si>
    <t>दूरचित्र पद्धति</t>
  </si>
  <si>
    <t>televisor</t>
  </si>
  <si>
    <t>दूरचित्रक (पु.)</t>
  </si>
  <si>
    <t>telex</t>
  </si>
  <si>
    <t>टेलेक्स (पु.), दूरविनि (विनिमय) (पु.)</t>
  </si>
  <si>
    <t>temperature</t>
  </si>
  <si>
    <t>तपमान (न.), तापमान (न.)</t>
  </si>
  <si>
    <t>temperature coefficient</t>
  </si>
  <si>
    <t>तापमान गुणांक</t>
  </si>
  <si>
    <t>temperature coefficient of capacity</t>
  </si>
  <si>
    <t>धारितेचा तापमान गुणांक</t>
  </si>
  <si>
    <t>temperature coefficient of resistance</t>
  </si>
  <si>
    <t>रोध तापमान गुणांक</t>
  </si>
  <si>
    <t>temperature rise</t>
  </si>
  <si>
    <t>तापमान वाढ</t>
  </si>
  <si>
    <t>temporary</t>
  </si>
  <si>
    <t>तात्कालिक, तात्पुरता</t>
  </si>
  <si>
    <t>temporary illumination</t>
  </si>
  <si>
    <t>तात्पुरते दीपन, तात्कालिक रोषणाई</t>
  </si>
  <si>
    <t>temporary wiring</t>
  </si>
  <si>
    <t>तात्पुरती ताररचना</t>
  </si>
  <si>
    <t>tensile strength</t>
  </si>
  <si>
    <t>तन्यता सामर्थ्य, ताण बल</t>
  </si>
  <si>
    <t>tension</t>
  </si>
  <si>
    <t>tension clamp</t>
  </si>
  <si>
    <t>ताण चाप</t>
  </si>
  <si>
    <t>tension insulator</t>
  </si>
  <si>
    <t>tension joint</t>
  </si>
  <si>
    <t>ताण जोड</t>
  </si>
  <si>
    <t>terminal</t>
  </si>
  <si>
    <t>अग्र (न.), टोक (न.)</t>
  </si>
  <si>
    <t>१ अग्रीय २ अंतिम, अंत्य</t>
  </si>
  <si>
    <t>terminal assembly</t>
  </si>
  <si>
    <t>अग्रीय समुच्चय</t>
  </si>
  <si>
    <t>terminal bar</t>
  </si>
  <si>
    <t>अंत्य दंड (पु.), अग्रीय दंड (पु.)</t>
  </si>
  <si>
    <t>terminal equipment</t>
  </si>
  <si>
    <t>अंतिम सामग्री</t>
  </si>
  <si>
    <t>terminal limit</t>
  </si>
  <si>
    <t>अग्र सीमा</t>
  </si>
  <si>
    <t>terminal limit switch</t>
  </si>
  <si>
    <t>अंत्य सीमा स्विच</t>
  </si>
  <si>
    <t>terminal lug</t>
  </si>
  <si>
    <t>अंत्य लग (पु.)</t>
  </si>
  <si>
    <t>terminal pair</t>
  </si>
  <si>
    <t>अग्रजोडी (स्त्री.)</t>
  </si>
  <si>
    <t>terminal pillar</t>
  </si>
  <si>
    <t>अंत्य स्तंभ</t>
  </si>
  <si>
    <t>terminal pole</t>
  </si>
  <si>
    <t>अंत्य धुव</t>
  </si>
  <si>
    <t>terminal screw</t>
  </si>
  <si>
    <t>टोकाचा पेच, अंत्य स्क्रू</t>
  </si>
  <si>
    <t>terminal tower</t>
  </si>
  <si>
    <t>terminal voltage</t>
  </si>
  <si>
    <t>अग्रीय व्होल्टता</t>
  </si>
  <si>
    <t>terminal yoke</t>
  </si>
  <si>
    <t>अन्त्य जू (न.), अग्रीय जू (न.)</t>
  </si>
  <si>
    <t>termination impedance</t>
  </si>
  <si>
    <t>अंतिम संरोध</t>
  </si>
  <si>
    <t>termination network</t>
  </si>
  <si>
    <t>अंत्य जालव्यूह</t>
  </si>
  <si>
    <t>terrestrial magnetism</t>
  </si>
  <si>
    <t>भूचुंबकत्व (न.)</t>
  </si>
  <si>
    <t>tertiary winding</t>
  </si>
  <si>
    <t>तृतीयक कुंडलन</t>
  </si>
  <si>
    <t>test</t>
  </si>
  <si>
    <t>परीक्षण (न.), चाचणी (स्त्री.)</t>
  </si>
  <si>
    <t>test board</t>
  </si>
  <si>
    <t>चाचणी फलक</t>
  </si>
  <si>
    <t>test desk</t>
  </si>
  <si>
    <t>चाचणी डेस्क</t>
  </si>
  <si>
    <t>test final selector</t>
  </si>
  <si>
    <t>चाचणी अंतिम वरणी</t>
  </si>
  <si>
    <t>test pattern</t>
  </si>
  <si>
    <t>चाचणी आदिरुप</t>
  </si>
  <si>
    <t>test shield</t>
  </si>
  <si>
    <t>चाचणी परिरक्षी</t>
  </si>
  <si>
    <t>test surface</t>
  </si>
  <si>
    <t>चाचणी पृष्ठ</t>
  </si>
  <si>
    <t>test terminal</t>
  </si>
  <si>
    <t>चाचणी अग्र</t>
  </si>
  <si>
    <t>tester</t>
  </si>
  <si>
    <t>परीक्षी (पु.)</t>
  </si>
  <si>
    <t>testing joint</t>
  </si>
  <si>
    <t>चाचणी जोड</t>
  </si>
  <si>
    <t>testing position</t>
  </si>
  <si>
    <t>चाचणी स्थान</t>
  </si>
  <si>
    <t>testing set</t>
  </si>
  <si>
    <t>चाचणी सट</t>
  </si>
  <si>
    <t>tetrode</t>
  </si>
  <si>
    <t>टेट्रोड (पु.), चतुरग्री (पु.)</t>
  </si>
  <si>
    <t>theatre mains</t>
  </si>
  <si>
    <t>प्रेक्षागृह प्रधानवाही (पु.अ.व.)</t>
  </si>
  <si>
    <t>theorem</t>
  </si>
  <si>
    <t>प्रमेय (न.)</t>
  </si>
  <si>
    <t>theory</t>
  </si>
  <si>
    <t>सिद्धांत (पु.)</t>
  </si>
  <si>
    <t>theory of induction</t>
  </si>
  <si>
    <t>प्रेरण सिद्धांत</t>
  </si>
  <si>
    <t>therapy</t>
  </si>
  <si>
    <t>चिकित्सा (स्त्री.)</t>
  </si>
  <si>
    <t>therm</t>
  </si>
  <si>
    <t>थर्म (न.)</t>
  </si>
  <si>
    <t>thermal</t>
  </si>
  <si>
    <t>तापीय, औष्णिक</t>
  </si>
  <si>
    <t>thermal agitation noise</t>
  </si>
  <si>
    <t>तापीय क्षोभ कुरव</t>
  </si>
  <si>
    <t>thermal agitation noise in amplifier</t>
  </si>
  <si>
    <t>प्रवर्धीतील तापीय क्षोभ कुरव</t>
  </si>
  <si>
    <t>thermal circuit breaker</t>
  </si>
  <si>
    <t>तापीय परिपथ वियोजी</t>
  </si>
  <si>
    <t>thermal conductivity</t>
  </si>
  <si>
    <t>तापीय वाहकता, औष्णिक वाहकता</t>
  </si>
  <si>
    <t>thermal cut out</t>
  </si>
  <si>
    <t>तापीय भंजक, तापीय कटआऊट</t>
  </si>
  <si>
    <t>thermal detector</t>
  </si>
  <si>
    <t>तापीय शोधी</t>
  </si>
  <si>
    <t>thermal expansion instrument</t>
  </si>
  <si>
    <t>तापीय प्रसरण उपकरण</t>
  </si>
  <si>
    <t>thermal instrument</t>
  </si>
  <si>
    <t>तापीय उपकरण</t>
  </si>
  <si>
    <t>thermal limit</t>
  </si>
  <si>
    <t>तापीय सीमा</t>
  </si>
  <si>
    <t>thermal noise</t>
  </si>
  <si>
    <t>तापीय कुरव</t>
  </si>
  <si>
    <t>thermal ohm</t>
  </si>
  <si>
    <t>तापीय ओम</t>
  </si>
  <si>
    <t>thermal overload relay</t>
  </si>
  <si>
    <t>तापीय अतिभार पुनरेषी</t>
  </si>
  <si>
    <t>thermal power station</t>
  </si>
  <si>
    <t>औष्णिक शक्ति केंद्र</t>
  </si>
  <si>
    <t>thermal relay</t>
  </si>
  <si>
    <t>तापीय पुनरेषी</t>
  </si>
  <si>
    <t>thermal resistance</t>
  </si>
  <si>
    <t>तापीय रोध</t>
  </si>
  <si>
    <t>thermal resistivity</t>
  </si>
  <si>
    <t>तापीय रोधिता, तापीय रोधकता</t>
  </si>
  <si>
    <t>thermal starter</t>
  </si>
  <si>
    <t>तापीय आरंभी</t>
  </si>
  <si>
    <t>thermal station</t>
  </si>
  <si>
    <t>औष्णिक केंद्र</t>
  </si>
  <si>
    <t>thermal trip</t>
  </si>
  <si>
    <t>तापीय सटक</t>
  </si>
  <si>
    <t>thermal unit</t>
  </si>
  <si>
    <t>तापीय एकक</t>
  </si>
  <si>
    <t>thermionic</t>
  </si>
  <si>
    <t>तापआयनिक</t>
  </si>
  <si>
    <t>thermionic amplifier</t>
  </si>
  <si>
    <t>तापआयनिक प्रवर्धी</t>
  </si>
  <si>
    <t>thermionic cathode</t>
  </si>
  <si>
    <t>तापआयनिक कॅथोड</t>
  </si>
  <si>
    <t>thermionic current</t>
  </si>
  <si>
    <t>तापआयनिक धारा</t>
  </si>
  <si>
    <t>thermionic detector</t>
  </si>
  <si>
    <t>तापआयनिक शोधी</t>
  </si>
  <si>
    <t>thermionic emission</t>
  </si>
  <si>
    <t>तापआयनिक उत्सर्जन</t>
  </si>
  <si>
    <t>thermionic emission of electrons</t>
  </si>
  <si>
    <t>इलेक्ट्रॉन्सचे तापआयनिक उत्सर्जन</t>
  </si>
  <si>
    <t>thermionic generator</t>
  </si>
  <si>
    <t>तापआयनिक जनित्र</t>
  </si>
  <si>
    <t>thermionic rectifier</t>
  </si>
  <si>
    <t>तापआयनिक दिष्टकारी</t>
  </si>
  <si>
    <t>thermionic relay</t>
  </si>
  <si>
    <t>तापआयनिक पुनरेषी</t>
  </si>
  <si>
    <t>thermionic saturation</t>
  </si>
  <si>
    <t>तापआयनिक संपृक्ति</t>
  </si>
  <si>
    <t>thermionic valve</t>
  </si>
  <si>
    <t>तापआयनिक झडप</t>
  </si>
  <si>
    <t>thermionic voltmeter</t>
  </si>
  <si>
    <t>तापआयनिक व्होल्टमापी</t>
  </si>
  <si>
    <t>thermionics</t>
  </si>
  <si>
    <t>तापआयनिकी (स्त्री.)</t>
  </si>
  <si>
    <t>thermistor</t>
  </si>
  <si>
    <t>तापरोधी (पु.), थर्मिस्टर (पु.)</t>
  </si>
  <si>
    <t>thermo couple</t>
  </si>
  <si>
    <t>तापयुग्म (न.)</t>
  </si>
  <si>
    <t>thermo couple instrument</t>
  </si>
  <si>
    <t>तापयुग्म उपकरण</t>
  </si>
  <si>
    <t>thermo couple pyrometer</t>
  </si>
  <si>
    <t>तापयुग्म उत्तापमापी</t>
  </si>
  <si>
    <t>thermo couple thermometer</t>
  </si>
  <si>
    <t>तापयुग्म तापमापी, तापयुग्म तापमानमापी</t>
  </si>
  <si>
    <t>thermo electric effect</t>
  </si>
  <si>
    <t>तापविद्युत परिणाम</t>
  </si>
  <si>
    <t>thermo electric element</t>
  </si>
  <si>
    <t>तापविद्युत घटक</t>
  </si>
  <si>
    <t>thermo electric pile</t>
  </si>
  <si>
    <t>तापविद्युत पुंज, तापविद्युत रास</t>
  </si>
  <si>
    <t>thermo electricity</t>
  </si>
  <si>
    <t>तापवीज (स्त्री.), तापविद्युत (स्त्री.)</t>
  </si>
  <si>
    <t>thermo electromotive force</t>
  </si>
  <si>
    <t>तापविद्युतगामी बल</t>
  </si>
  <si>
    <t>thermo junction</t>
  </si>
  <si>
    <t>ताप संधिस्थान (न.), तापसंयोग (पु.)</t>
  </si>
  <si>
    <t>thermo junction instrument</t>
  </si>
  <si>
    <t>तापसंयोग उपकरण</t>
  </si>
  <si>
    <t>thermocol insulation</t>
  </si>
  <si>
    <t>थर्माएकोल निरोधन</t>
  </si>
  <si>
    <t>thermoluminescence</t>
  </si>
  <si>
    <t>तापानुदीप्ति (स्त्री.)</t>
  </si>
  <si>
    <t>thermometer</t>
  </si>
  <si>
    <t>तापमापी (पु.), तापमानमापी (पु.)</t>
  </si>
  <si>
    <t>thermopile</t>
  </si>
  <si>
    <t>तापपुंज (पु.), तापरास (स्त्री.)</t>
  </si>
  <si>
    <t>thermostat</t>
  </si>
  <si>
    <t>तापस्थायी (पु.)</t>
  </si>
  <si>
    <t>thermostatic</t>
  </si>
  <si>
    <t>तापस्थैतिक</t>
  </si>
  <si>
    <t>thermostatic control</t>
  </si>
  <si>
    <t>तापस्थैतिक नियंत्रण</t>
  </si>
  <si>
    <t>thermostatic valve</t>
  </si>
  <si>
    <t>तापस्थैतिक झडप</t>
  </si>
  <si>
    <t>Thevenin's theorem</t>
  </si>
  <si>
    <t>थिवेनिन प्रमेय</t>
  </si>
  <si>
    <t>third rail insulator</t>
  </si>
  <si>
    <t>तृतीय रुळ निरोधी</t>
  </si>
  <si>
    <t>third rail system</t>
  </si>
  <si>
    <t>तृतीय रुळ पद्धति</t>
  </si>
  <si>
    <t>Thomson effect</t>
  </si>
  <si>
    <t>थॉमसन प्रभाव, थॉमसन परिणाम</t>
  </si>
  <si>
    <t>thoriated tungsten</t>
  </si>
  <si>
    <t>थोरियम टंगस्टन</t>
  </si>
  <si>
    <t>three ammeter method</t>
  </si>
  <si>
    <t>तीन ऍमीटर पद्धति</t>
  </si>
  <si>
    <t>three colour theory</t>
  </si>
  <si>
    <t>त्रिवर्ण सिद्धांत</t>
  </si>
  <si>
    <t>three core cable</t>
  </si>
  <si>
    <t>तीन क्रोडी केबल, त्रिकोड केबल</t>
  </si>
  <si>
    <t>three impedance star network</t>
  </si>
  <si>
    <t>त्रिसंरोधी तारका जालव्यूह</t>
  </si>
  <si>
    <t>three legged</t>
  </si>
  <si>
    <t>तिटांगी</t>
  </si>
  <si>
    <t>three phase</t>
  </si>
  <si>
    <t>त्रिप्रावस्थी, त्रिप्रावस्था-</t>
  </si>
  <si>
    <t>three phase four wire system</t>
  </si>
  <si>
    <t>त्रिप्रावस्था चारतार पद्धति</t>
  </si>
  <si>
    <t>three phase induction regulator</t>
  </si>
  <si>
    <t>त्रिप्रावस्था प्रेरण नियामी</t>
  </si>
  <si>
    <t>three phase load</t>
  </si>
  <si>
    <t>त्रिप्रावस्था भार</t>
  </si>
  <si>
    <t>three phase system</t>
  </si>
  <si>
    <t>त्रिप्रावस्था पद्धति</t>
  </si>
  <si>
    <t>three phase three wire system</t>
  </si>
  <si>
    <t>त्रिप्रावस्था त्रितार पद्धति</t>
  </si>
  <si>
    <t>three phase transformer</t>
  </si>
  <si>
    <t>त्रिप्रावस्था परिवर्तित्र</t>
  </si>
  <si>
    <t>three pin plug</t>
  </si>
  <si>
    <t>तीन पिन निग</t>
  </si>
  <si>
    <t>three point switch</t>
  </si>
  <si>
    <t>तीन बिंदु स्विच</t>
  </si>
  <si>
    <t>three way switch</t>
  </si>
  <si>
    <t>त्रिपथ स्विच</t>
  </si>
  <si>
    <t>three wire dynamo</t>
  </si>
  <si>
    <t>त्रितार जनित्र, त्रितार डायनामो</t>
  </si>
  <si>
    <t>three wire meter</t>
  </si>
  <si>
    <t>त्रितार मापी</t>
  </si>
  <si>
    <t>three wire system</t>
  </si>
  <si>
    <t>त्रितार पद्धति</t>
  </si>
  <si>
    <t>threshold audibility</t>
  </si>
  <si>
    <t>देहली श्राव्यता</t>
  </si>
  <si>
    <t>threshold frequency</t>
  </si>
  <si>
    <t>देहली वारंवारता, सीमा वारंवारता</t>
  </si>
  <si>
    <t>threshold of hearing</t>
  </si>
  <si>
    <t>श्रवण सीमा</t>
  </si>
  <si>
    <t>throw</t>
  </si>
  <si>
    <t>throw over switch</t>
  </si>
  <si>
    <t>क्षेप स्विच</t>
  </si>
  <si>
    <t>throwing power</t>
  </si>
  <si>
    <t>क्षेप शक्ति</t>
  </si>
  <si>
    <t>Thury regulator</t>
  </si>
  <si>
    <t>थुरी नियामी</t>
  </si>
  <si>
    <t>thyratron</t>
  </si>
  <si>
    <t>थायरेट्रॉन (न.)</t>
  </si>
  <si>
    <t>thyristor control</t>
  </si>
  <si>
    <t>थाररिस्टर नियंत्रण</t>
  </si>
  <si>
    <t>tickler coil</t>
  </si>
  <si>
    <t>अंतर्निवेशी कुंडल</t>
  </si>
  <si>
    <t>tie line</t>
  </si>
  <si>
    <t>योजी तारमार्ग</t>
  </si>
  <si>
    <t>tie set</t>
  </si>
  <si>
    <t>बंध सट (पु.)</t>
  </si>
  <si>
    <t>tie wire</t>
  </si>
  <si>
    <t>tiebar system</t>
  </si>
  <si>
    <t>बंधवाही पद्धति</t>
  </si>
  <si>
    <t>tight coupling</t>
  </si>
  <si>
    <t>tightener</t>
  </si>
  <si>
    <t>कर्षी (पु.)</t>
  </si>
  <si>
    <t>tilt</t>
  </si>
  <si>
    <t>कल (पु.)</t>
  </si>
  <si>
    <t>timbre</t>
  </si>
  <si>
    <t>स्वरगण (पु.)</t>
  </si>
  <si>
    <t>time</t>
  </si>
  <si>
    <t>समय (पु.), काल (पु.)</t>
  </si>
  <si>
    <t>time base generator</t>
  </si>
  <si>
    <t>कालमान जनित्र</t>
  </si>
  <si>
    <t>time constant</t>
  </si>
  <si>
    <t>काल स्थिरांक (पु.)</t>
  </si>
  <si>
    <t>time delay</t>
  </si>
  <si>
    <t>काल विलंब</t>
  </si>
  <si>
    <t>time division multiplex</t>
  </si>
  <si>
    <t>काल विभाजन बहुपथ</t>
  </si>
  <si>
    <t>time domain</t>
  </si>
  <si>
    <t>काल अधिक्षेत्र</t>
  </si>
  <si>
    <t>time element</t>
  </si>
  <si>
    <t>काल घटक</t>
  </si>
  <si>
    <t>time interval between stroke</t>
  </si>
  <si>
    <t>आघातामधील कालावधी</t>
  </si>
  <si>
    <t>time invariant</t>
  </si>
  <si>
    <t>काल निश्चल</t>
  </si>
  <si>
    <t>time lag</t>
  </si>
  <si>
    <t>कालपश्चता (स्त्री.), कालपश्चन (न.)</t>
  </si>
  <si>
    <t>time lag device</t>
  </si>
  <si>
    <t>कालपश्चन साधन</t>
  </si>
  <si>
    <t>time lag of flash over</t>
  </si>
  <si>
    <t>स्फुल्लिंगनाची कालपश्चता</t>
  </si>
  <si>
    <t>time lag of puncture</t>
  </si>
  <si>
    <t>वेधनाची कालपश्चता</t>
  </si>
  <si>
    <t>time limit</t>
  </si>
  <si>
    <t>कालसीमा (स्त्री.)</t>
  </si>
  <si>
    <t>time limit attachment</t>
  </si>
  <si>
    <t>कालसीमा उपायोज</t>
  </si>
  <si>
    <t>time meter</t>
  </si>
  <si>
    <t>कालमापी (पु.)</t>
  </si>
  <si>
    <t>time of day tariff</t>
  </si>
  <si>
    <t>दिन वेळ प्रशुल्क</t>
  </si>
  <si>
    <t>time of recovery</t>
  </si>
  <si>
    <t>time signal</t>
  </si>
  <si>
    <t>कालसंकेत (पु.)</t>
  </si>
  <si>
    <t>time switch</t>
  </si>
  <si>
    <t>समय स्विच</t>
  </si>
  <si>
    <t>time to flash over</t>
  </si>
  <si>
    <t>स्फुल्लिंगन काल</t>
  </si>
  <si>
    <t>time to puncture</t>
  </si>
  <si>
    <t>वेधन काल</t>
  </si>
  <si>
    <t>time varying</t>
  </si>
  <si>
    <t>काल चल</t>
  </si>
  <si>
    <t>timed spark system</t>
  </si>
  <si>
    <t>कालित स्फुल्लिंग पद्धति</t>
  </si>
  <si>
    <t>tinned conductor</t>
  </si>
  <si>
    <t>टिनलेपित वाही</t>
  </si>
  <si>
    <t>tintometer</t>
  </si>
  <si>
    <t>छटामापी (पु.)</t>
  </si>
  <si>
    <t>tip</t>
  </si>
  <si>
    <t>शेंडा (पु.), टोक (न.)</t>
  </si>
  <si>
    <t>Tirill regulator</t>
  </si>
  <si>
    <t>टिरिल नियामी</t>
  </si>
  <si>
    <t>Toepler machine</t>
  </si>
  <si>
    <t>टॉप्लर यंत्र</t>
  </si>
  <si>
    <t>toggle switch</t>
  </si>
  <si>
    <t>टॉगल स्विच</t>
  </si>
  <si>
    <t>tolerance</t>
  </si>
  <si>
    <t>१ सह्यता (स्त्री.) २ सह्यांतर (न.)</t>
  </si>
  <si>
    <t>tolerance threshold hearing</t>
  </si>
  <si>
    <t>सह्यता सीमा श्रवण</t>
  </si>
  <si>
    <t>toll call</t>
  </si>
  <si>
    <t>टोल पाचारण</t>
  </si>
  <si>
    <t>toll exchange</t>
  </si>
  <si>
    <t>टोल विनिमय</t>
  </si>
  <si>
    <t>toll line</t>
  </si>
  <si>
    <t>टोल तारमार्ग</t>
  </si>
  <si>
    <t>tomography</t>
  </si>
  <si>
    <t>छेदोलेखन (न.)</t>
  </si>
  <si>
    <t>tone</t>
  </si>
  <si>
    <t>स्वर (पु.)</t>
  </si>
  <si>
    <t>tone control</t>
  </si>
  <si>
    <t>१ स्वर नियंत्रण २ स्वर नियंत्री</t>
  </si>
  <si>
    <t>tone control transformer</t>
  </si>
  <si>
    <t>स्वर नियंत्रण परिवर्तित्र</t>
  </si>
  <si>
    <t>tone wheel</t>
  </si>
  <si>
    <t>स्वर चक्र</t>
  </si>
  <si>
    <t>tong test ammeter</t>
  </si>
  <si>
    <t>चिमटा चाचणी ऍमीटर</t>
  </si>
  <si>
    <t>tonic trail</t>
  </si>
  <si>
    <t>अनुस्वर (पु.)</t>
  </si>
  <si>
    <t>tool</t>
  </si>
  <si>
    <t>हत्यार (न.)</t>
  </si>
  <si>
    <t>tooth</t>
  </si>
  <si>
    <t>दात (पु.), दंत (पु.), दाता (पु.)</t>
  </si>
  <si>
    <t>tooth flux</t>
  </si>
  <si>
    <t>दंत अभिवाह</t>
  </si>
  <si>
    <t>tooth geometry factor</t>
  </si>
  <si>
    <t>दंत भूमिति अंक</t>
  </si>
  <si>
    <t>tooth locking</t>
  </si>
  <si>
    <t>दंत पाशन</t>
  </si>
  <si>
    <t>also cogging</t>
  </si>
  <si>
    <t>tooth ratio</t>
  </si>
  <si>
    <t>दाता गुणोत्तर, दंत गुणोत्तर</t>
  </si>
  <si>
    <t>top clearance</t>
  </si>
  <si>
    <t>शिर मुक्तांतर (न.)</t>
  </si>
  <si>
    <t>top contact rail</t>
  </si>
  <si>
    <t>शीर्ष संपर्क रुळ</t>
  </si>
  <si>
    <t>topology</t>
  </si>
  <si>
    <t>१ संस्थिति (स्त्री.) २ संस्थितिशास्त्र (न.)</t>
  </si>
  <si>
    <t>topping up</t>
  </si>
  <si>
    <t>पूर्ण भरणे (न.)</t>
  </si>
  <si>
    <t>toroidal winding</t>
  </si>
  <si>
    <t>१ वृत्त कुंडल, वृत्तकुंतल कुंडल २ वृत्तकुंतल कुंडलन</t>
  </si>
  <si>
    <t>torque</t>
  </si>
  <si>
    <t>मोटना (स्त्री.)</t>
  </si>
  <si>
    <t>torque dynamometer</t>
  </si>
  <si>
    <t>मोटना गतिजमापी</t>
  </si>
  <si>
    <t>torque meter</t>
  </si>
  <si>
    <t>मोटनामापी (पु.)</t>
  </si>
  <si>
    <t>torque motor</t>
  </si>
  <si>
    <t>मोटना चलित्र</t>
  </si>
  <si>
    <t>torsion</t>
  </si>
  <si>
    <t>मोटन (न.)</t>
  </si>
  <si>
    <t>total absorption power</t>
  </si>
  <si>
    <t>एकूण शोषण शक्ति</t>
  </si>
  <si>
    <t>total capacitance</t>
  </si>
  <si>
    <t>एकूण धारिता</t>
  </si>
  <si>
    <t>total characteristic curve</t>
  </si>
  <si>
    <t>एकूण अभिलाक्षणिक वक्र</t>
  </si>
  <si>
    <t>total emissive power</t>
  </si>
  <si>
    <t>एकूण उत्सर्जी शक्ति</t>
  </si>
  <si>
    <t>total equivalent volt ampere</t>
  </si>
  <si>
    <t>एकूण सममूल्य व्होल्ट ऍम्पिअर</t>
  </si>
  <si>
    <t>total flux</t>
  </si>
  <si>
    <t>एकूण अभिवाह</t>
  </si>
  <si>
    <t>total head room</t>
  </si>
  <si>
    <t>एकूण शिरकाव</t>
  </si>
  <si>
    <t>total losses</t>
  </si>
  <si>
    <t>एकूण हानि</t>
  </si>
  <si>
    <t>total modulation</t>
  </si>
  <si>
    <t>पूर्ण आपरिवर्तन</t>
  </si>
  <si>
    <t>total output panel</t>
  </si>
  <si>
    <t>एकूण प्रदान फलक</t>
  </si>
  <si>
    <t>total radiation</t>
  </si>
  <si>
    <t>पूर्ण प्रारण</t>
  </si>
  <si>
    <t>total reflection</t>
  </si>
  <si>
    <t>पूर्ण परावर्तन</t>
  </si>
  <si>
    <t>total reflection factor</t>
  </si>
  <si>
    <t>एकूण परावर्तन अंक</t>
  </si>
  <si>
    <t>total transmission factor</t>
  </si>
  <si>
    <t>एकूण पारेषण अंक</t>
  </si>
  <si>
    <t>totally enclosed</t>
  </si>
  <si>
    <t>पूर्ण समावृत</t>
  </si>
  <si>
    <t>apparatus, machine etc.</t>
  </si>
  <si>
    <t>totral break time</t>
  </si>
  <si>
    <t>एकूण वियोजनकाल</t>
  </si>
  <si>
    <t>tough rubber sheathing</t>
  </si>
  <si>
    <t>चिवट रबर कोषण</t>
  </si>
  <si>
    <t>toughened glass</t>
  </si>
  <si>
    <t>प्रबलित काच</t>
  </si>
  <si>
    <t>tower</t>
  </si>
  <si>
    <t>मनोरा (पु.), टॉवर (पु.)</t>
  </si>
  <si>
    <t>tower antenna</t>
  </si>
  <si>
    <t>मनोरा आकाशग</t>
  </si>
  <si>
    <t>tower leg</t>
  </si>
  <si>
    <t>मनोऱ्याचा पाय</t>
  </si>
  <si>
    <t>tower line</t>
  </si>
  <si>
    <t>मनोरा तारमार्ग</t>
  </si>
  <si>
    <t>trace</t>
  </si>
  <si>
    <t>अनुरेख (पु.)</t>
  </si>
  <si>
    <t>tracer</t>
  </si>
  <si>
    <t>अनुरेखी (पु.)</t>
  </si>
  <si>
    <t>track</t>
  </si>
  <si>
    <t>मार्ग (पु.), कर्षपथ (पु.)</t>
  </si>
  <si>
    <t>track brake</t>
  </si>
  <si>
    <t>मार्ग आरोधी</t>
  </si>
  <si>
    <t>track braking</t>
  </si>
  <si>
    <t>मार्ग आरोधन</t>
  </si>
  <si>
    <t>track circuit</t>
  </si>
  <si>
    <t>मार्ग परिपथ</t>
  </si>
  <si>
    <t>track circuit signalling</t>
  </si>
  <si>
    <t>मार्ग परिपथ संकेतन</t>
  </si>
  <si>
    <t>track gauge</t>
  </si>
  <si>
    <t>मार्ग प्रमापी</t>
  </si>
  <si>
    <t>track rail bond</t>
  </si>
  <si>
    <t>मार्ग रुळ बंध</t>
  </si>
  <si>
    <t>track relay</t>
  </si>
  <si>
    <t>मार्ग पुनरेषी</t>
  </si>
  <si>
    <t>track return system</t>
  </si>
  <si>
    <t>कर्षपथ प्रत्यागमन पद्धति</t>
  </si>
  <si>
    <t>track switch</t>
  </si>
  <si>
    <t>मार्ग स्विच</t>
  </si>
  <si>
    <t>tracker wire</t>
  </si>
  <si>
    <t>मार्गी तार</t>
  </si>
  <si>
    <t>tracking</t>
  </si>
  <si>
    <t>मार्गण (न.)</t>
  </si>
  <si>
    <t>tracking of receiver</t>
  </si>
  <si>
    <t>ग्राही मार्गण</t>
  </si>
  <si>
    <t>trackless trolley system</t>
  </si>
  <si>
    <t>कर्षपथहीन ट्रॉली पद्धति, मार्गहीन ठेला पद्धति</t>
  </si>
  <si>
    <t>traction</t>
  </si>
  <si>
    <t>संकर्षण (न.)</t>
  </si>
  <si>
    <t>traction battery</t>
  </si>
  <si>
    <t>संकर्षण बॅटरी</t>
  </si>
  <si>
    <t>traction drive</t>
  </si>
  <si>
    <t>१ संकर्षण चालन २ संकर्षण चालनी</t>
  </si>
  <si>
    <t>traction generator</t>
  </si>
  <si>
    <t>संकर्षण जनित्र</t>
  </si>
  <si>
    <t>traction recorder</t>
  </si>
  <si>
    <t>संकर्षण अभिलेखी</t>
  </si>
  <si>
    <t>tractive effort</t>
  </si>
  <si>
    <t>संकर्षी प्रयास</t>
  </si>
  <si>
    <t>tractive resistance</t>
  </si>
  <si>
    <t>संकर्षी रोध</t>
  </si>
  <si>
    <t>traffic</t>
  </si>
  <si>
    <t>रहदारी (स्त्री.), वाहतूक (स्त्री.)</t>
  </si>
  <si>
    <t>traffic diagram</t>
  </si>
  <si>
    <t>वाहतूक रेखाकृति</t>
  </si>
  <si>
    <t>traffic flow</t>
  </si>
  <si>
    <t>वाहतूक प्रवाह</t>
  </si>
  <si>
    <t>traffic lights</t>
  </si>
  <si>
    <t>वाहतूक दिवे (पु.अ.व.)</t>
  </si>
  <si>
    <t>traffic meter</t>
  </si>
  <si>
    <t>वाहतूक मापी</t>
  </si>
  <si>
    <t>traffic unit</t>
  </si>
  <si>
    <t>वाहतूक एकक</t>
  </si>
  <si>
    <t>trailer</t>
  </si>
  <si>
    <t>अनुसर्पी (पु.)</t>
  </si>
  <si>
    <t>trailer coach</t>
  </si>
  <si>
    <t>अनुसर्पी यान (न.)</t>
  </si>
  <si>
    <t>trailing</t>
  </si>
  <si>
    <t>अनुसर्पी, पश्च</t>
  </si>
  <si>
    <t>trailing bogie</t>
  </si>
  <si>
    <t>अनुसर्पी बोगी</t>
  </si>
  <si>
    <t>trailing cable</t>
  </si>
  <si>
    <t>अनुसर्पी केबल</t>
  </si>
  <si>
    <t>trailing edge</t>
  </si>
  <si>
    <t>पश्च काठ</t>
  </si>
  <si>
    <t>trailing pole tip</t>
  </si>
  <si>
    <t>अनुसर्पी धुव टोक</t>
  </si>
  <si>
    <t>train</t>
  </si>
  <si>
    <t>१ क्रम (पु.) (as in impulse train विस्पंद क्रम) २ गाडी (स्त्री.) ३ माला (स्त्री.)</t>
  </si>
  <si>
    <t>train control</t>
  </si>
  <si>
    <t>गाडी नियंत्रण</t>
  </si>
  <si>
    <t>train line</t>
  </si>
  <si>
    <t>यानतारमार्ग (पु.)</t>
  </si>
  <si>
    <t>train of waves</t>
  </si>
  <si>
    <t>तरंगमाला (स्त्री.)</t>
  </si>
  <si>
    <t>train resistance</t>
  </si>
  <si>
    <t>गाडी रोध</t>
  </si>
  <si>
    <t>transcription</t>
  </si>
  <si>
    <t>पारलेखन (न.)</t>
  </si>
  <si>
    <t>transducer</t>
  </si>
  <si>
    <t>पारणी (पु.)</t>
  </si>
  <si>
    <t>transductor control</t>
  </si>
  <si>
    <t>१ ट्रान्सडक्टर नियंत्रण २ ट्रान्सडक्टर नियंत्री</t>
  </si>
  <si>
    <t>transfer</t>
  </si>
  <si>
    <t>बदल (पु.)</t>
  </si>
  <si>
    <t>transfer admittance</t>
  </si>
  <si>
    <t>बंदल संवहन</t>
  </si>
  <si>
    <t>transfer circuit</t>
  </si>
  <si>
    <t>बदल परिपथ</t>
  </si>
  <si>
    <t>transfer constant</t>
  </si>
  <si>
    <t>बदल स्थिरांक</t>
  </si>
  <si>
    <t>transfer function</t>
  </si>
  <si>
    <t>बदल फल</t>
  </si>
  <si>
    <t>transfer impedance</t>
  </si>
  <si>
    <t>बदल संरोध</t>
  </si>
  <si>
    <t>transfer impedance of network</t>
  </si>
  <si>
    <t>जालव्यूह बदल संरोध</t>
  </si>
  <si>
    <t>transfer switch</t>
  </si>
  <si>
    <t>transformation</t>
  </si>
  <si>
    <t>परिवर्तन (न.), रुपांतर (न.)</t>
  </si>
  <si>
    <t>transformation ratio</t>
  </si>
  <si>
    <t>transformer</t>
  </si>
  <si>
    <t>परिवर्तित्र (न.)</t>
  </si>
  <si>
    <t>transformer core</t>
  </si>
  <si>
    <t>परिवर्तित्र क्रोड</t>
  </si>
  <si>
    <t>transformer coupled amplifier</t>
  </si>
  <si>
    <t>परिवर्तित्र युग्मित प्रवर्धी</t>
  </si>
  <si>
    <t>transformer kiosk</t>
  </si>
  <si>
    <t>परिवर्तित्र कुटी</t>
  </si>
  <si>
    <t>transformer oil</t>
  </si>
  <si>
    <t>परिवर्तित्र तेल</t>
  </si>
  <si>
    <t>transformer stampings</t>
  </si>
  <si>
    <t>परिवर्तित्र ठसापत्री (स्त्री.अ.व.)</t>
  </si>
  <si>
    <t>transformer substation</t>
  </si>
  <si>
    <t>परिवर्तित्र उपकेंद्र</t>
  </si>
  <si>
    <t>transformer tank</t>
  </si>
  <si>
    <t>परिवर्तित्र टाकी</t>
  </si>
  <si>
    <t>transformer tube</t>
  </si>
  <si>
    <t>परिवर्तित्र नलिका</t>
  </si>
  <si>
    <t>transformer utilisation factor</t>
  </si>
  <si>
    <t>परिवर्तित्र उपयोगांक</t>
  </si>
  <si>
    <t>transformer winding</t>
  </si>
  <si>
    <t>१ परिवर्तित्र कुंडल २ परिवर्तित्र कुंडलन</t>
  </si>
  <si>
    <t>transforming station</t>
  </si>
  <si>
    <t>परिवर्तन केंद्र</t>
  </si>
  <si>
    <t>transient</t>
  </si>
  <si>
    <t>क्षणिक</t>
  </si>
  <si>
    <t>transistor</t>
  </si>
  <si>
    <t>ट्रॅन्झिस्टर (पु.)</t>
  </si>
  <si>
    <t>transistor junction</t>
  </si>
  <si>
    <t>ट्रॅन्झिस्टर संयोग</t>
  </si>
  <si>
    <t>transit call</t>
  </si>
  <si>
    <t>संक्रमी पाचारण</t>
  </si>
  <si>
    <t>transit time effects</t>
  </si>
  <si>
    <t>संक्रमी काल परिणाम (पु.अ.व.)</t>
  </si>
  <si>
    <t>transit time effects in amplifier</t>
  </si>
  <si>
    <t>प्रवर्धीतील मार्गस्थ काल परिणाम (पु.अ.व.)</t>
  </si>
  <si>
    <t>transition</t>
  </si>
  <si>
    <t>संक्रमण (न.)</t>
  </si>
  <si>
    <t>transition factor</t>
  </si>
  <si>
    <t>संक्रमण अंक</t>
  </si>
  <si>
    <t>transition point</t>
  </si>
  <si>
    <t>संक्रमण बिंदु</t>
  </si>
  <si>
    <t>transition stops</t>
  </si>
  <si>
    <t>संक्रमण विराम (पु.अ.व.)</t>
  </si>
  <si>
    <t>transitron</t>
  </si>
  <si>
    <t>ट्रान्झिट्रॉन (पु.)</t>
  </si>
  <si>
    <t>translation</t>
  </si>
  <si>
    <t>स्थानांतरण (न.)</t>
  </si>
  <si>
    <t>translator</t>
  </si>
  <si>
    <t>स्थानांतरी (पु.)</t>
  </si>
  <si>
    <t>translucent reflector</t>
  </si>
  <si>
    <t>अंशपार्य परावर्ती</t>
  </si>
  <si>
    <t>transmission</t>
  </si>
  <si>
    <t>पारेषण (न.)</t>
  </si>
  <si>
    <t>transmission factor</t>
  </si>
  <si>
    <t>पारेषण अंक</t>
  </si>
  <si>
    <t>transmission level</t>
  </si>
  <si>
    <t>पारेषण पातळी</t>
  </si>
  <si>
    <t>transmission line</t>
  </si>
  <si>
    <t>पारेषण तारमार्ग</t>
  </si>
  <si>
    <t>transmission loss</t>
  </si>
  <si>
    <t>पारेषण हानि</t>
  </si>
  <si>
    <t>transmission of light</t>
  </si>
  <si>
    <t>प्रकाश पारेषण</t>
  </si>
  <si>
    <t>transmission pressure</t>
  </si>
  <si>
    <t>पारेषण दाब</t>
  </si>
  <si>
    <t>transmission tower</t>
  </si>
  <si>
    <t>पारेषण मनोरा</t>
  </si>
  <si>
    <t>transmitted wave</t>
  </si>
  <si>
    <t>पारेषित तरंग</t>
  </si>
  <si>
    <t>transmitter</t>
  </si>
  <si>
    <t>पारेषित्र (न.)</t>
  </si>
  <si>
    <t>transmitting</t>
  </si>
  <si>
    <t>प्रेषी, पारेषण-</t>
  </si>
  <si>
    <t>transmitting antenna</t>
  </si>
  <si>
    <t>प्रेषी आकाशग</t>
  </si>
  <si>
    <t>transport number</t>
  </si>
  <si>
    <t>परिवहनांक (पु.)</t>
  </si>
  <si>
    <t>transposed line</t>
  </si>
  <si>
    <t>स्थानांतरित तारमार्ग</t>
  </si>
  <si>
    <t>transposition</t>
  </si>
  <si>
    <t>transverse</t>
  </si>
  <si>
    <t>अनुप्रस्थ</t>
  </si>
  <si>
    <t>transverse alignment</t>
  </si>
  <si>
    <t>अनुप्रस्थ संरेखन</t>
  </si>
  <si>
    <t>transverse strength</t>
  </si>
  <si>
    <t>अनुप्रस्थ सामर्थ्य</t>
  </si>
  <si>
    <t>transverter</t>
  </si>
  <si>
    <t>trap</t>
  </si>
  <si>
    <t>सापळा (पु.), पंजर (पु.)</t>
  </si>
  <si>
    <t>trap amplifier</t>
  </si>
  <si>
    <t>पंजर प्रवर्धी</t>
  </si>
  <si>
    <t>trap circuit</t>
  </si>
  <si>
    <t>पंजर परिपथ</t>
  </si>
  <si>
    <t>trapezium effect</t>
  </si>
  <si>
    <t>समांतर द्विभुज चौकोन प्रभाव, समांतर द्विभुज चौकोन परिणाम</t>
  </si>
  <si>
    <t>trapezoidal speed time curve</t>
  </si>
  <si>
    <t>समांतर द्विभुज चौकोनी चालकाल वक्र</t>
  </si>
  <si>
    <t>trapping level</t>
  </si>
  <si>
    <t>पकड पातळी</t>
  </si>
  <si>
    <t>travel</t>
  </si>
  <si>
    <t>travelling</t>
  </si>
  <si>
    <t>गामी, अनुसर्पी</t>
  </si>
  <si>
    <t>travelling cable</t>
  </si>
  <si>
    <t>travelling wave</t>
  </si>
  <si>
    <t>गामी तरंग</t>
  </si>
  <si>
    <t>travelling wave amplifier</t>
  </si>
  <si>
    <t>गामी तरंग प्रवर्धी</t>
  </si>
  <si>
    <t>travelling wave magnetron</t>
  </si>
  <si>
    <t>गामी तरंग मॅग्नेट्रॉन</t>
  </si>
  <si>
    <t>treatment</t>
  </si>
  <si>
    <t>tree</t>
  </si>
  <si>
    <t>वृक्ष (पु.)</t>
  </si>
  <si>
    <t>trees and modules</t>
  </si>
  <si>
    <t>वृक्ष व गाठी</t>
  </si>
  <si>
    <t>trembler</t>
  </si>
  <si>
    <t>कंपी (पु.)</t>
  </si>
  <si>
    <t>triangular source</t>
  </si>
  <si>
    <t>त्रिकोणी प्रभव</t>
  </si>
  <si>
    <t>triangular wave</t>
  </si>
  <si>
    <t>त्रिकोणी तरंग</t>
  </si>
  <si>
    <t>trichromatic coefficient</t>
  </si>
  <si>
    <t>त्रिवर्धी गुणांक</t>
  </si>
  <si>
    <t>trickle charge</t>
  </si>
  <si>
    <t>स्त्राव प्रभार</t>
  </si>
  <si>
    <t>trifurcating box</t>
  </si>
  <si>
    <t>त्रिमार्गण पेटी</t>
  </si>
  <si>
    <t>trigger circuit</t>
  </si>
  <si>
    <t>चेतक परिपथ</t>
  </si>
  <si>
    <t>triggered</t>
  </si>
  <si>
    <t>चेतवलेला</t>
  </si>
  <si>
    <t>triggering</t>
  </si>
  <si>
    <t>चेतन (न.)</t>
  </si>
  <si>
    <t>triggering action</t>
  </si>
  <si>
    <t>चेतन क्रिया</t>
  </si>
  <si>
    <t>triode</t>
  </si>
  <si>
    <t>ट्रायोड (पु.), त्रिअग्री (पु.)</t>
  </si>
  <si>
    <t>triode amplifier</t>
  </si>
  <si>
    <t>ट्रायोड प्रवर्धी</t>
  </si>
  <si>
    <t>triode hexode mixer</t>
  </si>
  <si>
    <t>ट्रायोड हेक्सोड मिश्रक</t>
  </si>
  <si>
    <t>trip</t>
  </si>
  <si>
    <t>सटक (स्त्री.)</t>
  </si>
  <si>
    <t>trip coil</t>
  </si>
  <si>
    <t>सटक कुंडल</t>
  </si>
  <si>
    <t>trip free</t>
  </si>
  <si>
    <t>सटक मुक्त</t>
  </si>
  <si>
    <t>triple armature motor</t>
  </si>
  <si>
    <t>तिहेरी आर्मेचर चलित्र</t>
  </si>
  <si>
    <t>triple concentric cable</t>
  </si>
  <si>
    <t>तिहेरी संकेंद्री केबल</t>
  </si>
  <si>
    <t>triple detection receiver</t>
  </si>
  <si>
    <t>तिहेरी शोधन ग्राही</t>
  </si>
  <si>
    <t>triple pole</t>
  </si>
  <si>
    <t>त्रिधुवी</t>
  </si>
  <si>
    <t>triple pole ironclad switch</t>
  </si>
  <si>
    <t>त्रिधुवी लोहवेष्टित स्विच</t>
  </si>
  <si>
    <t>triplet</t>
  </si>
  <si>
    <t>त्रिक (न.)</t>
  </si>
  <si>
    <t>tripping current</t>
  </si>
  <si>
    <t>सटक धारा</t>
  </si>
  <si>
    <t>tripping device</t>
  </si>
  <si>
    <t>सटक क्ळ्^इप्ति</t>
  </si>
  <si>
    <t>tripping interlock</t>
  </si>
  <si>
    <t>सटकता आंतरपाश</t>
  </si>
  <si>
    <t>trolley</t>
  </si>
  <si>
    <t>ट्रॉली (स्त्री.), चाकाळी (स्त्री.), ठेला (पु.)</t>
  </si>
  <si>
    <t>trolley bus</t>
  </si>
  <si>
    <t>ट्रॉली बस (स्त्री.)</t>
  </si>
  <si>
    <t>trolley bus system</t>
  </si>
  <si>
    <t>ट्रॉली बस पद्धति</t>
  </si>
  <si>
    <t>trolley collector</t>
  </si>
  <si>
    <t>ट्रॉली संग्राही</t>
  </si>
  <si>
    <t>trolley frog</t>
  </si>
  <si>
    <t>ट्रॉली प्लव (पु.)</t>
  </si>
  <si>
    <t>trolley wire</t>
  </si>
  <si>
    <t>ट्रॉली तार</t>
  </si>
  <si>
    <t>tropical switch</t>
  </si>
  <si>
    <t>उष्णदेशीय स्विच</t>
  </si>
  <si>
    <t>tropospheric reflections</t>
  </si>
  <si>
    <t>ताणावरण परावर्तने (न.अ.व.)</t>
  </si>
  <si>
    <t>trouble</t>
  </si>
  <si>
    <t>बिघाड (पु.)</t>
  </si>
  <si>
    <t>troughing</t>
  </si>
  <si>
    <t>पन्हळ (स्त्री.)</t>
  </si>
  <si>
    <t>truck</t>
  </si>
  <si>
    <t>truck type switch board</t>
  </si>
  <si>
    <t>शकट स्विच फलक</t>
  </si>
  <si>
    <t>true ohm</t>
  </si>
  <si>
    <t>केवल ओम</t>
  </si>
  <si>
    <t>truncated</t>
  </si>
  <si>
    <t>रुंडित</t>
  </si>
  <si>
    <t>truncation</t>
  </si>
  <si>
    <t>रुंडन (न.)</t>
  </si>
  <si>
    <t>trunk</t>
  </si>
  <si>
    <t>trunk feeder</t>
  </si>
  <si>
    <t>स्कंध प्रदायी</t>
  </si>
  <si>
    <t>tube</t>
  </si>
  <si>
    <t>नलिका (स्त्री.), नळी (स्त्री.)</t>
  </si>
  <si>
    <t>tube of eletric flux</t>
  </si>
  <si>
    <t>विद्युत अभिवाह नलिका</t>
  </si>
  <si>
    <t>tube of magnetic flux</t>
  </si>
  <si>
    <t>चुंबकीय अभिवाह नलिका</t>
  </si>
  <si>
    <t>tube railway</t>
  </si>
  <si>
    <t>भुयारी रेल्वे, भुयारी लोह मार्ग</t>
  </si>
  <si>
    <t>tube screen grid</t>
  </si>
  <si>
    <t>नलिका पटल जाल</t>
  </si>
  <si>
    <t>tubular lamp</t>
  </si>
  <si>
    <t>नलिका दीप</t>
  </si>
  <si>
    <t>tumbler switch</t>
  </si>
  <si>
    <t>टम्बलर स्विच</t>
  </si>
  <si>
    <t>tune</t>
  </si>
  <si>
    <t>मेल (पु.)</t>
  </si>
  <si>
    <t>मेल करणे</t>
  </si>
  <si>
    <t>tuned</t>
  </si>
  <si>
    <t>मेलित</t>
  </si>
  <si>
    <t>tuned amplifier</t>
  </si>
  <si>
    <t>मेलित प्रवर्धी</t>
  </si>
  <si>
    <t>tuned anode circuit</t>
  </si>
  <si>
    <t>मेलित ऍनोड परिपथ</t>
  </si>
  <si>
    <t>tuned radio frequency</t>
  </si>
  <si>
    <t>मेलित रेडिओ वारंवारता</t>
  </si>
  <si>
    <t>tuned radio frequency receiver</t>
  </si>
  <si>
    <t>मेलित रेडिओ वारंवारता ग्राही</t>
  </si>
  <si>
    <t>tuner</t>
  </si>
  <si>
    <t>मेलनी (पु.)</t>
  </si>
  <si>
    <t>tungsten arc</t>
  </si>
  <si>
    <t>टंगस्टन प्रज्योत</t>
  </si>
  <si>
    <t>tungsten filament</t>
  </si>
  <si>
    <t>टंगस्टन तंतु</t>
  </si>
  <si>
    <t>tungsten filament lamp</t>
  </si>
  <si>
    <t>टंगस्टन तंतुदीप</t>
  </si>
  <si>
    <t>tungsten lamp</t>
  </si>
  <si>
    <t>टंगस्टन दीप</t>
  </si>
  <si>
    <t>tuning</t>
  </si>
  <si>
    <t>मेलन (न.)</t>
  </si>
  <si>
    <t>tuning coil</t>
  </si>
  <si>
    <t>मेलन कुंडल</t>
  </si>
  <si>
    <t>tuning indicator</t>
  </si>
  <si>
    <t>tuning note</t>
  </si>
  <si>
    <t>मेलन स्वरक</t>
  </si>
  <si>
    <t>tuning out</t>
  </si>
  <si>
    <t>मेलन वर्जन (न.)</t>
  </si>
  <si>
    <t>tunnel diode</t>
  </si>
  <si>
    <t>सुरंग डायोड</t>
  </si>
  <si>
    <t>tunneling</t>
  </si>
  <si>
    <t>सुरंगण (न.)</t>
  </si>
  <si>
    <t>turn</t>
  </si>
  <si>
    <t>वेढा (पु.), फिरक (स्त्री.)</t>
  </si>
  <si>
    <t>turn buckle</t>
  </si>
  <si>
    <t>फिरक बकल</t>
  </si>
  <si>
    <t>turn switch</t>
  </si>
  <si>
    <t>turns ratio</t>
  </si>
  <si>
    <t>वेढे गुणोत्तर</t>
  </si>
  <si>
    <t>turret tuner</t>
  </si>
  <si>
    <t>मिनार मेलनी</t>
  </si>
  <si>
    <t>twin cable</t>
  </si>
  <si>
    <t>जुळी केबल</t>
  </si>
  <si>
    <t>twin core cable</t>
  </si>
  <si>
    <t>द्विक्रोड केबल</t>
  </si>
  <si>
    <t>twin flexible cord</t>
  </si>
  <si>
    <t>जुळा नम्य रज्जु</t>
  </si>
  <si>
    <t>twin T null network</t>
  </si>
  <si>
    <t>जोड T शून्यन जाल व्यूह</t>
  </si>
  <si>
    <t>twister motor</t>
  </si>
  <si>
    <t>पीळ चलित्र</t>
  </si>
  <si>
    <t>two circuit prepayment meter</t>
  </si>
  <si>
    <t>द्विपरिपथ पूर्वप्रदान मापी</t>
  </si>
  <si>
    <t>two conductor earthed return wiring system</t>
  </si>
  <si>
    <t>द्विवाही भूसंपर्कित प्रत्यागमन ताररचना पद्धति</t>
  </si>
  <si>
    <t>two conductor earthed wiring system</t>
  </si>
  <si>
    <t>द्विवाही भूसंपर्कित ताररचना पद्धति, द्विवाही भूसंपर्कित तार पद्धति</t>
  </si>
  <si>
    <t>two conductor insulated wiring system</t>
  </si>
  <si>
    <t>द्विवाही निरोधित तार पद्धति</t>
  </si>
  <si>
    <t>two element antenna</t>
  </si>
  <si>
    <t>द्विघटक आकाशग</t>
  </si>
  <si>
    <t>two fluid cell</t>
  </si>
  <si>
    <t>द्विद्रायु घट</t>
  </si>
  <si>
    <t>two part tariff</t>
  </si>
  <si>
    <t>द्विभाग प्रशुल्क</t>
  </si>
  <si>
    <t>two part tariff meter</t>
  </si>
  <si>
    <t>द्विभाग प्रशुल्कमापी</t>
  </si>
  <si>
    <t>two part tariff prepayment meter</t>
  </si>
  <si>
    <t>द्विभाग प्रशुल्क पूर्वप्रदानमापी</t>
  </si>
  <si>
    <t>two phase</t>
  </si>
  <si>
    <t>द्विप्रावस्थी, द्विप्रावस्था</t>
  </si>
  <si>
    <t>two phase alternator</t>
  </si>
  <si>
    <t>two phase five wire system</t>
  </si>
  <si>
    <t>द्विप्रावस्था पंचतार पद्धति</t>
  </si>
  <si>
    <t>two phase four wire system</t>
  </si>
  <si>
    <t>द्विप्रावस्थी चारतारी पद्धति, द्विप्रावस्था चारतार पद्धति</t>
  </si>
  <si>
    <t>two phase system</t>
  </si>
  <si>
    <t>द्विप्रावस्थी पद्धति</t>
  </si>
  <si>
    <t>two phase three wire system</t>
  </si>
  <si>
    <t>द्विप्रावस्थी त्रितारी पद्धति, द्विप्रावस्था त्रितार पद्धति</t>
  </si>
  <si>
    <t>two pole</t>
  </si>
  <si>
    <t>द्विधुवीय</t>
  </si>
  <si>
    <t>two port</t>
  </si>
  <si>
    <t>द्विगवाक्ष (न.)</t>
  </si>
  <si>
    <t>two rate meter</t>
  </si>
  <si>
    <t>द्विदर मापी</t>
  </si>
  <si>
    <t>two rate tariff</t>
  </si>
  <si>
    <t>द्विदर प्रशुल्क</t>
  </si>
  <si>
    <t>two speed</t>
  </si>
  <si>
    <t>द्विचाल-</t>
  </si>
  <si>
    <t>two speed lift</t>
  </si>
  <si>
    <t>द्विचाल उद्वाही</t>
  </si>
  <si>
    <t>two terminal pair network</t>
  </si>
  <si>
    <t>द्वि अग्रजोडी जालव्यूह</t>
  </si>
  <si>
    <t>two terminal reactive network</t>
  </si>
  <si>
    <t>द्विअग्री प्रतिरोधी जालव्यूह</t>
  </si>
  <si>
    <t>two tree</t>
  </si>
  <si>
    <t>द्विवृक्ष (पु.)</t>
  </si>
  <si>
    <t>two way</t>
  </si>
  <si>
    <t>द्विमार्गी, द्विपथ</t>
  </si>
  <si>
    <t>two way switch</t>
  </si>
  <si>
    <t>द्विपथ स्विच</t>
  </si>
  <si>
    <t>two wire system</t>
  </si>
  <si>
    <t>द्वितारी पद्धति, द्वितार पद्धति</t>
  </si>
  <si>
    <t>type</t>
  </si>
  <si>
    <t>प्रकार (पु.)</t>
  </si>
  <si>
    <t>U bolt</t>
  </si>
  <si>
    <t>U बोल्ट (पु.), नालाकार बोल्ट (पु.)</t>
  </si>
  <si>
    <t>U core</t>
  </si>
  <si>
    <t>U क्रोड (पु.), नालाकार क्रोड (पु.)</t>
  </si>
  <si>
    <t>U link</t>
  </si>
  <si>
    <t>U दुवा (कडी) (पु.), नालाकार दुवा (कडी) (पु.)</t>
  </si>
  <si>
    <t>UHF television channels</t>
  </si>
  <si>
    <t>प.उ.वा. दूरदर्शन प्रणाल (पु.अ.व.), परा उच्च वारंवारता दूरदर्शन प्रणाल (पु.अ.व.)</t>
  </si>
  <si>
    <t>ultimate limit switch</t>
  </si>
  <si>
    <t>ultra high frequency</t>
  </si>
  <si>
    <t>परा उच्च वारंवारता</t>
  </si>
  <si>
    <t>ultra incandescent lamp</t>
  </si>
  <si>
    <t>परातापद्वीप्त दीप</t>
  </si>
  <si>
    <t>ultra linear amplifier</t>
  </si>
  <si>
    <t>परारेखीय प्रवर्धी</t>
  </si>
  <si>
    <t>ultra violet lamp</t>
  </si>
  <si>
    <t>अतिनील दीप</t>
  </si>
  <si>
    <t>ultra violet radiation</t>
  </si>
  <si>
    <t>अतिनील प्रारण</t>
  </si>
  <si>
    <t>ultra violet therapy</t>
  </si>
  <si>
    <t>अतिनील चिकित्सा</t>
  </si>
  <si>
    <t>ultrasonic drilling</t>
  </si>
  <si>
    <t>परास्वनिक वेधन</t>
  </si>
  <si>
    <t>ultrasonic frequency</t>
  </si>
  <si>
    <t>परास्वनिक वारंवारता</t>
  </si>
  <si>
    <t>ultrasonics</t>
  </si>
  <si>
    <t>परास्वनिकी (स्त्री.)</t>
  </si>
  <si>
    <t>umbalanced circuit</t>
  </si>
  <si>
    <t>असंतुलित परिपथ</t>
  </si>
  <si>
    <t>umbrella alternator</t>
  </si>
  <si>
    <t>छत्राकार प्रत्यावर्तित्र</t>
  </si>
  <si>
    <t>umbrella antenna</t>
  </si>
  <si>
    <t>छत्राकार आकाशग</t>
  </si>
  <si>
    <t>umbrella type alternator</t>
  </si>
  <si>
    <t>unarmoured cable</t>
  </si>
  <si>
    <t>अकवचित केबल</t>
  </si>
  <si>
    <t>unattended substation</t>
  </si>
  <si>
    <t>कर्मचारीविरहित उपकेंद्र</t>
  </si>
  <si>
    <t>unbalanced current</t>
  </si>
  <si>
    <t>असंतुलित धारा</t>
  </si>
  <si>
    <t>unbalanced load</t>
  </si>
  <si>
    <t>असंतुलित भार</t>
  </si>
  <si>
    <t>unbalanced network</t>
  </si>
  <si>
    <t>असंतुलित जालव्युह</t>
  </si>
  <si>
    <t>unbalanced system</t>
  </si>
  <si>
    <t>असंतुलित पद्धति</t>
  </si>
  <si>
    <t>undamped</t>
  </si>
  <si>
    <t>अनवमंदित</t>
  </si>
  <si>
    <t>undamped oscillation (waves)</t>
  </si>
  <si>
    <t>अनवमंदित दोलन</t>
  </si>
  <si>
    <t>under compounded generator</t>
  </si>
  <si>
    <t>अवसंयुक्त जनित्र</t>
  </si>
  <si>
    <t>under contact rail</t>
  </si>
  <si>
    <t>अवसंपर्क रुळ</t>
  </si>
  <si>
    <t>under current</t>
  </si>
  <si>
    <t>अवधारा (स्त्री.)</t>
  </si>
  <si>
    <t>under damped</t>
  </si>
  <si>
    <t>अल्प अवमंदित</t>
  </si>
  <si>
    <t>under voltage</t>
  </si>
  <si>
    <t>अवव्होल्टता</t>
  </si>
  <si>
    <t>under voltage no close release</t>
  </si>
  <si>
    <t>अवव्होल्टता बंद विरोधी विमोचनी (स्त्री.)</t>
  </si>
  <si>
    <t>under voltage release</t>
  </si>
  <si>
    <t>अवव्होल्टता विमोचनी</t>
  </si>
  <si>
    <t>under water lighting</t>
  </si>
  <si>
    <t>अवजल दीपन</t>
  </si>
  <si>
    <t>undercharge</t>
  </si>
  <si>
    <t>अवप्रभार (पु.)</t>
  </si>
  <si>
    <t>underground collector</t>
  </si>
  <si>
    <t>भूगत संग्राही</t>
  </si>
  <si>
    <t>underground line</t>
  </si>
  <si>
    <t>भूगत तार</t>
  </si>
  <si>
    <t>underload</t>
  </si>
  <si>
    <t>अवभार (पु.)</t>
  </si>
  <si>
    <t>undersaturated exciter</t>
  </si>
  <si>
    <t>अवसंपृक्त उत्तेजित्र</t>
  </si>
  <si>
    <t>undulatory current</t>
  </si>
  <si>
    <t>ऊर्मिल धारा</t>
  </si>
  <si>
    <t>undulatory discharge</t>
  </si>
  <si>
    <t>ऊर्मिल निर्भारण</t>
  </si>
  <si>
    <t>unidiameter</t>
  </si>
  <si>
    <t>एकव्यासीय</t>
  </si>
  <si>
    <t>unidiameter joint</t>
  </si>
  <si>
    <t>एकव्यासीय जोड</t>
  </si>
  <si>
    <t>unidirectional</t>
  </si>
  <si>
    <t>एकदिक</t>
  </si>
  <si>
    <t>unidirectional aerial</t>
  </si>
  <si>
    <t>एकदिक आकाशग</t>
  </si>
  <si>
    <t>unidirectional antenna</t>
  </si>
  <si>
    <t>unidirectional current</t>
  </si>
  <si>
    <t>एकदिक धारा</t>
  </si>
  <si>
    <t>unifilar suspension</t>
  </si>
  <si>
    <t>१ एकतंतुक निलंब २ एकतंतु निलंबन</t>
  </si>
  <si>
    <t>uniform chromaticity diagram</t>
  </si>
  <si>
    <t>एकसमान वर्णीयता आकृति</t>
  </si>
  <si>
    <t>uniform diffuser</t>
  </si>
  <si>
    <t>एकरुप विसारक</t>
  </si>
  <si>
    <t>uniform diffusion</t>
  </si>
  <si>
    <t>एकरुप विसरण</t>
  </si>
  <si>
    <t>uniform point source</t>
  </si>
  <si>
    <t>एकसमान बिंदु प्रभव</t>
  </si>
  <si>
    <t>uniformly loaded distributor</t>
  </si>
  <si>
    <t>समभारित वितरी</t>
  </si>
  <si>
    <t>unilateral</t>
  </si>
  <si>
    <t>unilateral conductivity</t>
  </si>
  <si>
    <t>एकमार्गी वाहकता</t>
  </si>
  <si>
    <t>unilateral impedance</t>
  </si>
  <si>
    <t>एकमार्गी संरोध</t>
  </si>
  <si>
    <t>uniphase</t>
  </si>
  <si>
    <t>एकप्रावस्था-</t>
  </si>
  <si>
    <t>uniphase antenna</t>
  </si>
  <si>
    <t>एकप्रावस्था आकाशग</t>
  </si>
  <si>
    <t>unipivot instrument</t>
  </si>
  <si>
    <t>एकविवर्तनी उपकरण</t>
  </si>
  <si>
    <t>unipolar junction transistor</t>
  </si>
  <si>
    <t>एकधुवीय संयोग ट्रान्झिस्टर</t>
  </si>
  <si>
    <t>unipole</t>
  </si>
  <si>
    <t>एकधुव (पु.)</t>
  </si>
  <si>
    <t>unipotential</t>
  </si>
  <si>
    <t>एकविभव-</t>
  </si>
  <si>
    <t>unipotential cathode</t>
  </si>
  <si>
    <t>एकविभव कॅथोड</t>
  </si>
  <si>
    <t>uniqueness</t>
  </si>
  <si>
    <t>एकमेवता (स्त्री.)</t>
  </si>
  <si>
    <t>uniselector</t>
  </si>
  <si>
    <t>एकवरणी</t>
  </si>
  <si>
    <t>uniselector distribution factor</t>
  </si>
  <si>
    <t>एकवरणी वितरण अंक</t>
  </si>
  <si>
    <t>एकक (न.)</t>
  </si>
  <si>
    <t>unit charge</t>
  </si>
  <si>
    <t>एकक प्रभार</t>
  </si>
  <si>
    <t>unit magnetic pole</t>
  </si>
  <si>
    <t>एकक चुंबकीय धुव</t>
  </si>
  <si>
    <t>unit sphere method</t>
  </si>
  <si>
    <t>एकक गोल पद्धति</t>
  </si>
  <si>
    <t>unit switch controller</t>
  </si>
  <si>
    <t>एकक स्विच नियंत्री</t>
  </si>
  <si>
    <t>unit tube of magnetic flux</t>
  </si>
  <si>
    <t>चुंबकीय अभिवाह एकक नलिका</t>
  </si>
  <si>
    <t>unitary ratio</t>
  </si>
  <si>
    <t>एककीय गुणोत्तर</t>
  </si>
  <si>
    <t>univalent</t>
  </si>
  <si>
    <t>एकसंयुजी</t>
  </si>
  <si>
    <t>universal</t>
  </si>
  <si>
    <t>सर्वयोग्य</t>
  </si>
  <si>
    <t>universal galvanometer shunt</t>
  </si>
  <si>
    <t>सर्वयोग्य गॅल्व्हानोमापी पार्श्वपथ</t>
  </si>
  <si>
    <t>universal motor</t>
  </si>
  <si>
    <t>सर्वयोग्य चलित्र</t>
  </si>
  <si>
    <t>universal resonance curve</t>
  </si>
  <si>
    <t>सर्वयोग्य संस्पंदन वक्र</t>
  </si>
  <si>
    <t>universal response curve</t>
  </si>
  <si>
    <t>सर्वयोग्य अनुक्रिया वक्र</t>
  </si>
  <si>
    <t>universal shunt</t>
  </si>
  <si>
    <t>सर्वयोग्य पार्श्वपथ</t>
  </si>
  <si>
    <t>unloaded antenna</t>
  </si>
  <si>
    <t>भारहीन आकाशग</t>
  </si>
  <si>
    <t>unloaded wavelength</t>
  </si>
  <si>
    <t>भारहीन तरंगलांबी</t>
  </si>
  <si>
    <t>unmodulated waves</t>
  </si>
  <si>
    <t>अनापरिवर्तित तरंग (पु.अ.व.)</t>
  </si>
  <si>
    <t>unmodulation</t>
  </si>
  <si>
    <t>अनापरिवर्तन (न.)</t>
  </si>
  <si>
    <t>unscrambler</t>
  </si>
  <si>
    <t>सुसंबंधक (पु.)</t>
  </si>
  <si>
    <t>unscrambling</t>
  </si>
  <si>
    <t>सुसंबंधन (न.)</t>
  </si>
  <si>
    <t>unslotted core</t>
  </si>
  <si>
    <t>unstable</t>
  </si>
  <si>
    <t>अस्थायी</t>
  </si>
  <si>
    <t>unstable oscillation</t>
  </si>
  <si>
    <t>अस्थायी दोलन</t>
  </si>
  <si>
    <t>unsymmetrical grading</t>
  </si>
  <si>
    <t>असममित श्रेणीकरण</t>
  </si>
  <si>
    <t>unsymmetry factor</t>
  </si>
  <si>
    <t>असममिति अंक</t>
  </si>
  <si>
    <t>untuned aerial</t>
  </si>
  <si>
    <t>अमेलित आकाशग</t>
  </si>
  <si>
    <t>untuned circuit</t>
  </si>
  <si>
    <t>अमेलित परिपथ</t>
  </si>
  <si>
    <t>upper harmonics of current</t>
  </si>
  <si>
    <t>उच्च धारा संवादिके (न.अ.व.)</t>
  </si>
  <si>
    <t>upper hemispherical flux</t>
  </si>
  <si>
    <t>वरचा अर्धगोलीय अभिवाह</t>
  </si>
  <si>
    <t>usable frequency</t>
  </si>
  <si>
    <t>प्रयोज्य वारंवारता</t>
  </si>
  <si>
    <t>useful area</t>
  </si>
  <si>
    <t>उपयुक्त क्षेत्र</t>
  </si>
  <si>
    <t>useful current</t>
  </si>
  <si>
    <t>उपयुक्त धारा</t>
  </si>
  <si>
    <t>useful flux</t>
  </si>
  <si>
    <t>उपयुक्त अभिवाह</t>
  </si>
  <si>
    <t>useful life</t>
  </si>
  <si>
    <t>उपयुक्त आयु</t>
  </si>
  <si>
    <t>utilisation</t>
  </si>
  <si>
    <t>उपयोग (पु.)</t>
  </si>
  <si>
    <t>utilisation factor</t>
  </si>
  <si>
    <t>उपयोगितांक (पु.)</t>
  </si>
  <si>
    <t>v band</t>
  </si>
  <si>
    <t>V पट्ट (पु.)</t>
  </si>
  <si>
    <t>v connection</t>
  </si>
  <si>
    <t>v जोडणी (स्त्री.)</t>
  </si>
  <si>
    <t>V groove</t>
  </si>
  <si>
    <t>V खाच (स्त्री.)</t>
  </si>
  <si>
    <t>V groove drum</t>
  </si>
  <si>
    <t>V खाच रंभ, V गाळा रंभ, V खाच विरंभ, V गाळा विरंभ</t>
  </si>
  <si>
    <t>V mica</t>
  </si>
  <si>
    <t>V अभ्रक (न.)</t>
  </si>
  <si>
    <t>V resonant antenna</t>
  </si>
  <si>
    <t>V संस्पंदी आकाशग</t>
  </si>
  <si>
    <t>V ring</t>
  </si>
  <si>
    <t>V वलय (न.), V कडे (न.)</t>
  </si>
  <si>
    <t>V sheave drive</t>
  </si>
  <si>
    <t>V खाचकप्पी चालन</t>
  </si>
  <si>
    <t>vacuum</t>
  </si>
  <si>
    <t>निर्वात अवकाश (पु.)</t>
  </si>
  <si>
    <t>निर्वात</t>
  </si>
  <si>
    <t>vacuum (photo) cell</t>
  </si>
  <si>
    <t>निर्वात प्रकाशघट</t>
  </si>
  <si>
    <t>vacuum condenser</t>
  </si>
  <si>
    <t>निर्वात धारी</t>
  </si>
  <si>
    <t>vacuum filament</t>
  </si>
  <si>
    <t>निर्वात तंतु</t>
  </si>
  <si>
    <t>vacuum filament lamp</t>
  </si>
  <si>
    <t>निर्वात तंतुदीप</t>
  </si>
  <si>
    <t>vacuum gauge</t>
  </si>
  <si>
    <t>निर्वात प्रमापी</t>
  </si>
  <si>
    <t>vacuum lamp</t>
  </si>
  <si>
    <t>निर्वात दीप</t>
  </si>
  <si>
    <t>vacuum lightning arrester</t>
  </si>
  <si>
    <t>निर्वात तडित प्रग्राही</t>
  </si>
  <si>
    <t>vacuum pump</t>
  </si>
  <si>
    <t>निर्वात पंप</t>
  </si>
  <si>
    <t>vacuum rectifier</t>
  </si>
  <si>
    <t>निर्वात दिष्टकारी</t>
  </si>
  <si>
    <t>vacuum tube</t>
  </si>
  <si>
    <t>निर्वात नलिका</t>
  </si>
  <si>
    <t>vah meter</t>
  </si>
  <si>
    <t>व्होँतामापी (पु.) vah (व्हिईच) मापी, व्होल्ट ँम्पिअर तासमापी</t>
  </si>
  <si>
    <t>valence</t>
  </si>
  <si>
    <t>संयुजा (स्त्री.)</t>
  </si>
  <si>
    <t>valence electron</t>
  </si>
  <si>
    <t>संयुजा इलेक्ट्रॉन</t>
  </si>
  <si>
    <t>value</t>
  </si>
  <si>
    <t>मूल्य (न.)</t>
  </si>
  <si>
    <t>valve</t>
  </si>
  <si>
    <t>valve adapter</t>
  </si>
  <si>
    <t>झडप अनुकूलक</t>
  </si>
  <si>
    <t>valve amplifier</t>
  </si>
  <si>
    <t>झडप प्रवर्धी</t>
  </si>
  <si>
    <t>valve base</t>
  </si>
  <si>
    <t>झडप तल</t>
  </si>
  <si>
    <t>valve characteristics</t>
  </si>
  <si>
    <t>झडप अभिलक्षणे (न.अ.व.)</t>
  </si>
  <si>
    <t>valve hiss</t>
  </si>
  <si>
    <t>झडप सीत्कार</t>
  </si>
  <si>
    <t>valve holder</t>
  </si>
  <si>
    <t>झडप धारक</t>
  </si>
  <si>
    <t>valve noise</t>
  </si>
  <si>
    <t>झडप कुरव</t>
  </si>
  <si>
    <t>valve oscillator</t>
  </si>
  <si>
    <t>झडप दोली</t>
  </si>
  <si>
    <t>valve rectifier</t>
  </si>
  <si>
    <t>झडप दिष्टकारी</t>
  </si>
  <si>
    <t>valve socket</t>
  </si>
  <si>
    <t>झडप खोबण</t>
  </si>
  <si>
    <t>valve voltmeter</t>
  </si>
  <si>
    <t>झडप व्होल्टमापी</t>
  </si>
  <si>
    <t>Van de Graaff generator</t>
  </si>
  <si>
    <t>वॉन दे ग्राफ जनित्र</t>
  </si>
  <si>
    <t>vapour</t>
  </si>
  <si>
    <t>बाष्प (न.)</t>
  </si>
  <si>
    <t>VAR hour meter</t>
  </si>
  <si>
    <t>व्होँप्रतामापी (पु.) VAR (व्ही.ए.आर.) तासमापी</t>
  </si>
  <si>
    <t>variable attenuator</t>
  </si>
  <si>
    <t>चल क्षीणनकारी</t>
  </si>
  <si>
    <t>variable block tariff</t>
  </si>
  <si>
    <t>चल गट प्रशुल्क</t>
  </si>
  <si>
    <t>variable capacitor</t>
  </si>
  <si>
    <t>चल धारी</t>
  </si>
  <si>
    <t>variable condenser</t>
  </si>
  <si>
    <t>variable coupling</t>
  </si>
  <si>
    <t>चल युग्मन</t>
  </si>
  <si>
    <t>variable gap motor</t>
  </si>
  <si>
    <t>चल अंतर चलित्र</t>
  </si>
  <si>
    <t>variable grid leak</t>
  </si>
  <si>
    <t>चल जाल गल</t>
  </si>
  <si>
    <t>variable inductance</t>
  </si>
  <si>
    <t>चल प्रेरितता</t>
  </si>
  <si>
    <t>variable inductor</t>
  </si>
  <si>
    <t>चल प्रेरणी</t>
  </si>
  <si>
    <t>variable mu tube</t>
  </si>
  <si>
    <t>चल म्यू नलिका, चल u नलिका</t>
  </si>
  <si>
    <t>variable mu valve</t>
  </si>
  <si>
    <t>चल म्यू झडप, चल u झडप</t>
  </si>
  <si>
    <t>variable resistor</t>
  </si>
  <si>
    <t>चल रोधी</t>
  </si>
  <si>
    <t>variable speed drive</t>
  </si>
  <si>
    <t>१ चल चाल चालन २ चल चाल चालनी</t>
  </si>
  <si>
    <t>variable speed motor</t>
  </si>
  <si>
    <t>चल चाल चलित्र</t>
  </si>
  <si>
    <t>variable voltage control</t>
  </si>
  <si>
    <t>१ चल व्होल्टता नियंत्रण २ चल व्होल्टता नियंत्री</t>
  </si>
  <si>
    <t>variable voltage welding set</t>
  </si>
  <si>
    <t>चल व्होल्टता सांधण सट</t>
  </si>
  <si>
    <t>variation</t>
  </si>
  <si>
    <t>विचरण (न.), बदल (पु.). फरक (पु.)</t>
  </si>
  <si>
    <t>vario coupler</t>
  </si>
  <si>
    <t>चल युग्मी</t>
  </si>
  <si>
    <t>variometer</t>
  </si>
  <si>
    <t>चलयुग्मनमापी (पु.)</t>
  </si>
  <si>
    <t>varley loop test</t>
  </si>
  <si>
    <t>व्हार्ली लूप चाचणी</t>
  </si>
  <si>
    <t>varnish</t>
  </si>
  <si>
    <t>रोंगण (न.)</t>
  </si>
  <si>
    <t>सदिश (पु.)</t>
  </si>
  <si>
    <t>complexor संमिदिश phasor प्रादिश scalar अदिश sinor साइनदिश</t>
  </si>
  <si>
    <t>vehicle battery</t>
  </si>
  <si>
    <t>वाहन बॅटरी</t>
  </si>
  <si>
    <t>veiling glaze</t>
  </si>
  <si>
    <t>अवगुंठन चकाकी</t>
  </si>
  <si>
    <t>velocity</t>
  </si>
  <si>
    <t>वेग (पु.)</t>
  </si>
  <si>
    <t>accelertaion</t>
  </si>
  <si>
    <t>velocity modulated electron tube</t>
  </si>
  <si>
    <t>वेग आपरिवर्तित इलेक्ट्रॉन नलिका</t>
  </si>
  <si>
    <t>velocity modulation oscillator</t>
  </si>
  <si>
    <t>वेग आपरिवर्तन दोली</t>
  </si>
  <si>
    <t>velocity of propagation</t>
  </si>
  <si>
    <t>प्रचारणवेग (पु.)</t>
  </si>
  <si>
    <t>vent</t>
  </si>
  <si>
    <t>वाताक्ष (न.)</t>
  </si>
  <si>
    <t>ventilated</t>
  </si>
  <si>
    <t>वातित</t>
  </si>
  <si>
    <t>ventilated commutator</t>
  </si>
  <si>
    <t>वातित संपरिवर्तित्र</t>
  </si>
  <si>
    <t>ventilated motor</t>
  </si>
  <si>
    <t>वातित चलित्र</t>
  </si>
  <si>
    <t>ventilated totally enclosed motor</t>
  </si>
  <si>
    <t>वातित पूर्ण समावृत चलित्र</t>
  </si>
  <si>
    <t>ventilating duct</t>
  </si>
  <si>
    <t>वातन वाहिनी</t>
  </si>
  <si>
    <t>ventilation of gas lamp</t>
  </si>
  <si>
    <t>वायुदीपाचे वातन</t>
  </si>
  <si>
    <t>vernier condenser</t>
  </si>
  <si>
    <t>व्हर्निअर धारी</t>
  </si>
  <si>
    <t>vertical amplifier</t>
  </si>
  <si>
    <t>उभा प्रवर्धी</t>
  </si>
  <si>
    <t>vertical blanking</t>
  </si>
  <si>
    <t>उभे विलोपन, उदग्र विलोपन</t>
  </si>
  <si>
    <t>vertical draw out metal clad switchgear</t>
  </si>
  <si>
    <t>उभा बहिष्कर्षण धातुकवचित स्विच उपस्कर</t>
  </si>
  <si>
    <t>vertical frequency</t>
  </si>
  <si>
    <t>उभी वारंवारता</t>
  </si>
  <si>
    <t>vertical linearity control</t>
  </si>
  <si>
    <t>१ उभे रेखीयता नियंत्रण २ उभा रेखीयता नियंत्री</t>
  </si>
  <si>
    <t>vertical polarisation</t>
  </si>
  <si>
    <t>उद्धुवण (न.)</t>
  </si>
  <si>
    <t>vertical resolution</t>
  </si>
  <si>
    <t>उदग्र वियोजन</t>
  </si>
  <si>
    <t>vertical retrace</t>
  </si>
  <si>
    <t>उदग्र पुनर्रेखन, उभे पुनर्रेखन</t>
  </si>
  <si>
    <t>vertical scanning</t>
  </si>
  <si>
    <t>उभे क्रमवीक्षण</t>
  </si>
  <si>
    <t>vertical shaft alternator</t>
  </si>
  <si>
    <t>उभे दंड प्रत्यावर्तित्र</t>
  </si>
  <si>
    <t>vertical stress</t>
  </si>
  <si>
    <t>उदग्र प्रतिबल, उभे प्रतिबल</t>
  </si>
  <si>
    <t>vertical synchronising pulse</t>
  </si>
  <si>
    <t>उदग्र संकालनस्पंद</t>
  </si>
  <si>
    <t>vertical timebase</t>
  </si>
  <si>
    <t>उभे कालमान</t>
  </si>
  <si>
    <t>vertically polarised wave</t>
  </si>
  <si>
    <t>उद् धुवित तरंग</t>
  </si>
  <si>
    <t>very high frequency</t>
  </si>
  <si>
    <t>अतिउच्च वारंवारता</t>
  </si>
  <si>
    <t>very low frequency</t>
  </si>
  <si>
    <t>अतिनिम्न वारंवारता</t>
  </si>
  <si>
    <t>vestigial sideband transmission</t>
  </si>
  <si>
    <t>अवशिष्ट पार्श्वपट्ट पारेषण</t>
  </si>
  <si>
    <t>vibrating rreed rectifier</t>
  </si>
  <si>
    <t>कंपायमान जिव्हिका दिष्टकारी</t>
  </si>
  <si>
    <t>vibration dampers</t>
  </si>
  <si>
    <t>कंपन अवमंदक (पु.अ.व.)</t>
  </si>
  <si>
    <t>vibration galvanometer</t>
  </si>
  <si>
    <t>कंपन गॅल्व्हानोमापी</t>
  </si>
  <si>
    <t>vibrator</t>
  </si>
  <si>
    <t>कंपित्र (न.)</t>
  </si>
  <si>
    <t>video amplifier</t>
  </si>
  <si>
    <t>दृक प्रवर्धी</t>
  </si>
  <si>
    <t>video frequency</t>
  </si>
  <si>
    <t>video frequency amplifier</t>
  </si>
  <si>
    <t>दृक् वारंवारता प्रवर्धी</t>
  </si>
  <si>
    <t>vidicon</t>
  </si>
  <si>
    <t>व्हिडिकॉन (स्त्री.)</t>
  </si>
  <si>
    <t>virtual cathode</t>
  </si>
  <si>
    <t>आभासी कॅथोड</t>
  </si>
  <si>
    <t>virtual height</t>
  </si>
  <si>
    <t>आभासी उंची</t>
  </si>
  <si>
    <t>virtual image</t>
  </si>
  <si>
    <t>आभासी प्रतिमा</t>
  </si>
  <si>
    <t>virtual value</t>
  </si>
  <si>
    <t>viscosity</t>
  </si>
  <si>
    <t>विष्यंदिता (स्त्री.)</t>
  </si>
  <si>
    <t>visibility</t>
  </si>
  <si>
    <t>दृश्यता (स्त्री.)</t>
  </si>
  <si>
    <t>visibility curve</t>
  </si>
  <si>
    <t>दृश्यता वक्र</t>
  </si>
  <si>
    <t>visible radiation</t>
  </si>
  <si>
    <t>दृश्य प्रारण</t>
  </si>
  <si>
    <t>vision</t>
  </si>
  <si>
    <t>१ दृष्टि (स्त्री.) २ दर्शन (न.)</t>
  </si>
  <si>
    <t>vision panel</t>
  </si>
  <si>
    <t>आलोक तावदान</t>
  </si>
  <si>
    <t>visual acuity</t>
  </si>
  <si>
    <t>दृक् तीक्ष्णता</t>
  </si>
  <si>
    <t>visual colorimetry</t>
  </si>
  <si>
    <t>दृक् वर्णमिति (स्त्री.)</t>
  </si>
  <si>
    <t>visual field</t>
  </si>
  <si>
    <t>दृक क्षेत्र</t>
  </si>
  <si>
    <t>visual indicator tube</t>
  </si>
  <si>
    <t>दृक् सूचन नलिका</t>
  </si>
  <si>
    <t>visual photometer</t>
  </si>
  <si>
    <t>दृक प्रकाशमापी</t>
  </si>
  <si>
    <t>visual photometry</t>
  </si>
  <si>
    <t>दृक प्रकाशमिति</t>
  </si>
  <si>
    <t>visual purple</t>
  </si>
  <si>
    <t>दृक नीललोहित</t>
  </si>
  <si>
    <t>vitreous humour</t>
  </si>
  <si>
    <t>काचाभ द्रव</t>
  </si>
  <si>
    <t>vivid colour</t>
  </si>
  <si>
    <t>विस्पष्ट वर्ण</t>
  </si>
  <si>
    <t>voice</t>
  </si>
  <si>
    <t>आवाज (पु.)</t>
  </si>
  <si>
    <t>voice frequency relay</t>
  </si>
  <si>
    <t>आवाज वारंवारता पुनरेषी</t>
  </si>
  <si>
    <t>voice frequency telegraphy</t>
  </si>
  <si>
    <t>आवाज वारंवारता दूरलेखन</t>
  </si>
  <si>
    <t>volt</t>
  </si>
  <si>
    <t>व्होल्ट (पु.)</t>
  </si>
  <si>
    <t>volt ampere</t>
  </si>
  <si>
    <t>व्होल्ट ऍम्पिअर (पु.)</t>
  </si>
  <si>
    <t>volt ampere hour meter</t>
  </si>
  <si>
    <t>व्होल्ट ऍम्पिअर तासमापी</t>
  </si>
  <si>
    <t>volt ampere meter</t>
  </si>
  <si>
    <t>व्होल्ट ऍम्पिअर मापी</t>
  </si>
  <si>
    <t>volta effect</t>
  </si>
  <si>
    <t>व्होल्टा परिणाम</t>
  </si>
  <si>
    <t>voltage</t>
  </si>
  <si>
    <t>व्होल्टता (स्त्री.)</t>
  </si>
  <si>
    <t>voltage amplifier</t>
  </si>
  <si>
    <t>व्होल्टता प्रवर्धी</t>
  </si>
  <si>
    <t>voltage attenuation</t>
  </si>
  <si>
    <t>व्होल्टता क्षीणन</t>
  </si>
  <si>
    <t>voltage between lines</t>
  </si>
  <si>
    <t>तारांमधील व्होल्टता</t>
  </si>
  <si>
    <t>voltage between phases</t>
  </si>
  <si>
    <t>प्रावस्थांमधील व्होल्टता</t>
  </si>
  <si>
    <t>voltage circuit</t>
  </si>
  <si>
    <t>व्होल्टता परिपथ</t>
  </si>
  <si>
    <t>voltage coefficient</t>
  </si>
  <si>
    <t>व्होल्टता गुणांक</t>
  </si>
  <si>
    <t>voltage divider</t>
  </si>
  <si>
    <t>व्होल्टता विभाजी</t>
  </si>
  <si>
    <t>voltage doubler</t>
  </si>
  <si>
    <t>व्होल्टता द्विगुणी</t>
  </si>
  <si>
    <t>voltage doubler rectifier</t>
  </si>
  <si>
    <t>व्होल्टता द्विगुणी दिष्टकारी</t>
  </si>
  <si>
    <t>voltage drop</t>
  </si>
  <si>
    <t>व्होल्टता पात</t>
  </si>
  <si>
    <t>voltage feed back</t>
  </si>
  <si>
    <t>व्होल्टता पश्चप्रदाय</t>
  </si>
  <si>
    <t>voltage fluctuation</t>
  </si>
  <si>
    <t>व्होल्टता चढौतार</t>
  </si>
  <si>
    <t>voltage gain</t>
  </si>
  <si>
    <t>व्होल्टता लाभ</t>
  </si>
  <si>
    <t>voltage gradient</t>
  </si>
  <si>
    <t>व्होल्टता प्रवणता</t>
  </si>
  <si>
    <t>voltage indicator</t>
  </si>
  <si>
    <t>व्होल्टता दर्शी, व्होल्टता सूची</t>
  </si>
  <si>
    <t>voltage multiplier</t>
  </si>
  <si>
    <t>व्होल्टता गुणक</t>
  </si>
  <si>
    <t>voltage ratio</t>
  </si>
  <si>
    <t>व्होल्टता गुणोत्तर</t>
  </si>
  <si>
    <t>voltage reference level</t>
  </si>
  <si>
    <t>व्होल्टता निर्देश तल</t>
  </si>
  <si>
    <t>voltage regenerator</t>
  </si>
  <si>
    <t>व्होल्टता पुनर्जनित्र</t>
  </si>
  <si>
    <t>voltage regulating relay</t>
  </si>
  <si>
    <t>व्होल्टता नियामी पुनरेषी</t>
  </si>
  <si>
    <t>voltage regulation</t>
  </si>
  <si>
    <t>व्होल्टता नियमन</t>
  </si>
  <si>
    <t>voltage regulator</t>
  </si>
  <si>
    <t>व्होल्टता नियामी</t>
  </si>
  <si>
    <t>voltage rise</t>
  </si>
  <si>
    <t>व्होल्टता वृद्धि</t>
  </si>
  <si>
    <t>voltage stabiliser</t>
  </si>
  <si>
    <t>व्होल्टता स्थायीकारी</t>
  </si>
  <si>
    <t>voltage tap</t>
  </si>
  <si>
    <t>व्होल्टता शाखनबिंदु</t>
  </si>
  <si>
    <t>voltage to neutral</t>
  </si>
  <si>
    <t>तटस्थिकेप्रत व्होल्टता</t>
  </si>
  <si>
    <t>voltage transformer</t>
  </si>
  <si>
    <t>व्होल्टता परिवर्तित्र</t>
  </si>
  <si>
    <t>voltage transient</t>
  </si>
  <si>
    <t>व्होल्टता क्षणिक</t>
  </si>
  <si>
    <t>voltaic cell</t>
  </si>
  <si>
    <t>व्होल्टता घट</t>
  </si>
  <si>
    <t>voltaic current</t>
  </si>
  <si>
    <t>व्होल्टता धारा</t>
  </si>
  <si>
    <t>voltameter</t>
  </si>
  <si>
    <t>व्होल्टामापी (पु.)</t>
  </si>
  <si>
    <t>voltmeter</t>
  </si>
  <si>
    <t>व्होल्टमापी (पु.)</t>
  </si>
  <si>
    <t>volume</t>
  </si>
  <si>
    <t>१ ध्वनिमान (न.) २ व्याप (पु.), आयतन (न.), आकारमान (न.)</t>
  </si>
  <si>
    <t>volume compression</t>
  </si>
  <si>
    <t>१ व्याप्ति संपीडन २ ध्वनिमान संपीडन</t>
  </si>
  <si>
    <t>volume control</t>
  </si>
  <si>
    <t>१ ध्वनिमान नियंत्रण २ ध्वनिमान नियंत्री</t>
  </si>
  <si>
    <t>volume control of amplifier</t>
  </si>
  <si>
    <t>प्रवर्धीचे ध्वनिमान नियंत्रण</t>
  </si>
  <si>
    <t>volume indicator</t>
  </si>
  <si>
    <t>ध्वनिमान दर्शी</t>
  </si>
  <si>
    <t>volume rsistivity</t>
  </si>
  <si>
    <t>आकारमान रोधिता</t>
  </si>
  <si>
    <t>VTVM</t>
  </si>
  <si>
    <t>निंअ.व्हो.मा. (निर्वात नलिका व्होल्टमापी)</t>
  </si>
  <si>
    <t>(abbr. for vacuum tube valve voltmeter)</t>
  </si>
  <si>
    <t>VU (volume units)meter</t>
  </si>
  <si>
    <t>VU मापी ध्वनिमान एककमापी</t>
  </si>
  <si>
    <t>vulcanised bitumen</t>
  </si>
  <si>
    <t>व्हल्कनीकृत बिट्युमेन</t>
  </si>
  <si>
    <t>vulcanised rubber insulated cable</t>
  </si>
  <si>
    <t>व्हल्कनीकृत रबर निरोधी केबल</t>
  </si>
  <si>
    <t>w.h.</t>
  </si>
  <si>
    <t>वॉता (वॉट तास)</t>
  </si>
  <si>
    <t>(also W.H.) (abbr. for watt hour)</t>
  </si>
  <si>
    <t>Wagner earth</t>
  </si>
  <si>
    <t>वॅग्नर भूसंपर्क</t>
  </si>
  <si>
    <t>Walker phase advancer</t>
  </si>
  <si>
    <t>वॉकर प्रावस्था अग्नित्र</t>
  </si>
  <si>
    <t>walkie talkie</t>
  </si>
  <si>
    <t>चाली बोली (पु.)</t>
  </si>
  <si>
    <t>wall insulator</t>
  </si>
  <si>
    <t>भित्ति निरोधी</t>
  </si>
  <si>
    <t>wall plug</t>
  </si>
  <si>
    <t>भित्ति निग, भित्ति प्लग</t>
  </si>
  <si>
    <t>wall socket</t>
  </si>
  <si>
    <t>भित्ति खोबण</t>
  </si>
  <si>
    <t>wander plug</t>
  </si>
  <si>
    <t>भटक निग, भटक प्लग</t>
  </si>
  <si>
    <t>warbler</t>
  </si>
  <si>
    <t>चलकंपधारी (पु.)</t>
  </si>
  <si>
    <t>warbling carrier system</t>
  </si>
  <si>
    <t>चलकंपन वाहनिक पद्धति</t>
  </si>
  <si>
    <t>warbling note</t>
  </si>
  <si>
    <t>चलकंपन स्वरक</t>
  </si>
  <si>
    <t>Ward Leonard control</t>
  </si>
  <si>
    <t>वॉर्ड लिओनार्ड नियंत्रण</t>
  </si>
  <si>
    <t>Ward Leonard Ilgner system</t>
  </si>
  <si>
    <t>वॉर्ड लिओनार्ड इल्गनेर पद्धति</t>
  </si>
  <si>
    <t>warm white</t>
  </si>
  <si>
    <t>उष्ण श्वेत</t>
  </si>
  <si>
    <t>warming plate</t>
  </si>
  <si>
    <t>washer</t>
  </si>
  <si>
    <t>वॉशर (पु.)</t>
  </si>
  <si>
    <t>waste light factor</t>
  </si>
  <si>
    <t>अपव्यय प्रकाश अंक</t>
  </si>
  <si>
    <t>water cooled mercury lamp</t>
  </si>
  <si>
    <t>जलशीतित पारादीप</t>
  </si>
  <si>
    <t>water gilding</t>
  </si>
  <si>
    <t>जल गिलिटन</t>
  </si>
  <si>
    <t>water powr station</t>
  </si>
  <si>
    <t>जलविद्युतशक्ति केंद्र</t>
  </si>
  <si>
    <t>(also hydro electric power station)</t>
  </si>
  <si>
    <t>water proof</t>
  </si>
  <si>
    <t>जलरक्षित</t>
  </si>
  <si>
    <t>water resistance</t>
  </si>
  <si>
    <t>जलरोध (पु.)</t>
  </si>
  <si>
    <t>waterproof serving</t>
  </si>
  <si>
    <t>जलरक्षित आवरण</t>
  </si>
  <si>
    <t>watershed of insulator</t>
  </si>
  <si>
    <t>निरोधीचे जलछत्र</t>
  </si>
  <si>
    <t>watertight</t>
  </si>
  <si>
    <t>जलाभेद्य</t>
  </si>
  <si>
    <t>watertight bracket</t>
  </si>
  <si>
    <t>जलाभेद्य बॅकेट</t>
  </si>
  <si>
    <t>watertight fitting</t>
  </si>
  <si>
    <t>जलाभेद्य जोडणी</t>
  </si>
  <si>
    <t>watertight gland</t>
  </si>
  <si>
    <t>जलाभेद्य गलनरोधी</t>
  </si>
  <si>
    <t>watt</t>
  </si>
  <si>
    <t>वॉट (न.)</t>
  </si>
  <si>
    <t>(the unit of electric power)</t>
  </si>
  <si>
    <t>watt balance</t>
  </si>
  <si>
    <t>वॉट संतुलन</t>
  </si>
  <si>
    <t>watt hour</t>
  </si>
  <si>
    <t>वॉट तास</t>
  </si>
  <si>
    <t>watt hour efficiency</t>
  </si>
  <si>
    <t>वॉट तास कार्यक्षमता</t>
  </si>
  <si>
    <t>watt hour meter</t>
  </si>
  <si>
    <t>वॉट तास मापी</t>
  </si>
  <si>
    <t>wattage</t>
  </si>
  <si>
    <t>वॉटता (स्त्री.)</t>
  </si>
  <si>
    <t>wattless</t>
  </si>
  <si>
    <t>वॉटहीन, वॉटविरहित</t>
  </si>
  <si>
    <t>wattless component</t>
  </si>
  <si>
    <t>वॉटहीन घटक</t>
  </si>
  <si>
    <t>wattless component of volt amperes</t>
  </si>
  <si>
    <t>व्होल्ट ऍम्पिअरांचा वॉटहीन घटक</t>
  </si>
  <si>
    <t>wattless component of voltage</t>
  </si>
  <si>
    <t>व्होल्टतेचा वॉटहीन घटक</t>
  </si>
  <si>
    <t>wattless current</t>
  </si>
  <si>
    <t>वॉटहीन धारा</t>
  </si>
  <si>
    <t>wattmeter</t>
  </si>
  <si>
    <t>वॉटमापी (पु.)</t>
  </si>
  <si>
    <t>wave</t>
  </si>
  <si>
    <t>तरंग (पु.)</t>
  </si>
  <si>
    <t>wave analyser</t>
  </si>
  <si>
    <t>तरंग विश्लेषी</t>
  </si>
  <si>
    <t>wave antenna</t>
  </si>
  <si>
    <t>wave attenuation</t>
  </si>
  <si>
    <t>तरंग क्षीणन</t>
  </si>
  <si>
    <t>wave form</t>
  </si>
  <si>
    <t>तरंगरुप (न.)</t>
  </si>
  <si>
    <t>wave front</t>
  </si>
  <si>
    <t>तरंगमुख (न.)</t>
  </si>
  <si>
    <t>wave mechanics</t>
  </si>
  <si>
    <t>तरंग यांत्रिकी</t>
  </si>
  <si>
    <t>wave motion</t>
  </si>
  <si>
    <t>तरंग गति</t>
  </si>
  <si>
    <t>wave shape</t>
  </si>
  <si>
    <t>तरंग रुप (न.)</t>
  </si>
  <si>
    <t>wave shaping pulse</t>
  </si>
  <si>
    <t>तरंगरुपण स्पंद</t>
  </si>
  <si>
    <t>wave tail</t>
  </si>
  <si>
    <t>तरंग पुच्छ (न.)</t>
  </si>
  <si>
    <t>wave tilt</t>
  </si>
  <si>
    <t>तरंग कल</t>
  </si>
  <si>
    <t>wave train</t>
  </si>
  <si>
    <t>wave winding</t>
  </si>
  <si>
    <t>१ तरंगकुंडल (न.) २ तरंगकुंडलन (न.)</t>
  </si>
  <si>
    <t>waveband</t>
  </si>
  <si>
    <t>तरंगपट्ट (पु.)</t>
  </si>
  <si>
    <t>waveguide</t>
  </si>
  <si>
    <t>तरंगमार्गदर्शी (पु.)</t>
  </si>
  <si>
    <t>wavelength</t>
  </si>
  <si>
    <t>तरंगलांबी (स्त्री.)</t>
  </si>
  <si>
    <t>wavelength frequency conversion</t>
  </si>
  <si>
    <t>तरंगलांबी वारंवारता रुपांतर</t>
  </si>
  <si>
    <t>wavemeter</t>
  </si>
  <si>
    <t>तरंग मापी (पु.)</t>
  </si>
  <si>
    <t>wavetrap</t>
  </si>
  <si>
    <t>तरंगपंजर (पु.)</t>
  </si>
  <si>
    <t>way</t>
  </si>
  <si>
    <t>मार्ग (पु.), पथ (पु.)</t>
  </si>
  <si>
    <t>weak coupling</t>
  </si>
  <si>
    <t>weak current</t>
  </si>
  <si>
    <t>weak electrolyte</t>
  </si>
  <si>
    <t>सौम्य विद्युत अपघटनी</t>
  </si>
  <si>
    <t>weak signal detector</t>
  </si>
  <si>
    <t>क्षीण संकेत शोधी</t>
  </si>
  <si>
    <t>wearing depth</t>
  </si>
  <si>
    <t>झीजवट (स्त्री.)</t>
  </si>
  <si>
    <t>weather</t>
  </si>
  <si>
    <t>हवामान (न.), वायुमान (न.)</t>
  </si>
  <si>
    <t>weather protected enclosure</t>
  </si>
  <si>
    <t>हवामानरक्षित परिवेष्टन</t>
  </si>
  <si>
    <t>weathering</t>
  </si>
  <si>
    <t>हवामानन (न.)</t>
  </si>
  <si>
    <t>weatherproof</t>
  </si>
  <si>
    <t>हवामानरक्षित</t>
  </si>
  <si>
    <t>weber</t>
  </si>
  <si>
    <t>वेबर (न.)</t>
  </si>
  <si>
    <t>the practical unit of magnetic flux</t>
  </si>
  <si>
    <t>wedge contact</t>
  </si>
  <si>
    <t>पाचर संपर्क</t>
  </si>
  <si>
    <t>wedge cut out</t>
  </si>
  <si>
    <t>पाचर भंजक, पाचर कट आउट</t>
  </si>
  <si>
    <t>wedge slot</t>
  </si>
  <si>
    <t>पाचर खाच</t>
  </si>
  <si>
    <t>wedge type safety gear</t>
  </si>
  <si>
    <t>पाचर सुरक्षा सामग्री</t>
  </si>
  <si>
    <t>weeding out of harmonics</t>
  </si>
  <si>
    <t>संवादिकांचे निपटन</t>
  </si>
  <si>
    <t>wehnelt cylinder</t>
  </si>
  <si>
    <t>वेनेल्ट दंडगोल</t>
  </si>
  <si>
    <t>weight</t>
  </si>
  <si>
    <t>१ भार (पु.) २ वजन (न.)</t>
  </si>
  <si>
    <t>weight coulometer</t>
  </si>
  <si>
    <t>भार कूलोममापी</t>
  </si>
  <si>
    <t>weight transfer</t>
  </si>
  <si>
    <t>भार बदल</t>
  </si>
  <si>
    <t>weld</t>
  </si>
  <si>
    <t>सांधणे</t>
  </si>
  <si>
    <t>सांध (पु.)</t>
  </si>
  <si>
    <t>weld metal</t>
  </si>
  <si>
    <t>सांधण धातु</t>
  </si>
  <si>
    <t>welding</t>
  </si>
  <si>
    <t>सांधण (न.) सांधणी (स्त्री.)</t>
  </si>
  <si>
    <t>welding arc</t>
  </si>
  <si>
    <t>सांधण प्रज्योत</t>
  </si>
  <si>
    <t>welding dropping characteristic</t>
  </si>
  <si>
    <t>सांधण नत अभिलक्षण</t>
  </si>
  <si>
    <t>welding process</t>
  </si>
  <si>
    <t>सांधण प्रक्रिया</t>
  </si>
  <si>
    <t>welding regulator</t>
  </si>
  <si>
    <t>सांधण नियामी</t>
  </si>
  <si>
    <t>welding set</t>
  </si>
  <si>
    <t>सांधण सट</t>
  </si>
  <si>
    <t>western union wire joint</t>
  </si>
  <si>
    <t>वेस्टर्न युनियन तार जोड</t>
  </si>
  <si>
    <t>weston cell</t>
  </si>
  <si>
    <t>वेस्टन घट</t>
  </si>
  <si>
    <t>wet battery</t>
  </si>
  <si>
    <t>सद्रव बॅटरी</t>
  </si>
  <si>
    <t>wet flashover</t>
  </si>
  <si>
    <t>आर्द्र स्फुल्लिंगन</t>
  </si>
  <si>
    <t>wet flashover voltage</t>
  </si>
  <si>
    <t>आर्द्र स्फुल्लिंगन व्होल्टता</t>
  </si>
  <si>
    <t>also net sparkover voltage</t>
  </si>
  <si>
    <t>wet riser</t>
  </si>
  <si>
    <t>जल उद्गामी</t>
  </si>
  <si>
    <t>wet sparkover voltage</t>
  </si>
  <si>
    <t>Wheatstone bridge</t>
  </si>
  <si>
    <t>व्हीस्टन सेतु</t>
  </si>
  <si>
    <t>wheel</t>
  </si>
  <si>
    <t>wheel contact</t>
  </si>
  <si>
    <t>चक्र संपर्क</t>
  </si>
  <si>
    <t>wheel electrode</t>
  </si>
  <si>
    <t>चक्र इलेक्ट्रोड</t>
  </si>
  <si>
    <t>wheel magnet</t>
  </si>
  <si>
    <t>चक्र चुंबक</t>
  </si>
  <si>
    <t>wheel slip detection device</t>
  </si>
  <si>
    <t>चक्र सर्पण शोधन साधन</t>
  </si>
  <si>
    <t>whip antenna</t>
  </si>
  <si>
    <t>छडी आकाशग</t>
  </si>
  <si>
    <t>whistle</t>
  </si>
  <si>
    <t>शिटी (स्त्री.)</t>
  </si>
  <si>
    <t>wide angle deflection</t>
  </si>
  <si>
    <t>रुंदकोनी विक्षेपण</t>
  </si>
  <si>
    <t>wide band amplifier</t>
  </si>
  <si>
    <t>रुंद पट्ट प्रवर्धी</t>
  </si>
  <si>
    <t>wide band antenna</t>
  </si>
  <si>
    <t>रुंद पट्ट आकाशग</t>
  </si>
  <si>
    <t>width control</t>
  </si>
  <si>
    <t>१ रुंदी नियंत्रण २ रुंदी नियंत्री</t>
  </si>
  <si>
    <t>wimshrust machine</t>
  </si>
  <si>
    <t>विम्झहर्स्ट यंत्र</t>
  </si>
  <si>
    <t>wind</t>
  </si>
  <si>
    <t>वात (पु.), वारा (पु.), पवन (पु.)</t>
  </si>
  <si>
    <t>wind driven generator</t>
  </si>
  <si>
    <t>वातचलित्र जनित्र</t>
  </si>
  <si>
    <t>windage</t>
  </si>
  <si>
    <t>वातघर्षण (न.)</t>
  </si>
  <si>
    <t>windage loss</t>
  </si>
  <si>
    <t>वातघर्षण हानि</t>
  </si>
  <si>
    <t>winding</t>
  </si>
  <si>
    <t>१ कुंडलन (न.) २ कुंडल (न.)</t>
  </si>
  <si>
    <t>winding coefficient</t>
  </si>
  <si>
    <t>कुंडलनांक (पु.)</t>
  </si>
  <si>
    <t>also winding factor</t>
  </si>
  <si>
    <t>winding distribution factor</t>
  </si>
  <si>
    <t>कुंडलन वितरणांक</t>
  </si>
  <si>
    <t>winding drum</t>
  </si>
  <si>
    <t>कुंडल विरंभ</t>
  </si>
  <si>
    <t>winding end</t>
  </si>
  <si>
    <t>कुंडलाचे टोक,कुंडल अग्र</t>
  </si>
  <si>
    <t>winding factor</t>
  </si>
  <si>
    <t>winding gear</t>
  </si>
  <si>
    <t>कुंडलन दंतचक्र</t>
  </si>
  <si>
    <t>winding machine</t>
  </si>
  <si>
    <t>कुंडल यंत्र, कुंडलन यंत्र</t>
  </si>
  <si>
    <t>winding pitch</t>
  </si>
  <si>
    <t>कुंडल अभ्यंतर</t>
  </si>
  <si>
    <t>winding plant</t>
  </si>
  <si>
    <t>कुंडल संयंत्र</t>
  </si>
  <si>
    <t>winding space</t>
  </si>
  <si>
    <t>कुंडलन क्षेत्र</t>
  </si>
  <si>
    <t>window</t>
  </si>
  <si>
    <t>खिडकी (स्त्री.)</t>
  </si>
  <si>
    <t>window model airconditioner</t>
  </si>
  <si>
    <t>खिडकी नमुना वातानुकूलक</t>
  </si>
  <si>
    <t>wipe out area</t>
  </si>
  <si>
    <t>निपट क्षेत्र</t>
  </si>
  <si>
    <t>wiper</t>
  </si>
  <si>
    <t>निपटी (पु.)</t>
  </si>
  <si>
    <t>wiping gland</t>
  </si>
  <si>
    <t>निपट गलनरोधी</t>
  </si>
  <si>
    <t>wire</t>
  </si>
  <si>
    <t>तार (स्त्री.)</t>
  </si>
  <si>
    <t>wire bar</t>
  </si>
  <si>
    <t>तार गज (पु.)</t>
  </si>
  <si>
    <t>wire binding</t>
  </si>
  <si>
    <t>तार बंधन</t>
  </si>
  <si>
    <t>wire contact</t>
  </si>
  <si>
    <t>तार संपर्क</t>
  </si>
  <si>
    <t>wire core</t>
  </si>
  <si>
    <t>तार क्रोड</t>
  </si>
  <si>
    <t>wire dynamometer</t>
  </si>
  <si>
    <t>तार गतिजमापी</t>
  </si>
  <si>
    <t>wire gauge</t>
  </si>
  <si>
    <t>तार प्रमापी</t>
  </si>
  <si>
    <t>wire rod</t>
  </si>
  <si>
    <t>तारदंड (पु.)</t>
  </si>
  <si>
    <t>wire support</t>
  </si>
  <si>
    <t>तार आधार</t>
  </si>
  <si>
    <t>wire wound</t>
  </si>
  <si>
    <t>तार कुंडलित</t>
  </si>
  <si>
    <t>wired wireless</t>
  </si>
  <si>
    <t>तारी बिनतारी</t>
  </si>
  <si>
    <t>wireless</t>
  </si>
  <si>
    <t>बिनतारी (पु.)</t>
  </si>
  <si>
    <t>बिनतारी</t>
  </si>
  <si>
    <t>wireman</t>
  </si>
  <si>
    <t>तारयंत्री (पु.)</t>
  </si>
  <si>
    <t>wiring</t>
  </si>
  <si>
    <t>ताररचना (स्त्री.)</t>
  </si>
  <si>
    <t>wiring system</t>
  </si>
  <si>
    <t>ताररचना पद्धति</t>
  </si>
  <si>
    <t>wobble</t>
  </si>
  <si>
    <t>विहृरण (न.)</t>
  </si>
  <si>
    <t>wood casing</t>
  </si>
  <si>
    <t>काष्ठ आवरण</t>
  </si>
  <si>
    <t>work function</t>
  </si>
  <si>
    <t>कार्यफल (न.)</t>
  </si>
  <si>
    <t>working condition</t>
  </si>
  <si>
    <t>चालू स्थिति</t>
  </si>
  <si>
    <t>working flux</t>
  </si>
  <si>
    <t>क्रियाशील अभिवाह</t>
  </si>
  <si>
    <t>working plane</t>
  </si>
  <si>
    <t>कार्य तल</t>
  </si>
  <si>
    <t>working point</t>
  </si>
  <si>
    <t>कार्य बिंदु</t>
  </si>
  <si>
    <t>working standard</t>
  </si>
  <si>
    <t>कार्य मानक</t>
  </si>
  <si>
    <t>working standard lamp</t>
  </si>
  <si>
    <t>कार्य मानक दीप</t>
  </si>
  <si>
    <t>worm reducing gear</t>
  </si>
  <si>
    <t>सर्पिल अवचाली उपस्कर</t>
  </si>
  <si>
    <t>wound</t>
  </si>
  <si>
    <t>कुंडलित</t>
  </si>
  <si>
    <t>wrapper</t>
  </si>
  <si>
    <t>परिवेष्टन (न.)</t>
  </si>
  <si>
    <t>writing speed</t>
  </si>
  <si>
    <t>लेखन चाल</t>
  </si>
  <si>
    <t>X operation</t>
  </si>
  <si>
    <t>क्ष परिकर्म (न.)</t>
  </si>
  <si>
    <t>x plate</t>
  </si>
  <si>
    <t>क्ष पट्टिका (स्त्री.)</t>
  </si>
  <si>
    <t>x ray analysis</t>
  </si>
  <si>
    <t>क्ष किरण विश्लेषण</t>
  </si>
  <si>
    <t>X ray crystallography</t>
  </si>
  <si>
    <t>क्ष किरण स्फटिकालेखनिकी</t>
  </si>
  <si>
    <t>x ray fluorescope</t>
  </si>
  <si>
    <t>क्ष किरण प्रतिदीप्तिदर्शिकी</t>
  </si>
  <si>
    <t>X ray shield</t>
  </si>
  <si>
    <t>क्ष किरण परिरक्षी</t>
  </si>
  <si>
    <t>x ray spectrometer</t>
  </si>
  <si>
    <t>क्ष किरण पिसारामापी</t>
  </si>
  <si>
    <t>x ray spectrum</t>
  </si>
  <si>
    <t>क्ष किरण पिसारा</t>
  </si>
  <si>
    <t>x ray tube</t>
  </si>
  <si>
    <t>क्ष किरण नलिका</t>
  </si>
  <si>
    <t>X rays</t>
  </si>
  <si>
    <t>क्ष किरण (पु.अ.व.), राँटेजन किरण (पु.अ.व.)</t>
  </si>
  <si>
    <t>(also called Rontgen rays)</t>
  </si>
  <si>
    <t>xerography</t>
  </si>
  <si>
    <t>शुष्कआलेखन (न.)</t>
  </si>
  <si>
    <t>Y connection</t>
  </si>
  <si>
    <t>Y जोडणी (स्त्री.)</t>
  </si>
  <si>
    <t>Y delta starter</t>
  </si>
  <si>
    <t>Y network</t>
  </si>
  <si>
    <t>Y जालव्यूह (पु.)</t>
  </si>
  <si>
    <t>Y plate</t>
  </si>
  <si>
    <t>Y पट्टिका (स्त्री.)</t>
  </si>
  <si>
    <t>Y voltage</t>
  </si>
  <si>
    <t>Y व्होल्टता (स्त्री.)</t>
  </si>
  <si>
    <t>Yagi aerial</t>
  </si>
  <si>
    <t>यागी आकाशग</t>
  </si>
  <si>
    <t>Yagi antenna</t>
  </si>
  <si>
    <t>yard lighting</t>
  </si>
  <si>
    <t>प्रांगण दीपन</t>
  </si>
  <si>
    <t>yield</t>
  </si>
  <si>
    <t>प्राप्ति (स्त्री.)</t>
  </si>
  <si>
    <t>yoke</t>
  </si>
  <si>
    <t>जू (न.)</t>
  </si>
  <si>
    <t>yoke flux</t>
  </si>
  <si>
    <t>जू अभिवाह</t>
  </si>
  <si>
    <t>yoke magnet</t>
  </si>
  <si>
    <t>जू चुंबक</t>
  </si>
  <si>
    <t>yoke suspension</t>
  </si>
  <si>
    <t>१ जू निलंब २ जू निलंबन</t>
  </si>
  <si>
    <t>Z connection</t>
  </si>
  <si>
    <t>Z जोडणी (स्त्री.)</t>
  </si>
  <si>
    <t>zener diode</t>
  </si>
  <si>
    <t>झेनर डायोड</t>
  </si>
  <si>
    <t>zero clearing</t>
  </si>
  <si>
    <t>शून्यन (न.)</t>
  </si>
  <si>
    <t>zero cut crystal</t>
  </si>
  <si>
    <t>शून्य काट स्फटिक</t>
  </si>
  <si>
    <t>zero heat reception</t>
  </si>
  <si>
    <t>शून्य उष्णता ग्रहण</t>
  </si>
  <si>
    <t>zero hour</t>
  </si>
  <si>
    <t>शून्य काल</t>
  </si>
  <si>
    <t>zero method</t>
  </si>
  <si>
    <t>शून्य रीति</t>
  </si>
  <si>
    <t>zero of impedance</t>
  </si>
  <si>
    <t>संरोध शून्य</t>
  </si>
  <si>
    <t>zero phase sequence</t>
  </si>
  <si>
    <t>शून्य प्रावस्था क्रम</t>
  </si>
  <si>
    <t>zero potential</t>
  </si>
  <si>
    <t>शून्य विभव</t>
  </si>
  <si>
    <t>zero power level</t>
  </si>
  <si>
    <t>शून्य शक्ति समतल</t>
  </si>
  <si>
    <t>zigzag connection</t>
  </si>
  <si>
    <t>नागमोडी जोडणी</t>
  </si>
  <si>
    <t>zinc plating</t>
  </si>
  <si>
    <t>जस्त लेपन</t>
  </si>
  <si>
    <t>zirconium</t>
  </si>
  <si>
    <t>झिर्काएनियम (न.)</t>
  </si>
  <si>
    <t>zone</t>
  </si>
  <si>
    <t>कटिबंध (पु.), क्षेत्र (न.)</t>
  </si>
  <si>
    <t>zone factor</t>
  </si>
  <si>
    <t>मंडल अंक</t>
  </si>
  <si>
    <t>zone refining</t>
  </si>
  <si>
    <t>क्षेत्र शुद्धीकरण</t>
  </si>
  <si>
    <t>zoom lens</t>
  </si>
  <si>
    <t>झूम भिंग</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</si>
</sst>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5">
    <border>
      <left/>
      <right/>
      <top/>
      <bottom/>
      <diagonal/>
    </border>
    <border>
      <left/>
      <right style="medium">
        <color rgb="FFDDDDDD"/>
      </right>
      <top style="medium">
        <color rgb="FFDDDDDD"/>
      </top>
      <bottom/>
      <diagonal/>
    </border>
    <border>
      <left style="thin">
        <color indexed="64"/>
      </left>
      <right style="thin">
        <color indexed="64"/>
      </right>
      <top style="thin">
        <color indexed="64"/>
      </top>
      <bottom style="thin">
        <color indexed="64"/>
      </bottom>
      <diagonal/>
    </border>
    <border>
      <left/>
      <right style="medium">
        <color rgb="FFDDDDDD"/>
      </right>
      <top/>
      <bottom style="medium">
        <color rgb="FFDDDDDD"/>
      </bottom>
      <diagonal/>
    </border>
    <border>
      <left/>
      <right/>
      <top/>
      <bottom style="medium">
        <color rgb="FFDDDDDD"/>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wrapText="1"/>
    </xf>
    <xf numFmtId="0" fontId="1" fillId="3" borderId="0" xfId="0" applyFont="1" applyFill="1" applyAlignment="1">
      <alignment horizontal="left" vertical="center" wrapText="1"/>
    </xf>
    <xf numFmtId="0" fontId="0" fillId="0" borderId="2" xfId="0" applyBorder="1"/>
    <xf numFmtId="0" fontId="1" fillId="2" borderId="3"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2" borderId="3"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712"/>
  <sheetViews>
    <sheetView tabSelected="1" workbookViewId="0">
      <selection activeCell="C2" sqref="C2"/>
    </sheetView>
  </sheetViews>
  <sheetFormatPr defaultRowHeight="15"/>
  <cols>
    <col min="1" max="1" width="37.42578125" customWidth="1"/>
    <col min="2" max="2" width="45.5703125" customWidth="1"/>
    <col min="3" max="3" width="27.28515625" customWidth="1"/>
  </cols>
  <sheetData>
    <row r="1" spans="1:3" ht="15.75" thickBot="1">
      <c r="A1" t="s">
        <v>0</v>
      </c>
      <c r="B1" t="s">
        <v>1</v>
      </c>
      <c r="C1" t="s">
        <v>2</v>
      </c>
    </row>
    <row r="2" spans="1:3">
      <c r="A2" s="1" t="s">
        <v>3</v>
      </c>
      <c r="B2" s="2" t="s">
        <v>4</v>
      </c>
      <c r="C2" s="3" t="s">
        <v>5</v>
      </c>
    </row>
    <row r="3" spans="1:3" ht="26.25" thickBot="1">
      <c r="A3" s="4"/>
      <c r="B3" s="5" t="s">
        <v>6</v>
      </c>
      <c r="C3" s="3" t="s">
        <v>5</v>
      </c>
    </row>
    <row r="4" spans="1:3" ht="15.75" thickBot="1">
      <c r="A4" s="6" t="s">
        <v>7</v>
      </c>
      <c r="B4" s="5" t="s">
        <v>8</v>
      </c>
      <c r="C4" s="3" t="s">
        <v>5</v>
      </c>
    </row>
    <row r="5" spans="1:3" ht="15.75" thickBot="1">
      <c r="A5" s="6" t="s">
        <v>9</v>
      </c>
      <c r="B5" s="5" t="s">
        <v>10</v>
      </c>
      <c r="C5" s="3" t="s">
        <v>5</v>
      </c>
    </row>
    <row r="6" spans="1:3">
      <c r="A6" s="1" t="s">
        <v>11</v>
      </c>
      <c r="B6" s="2" t="s">
        <v>12</v>
      </c>
      <c r="C6" s="3" t="s">
        <v>5</v>
      </c>
    </row>
    <row r="7" spans="1:3" ht="15.75" thickBot="1">
      <c r="A7" s="4"/>
      <c r="B7" s="5" t="s">
        <v>13</v>
      </c>
      <c r="C7" s="3" t="s">
        <v>5</v>
      </c>
    </row>
    <row r="8" spans="1:3" ht="15.75" thickBot="1">
      <c r="A8" s="6" t="s">
        <v>14</v>
      </c>
      <c r="B8" s="5" t="s">
        <v>15</v>
      </c>
      <c r="C8" s="3" t="s">
        <v>5</v>
      </c>
    </row>
    <row r="9" spans="1:3" ht="26.25" thickBot="1">
      <c r="A9" s="6" t="s">
        <v>16</v>
      </c>
      <c r="B9" s="5" t="s">
        <v>17</v>
      </c>
      <c r="C9" s="3" t="s">
        <v>5</v>
      </c>
    </row>
    <row r="10" spans="1:3" ht="26.25" thickBot="1">
      <c r="A10" s="6" t="s">
        <v>18</v>
      </c>
      <c r="B10" s="5" t="s">
        <v>19</v>
      </c>
      <c r="C10" s="3" t="s">
        <v>5</v>
      </c>
    </row>
    <row r="11" spans="1:3" ht="15.75" thickBot="1">
      <c r="A11" s="6" t="s">
        <v>20</v>
      </c>
      <c r="B11" s="5" t="s">
        <v>21</v>
      </c>
      <c r="C11" s="3" t="s">
        <v>5</v>
      </c>
    </row>
    <row r="12" spans="1:3" ht="15.75" thickBot="1">
      <c r="A12" s="6" t="s">
        <v>22</v>
      </c>
      <c r="B12" s="5" t="s">
        <v>23</v>
      </c>
      <c r="C12" s="3" t="s">
        <v>5</v>
      </c>
    </row>
    <row r="13" spans="1:3">
      <c r="A13" s="1" t="s">
        <v>24</v>
      </c>
      <c r="B13" s="2" t="s">
        <v>25</v>
      </c>
      <c r="C13" s="3" t="s">
        <v>5</v>
      </c>
    </row>
    <row r="14" spans="1:3" ht="15.75" thickBot="1">
      <c r="A14" s="4"/>
      <c r="B14" s="5" t="s">
        <v>26</v>
      </c>
      <c r="C14" s="3" t="s">
        <v>5</v>
      </c>
    </row>
    <row r="15" spans="1:3">
      <c r="A15" s="1" t="s">
        <v>27</v>
      </c>
      <c r="B15" s="2" t="s">
        <v>28</v>
      </c>
      <c r="C15" s="3" t="s">
        <v>5</v>
      </c>
    </row>
    <row r="16" spans="1:3" ht="15.75" thickBot="1">
      <c r="A16" s="4"/>
      <c r="B16" s="5" t="s">
        <v>29</v>
      </c>
      <c r="C16" s="3" t="s">
        <v>5</v>
      </c>
    </row>
    <row r="17" spans="1:3">
      <c r="A17" s="1" t="s">
        <v>30</v>
      </c>
      <c r="B17" s="2" t="s">
        <v>31</v>
      </c>
      <c r="C17" s="3" t="s">
        <v>5</v>
      </c>
    </row>
    <row r="18" spans="1:3" ht="15.75" thickBot="1">
      <c r="A18" s="4"/>
      <c r="B18" s="5" t="s">
        <v>32</v>
      </c>
      <c r="C18" s="3" t="s">
        <v>5</v>
      </c>
    </row>
    <row r="19" spans="1:3">
      <c r="A19" s="1" t="s">
        <v>33</v>
      </c>
      <c r="B19" s="2" t="s">
        <v>34</v>
      </c>
      <c r="C19" s="3" t="s">
        <v>5</v>
      </c>
    </row>
    <row r="20" spans="1:3" ht="15.75" thickBot="1">
      <c r="A20" s="4"/>
      <c r="B20" s="5" t="s">
        <v>35</v>
      </c>
      <c r="C20" s="3" t="s">
        <v>5</v>
      </c>
    </row>
    <row r="21" spans="1:3">
      <c r="A21" s="1" t="s">
        <v>36</v>
      </c>
      <c r="B21" s="2" t="s">
        <v>37</v>
      </c>
      <c r="C21" s="3" t="s">
        <v>5</v>
      </c>
    </row>
    <row r="22" spans="1:3" ht="26.25" thickBot="1">
      <c r="A22" s="4"/>
      <c r="B22" s="5" t="s">
        <v>38</v>
      </c>
      <c r="C22" s="3" t="s">
        <v>5</v>
      </c>
    </row>
    <row r="23" spans="1:3" ht="15.75" thickBot="1">
      <c r="A23" s="6" t="s">
        <v>39</v>
      </c>
      <c r="B23" s="5" t="s">
        <v>40</v>
      </c>
      <c r="C23" s="3" t="s">
        <v>5</v>
      </c>
    </row>
    <row r="24" spans="1:3" ht="15.75" thickBot="1">
      <c r="A24" s="6" t="s">
        <v>41</v>
      </c>
      <c r="B24" s="5" t="s">
        <v>42</v>
      </c>
      <c r="C24" s="3" t="s">
        <v>5</v>
      </c>
    </row>
    <row r="25" spans="1:3" ht="15.75" thickBot="1">
      <c r="A25" s="6" t="s">
        <v>43</v>
      </c>
      <c r="B25" s="5" t="s">
        <v>44</v>
      </c>
      <c r="C25" s="3" t="s">
        <v>5</v>
      </c>
    </row>
    <row r="26" spans="1:3" ht="15.75" thickBot="1">
      <c r="A26" s="6" t="s">
        <v>45</v>
      </c>
      <c r="B26" s="5" t="s">
        <v>46</v>
      </c>
      <c r="C26" s="3" t="s">
        <v>5</v>
      </c>
    </row>
    <row r="27" spans="1:3" ht="15.75" thickBot="1">
      <c r="A27" s="6" t="s">
        <v>47</v>
      </c>
      <c r="B27" s="5" t="s">
        <v>48</v>
      </c>
      <c r="C27" s="3" t="s">
        <v>5</v>
      </c>
    </row>
    <row r="28" spans="1:3" ht="15.75" thickBot="1">
      <c r="A28" s="6" t="s">
        <v>49</v>
      </c>
      <c r="B28" s="5" t="s">
        <v>50</v>
      </c>
      <c r="C28" s="3" t="s">
        <v>5</v>
      </c>
    </row>
    <row r="29" spans="1:3" ht="15.75" thickBot="1">
      <c r="A29" s="6" t="s">
        <v>51</v>
      </c>
      <c r="B29" s="5" t="s">
        <v>52</v>
      </c>
      <c r="C29" s="3" t="s">
        <v>5</v>
      </c>
    </row>
    <row r="30" spans="1:3" ht="15.75" thickBot="1">
      <c r="A30" s="6" t="s">
        <v>53</v>
      </c>
      <c r="B30" s="5" t="s">
        <v>54</v>
      </c>
      <c r="C30" s="3" t="s">
        <v>5</v>
      </c>
    </row>
    <row r="31" spans="1:3" ht="15.75" thickBot="1">
      <c r="A31" s="6" t="s">
        <v>55</v>
      </c>
      <c r="B31" s="5" t="s">
        <v>56</v>
      </c>
      <c r="C31" s="3" t="s">
        <v>5</v>
      </c>
    </row>
    <row r="32" spans="1:3" ht="15.75" thickBot="1">
      <c r="A32" s="6" t="s">
        <v>57</v>
      </c>
      <c r="B32" s="5" t="s">
        <v>58</v>
      </c>
      <c r="C32" s="3" t="s">
        <v>5</v>
      </c>
    </row>
    <row r="33" spans="1:3" ht="15.75" thickBot="1">
      <c r="A33" s="6" t="s">
        <v>59</v>
      </c>
      <c r="B33" s="5" t="s">
        <v>60</v>
      </c>
      <c r="C33" s="3" t="s">
        <v>5</v>
      </c>
    </row>
    <row r="34" spans="1:3" ht="15.75" thickBot="1">
      <c r="A34" s="6" t="s">
        <v>61</v>
      </c>
      <c r="B34" s="5" t="s">
        <v>62</v>
      </c>
      <c r="C34" s="3" t="s">
        <v>5</v>
      </c>
    </row>
    <row r="35" spans="1:3" ht="15.75" thickBot="1">
      <c r="A35" s="6" t="s">
        <v>63</v>
      </c>
      <c r="B35" s="5" t="s">
        <v>64</v>
      </c>
      <c r="C35" s="3" t="s">
        <v>5</v>
      </c>
    </row>
    <row r="36" spans="1:3" ht="15.75" thickBot="1">
      <c r="A36" s="6" t="s">
        <v>65</v>
      </c>
      <c r="B36" s="5" t="s">
        <v>66</v>
      </c>
      <c r="C36" s="3" t="s">
        <v>5</v>
      </c>
    </row>
    <row r="37" spans="1:3" ht="15.75" thickBot="1">
      <c r="A37" s="6" t="s">
        <v>67</v>
      </c>
      <c r="B37" s="5" t="s">
        <v>68</v>
      </c>
      <c r="C37" s="3" t="s">
        <v>5</v>
      </c>
    </row>
    <row r="38" spans="1:3" ht="15.75" thickBot="1">
      <c r="A38" s="6" t="s">
        <v>69</v>
      </c>
      <c r="B38" s="5" t="s">
        <v>70</v>
      </c>
      <c r="C38" s="3" t="s">
        <v>5</v>
      </c>
    </row>
    <row r="39" spans="1:3" ht="15.75" thickBot="1">
      <c r="A39" s="6" t="s">
        <v>71</v>
      </c>
      <c r="B39" s="5" t="s">
        <v>72</v>
      </c>
      <c r="C39" s="3" t="s">
        <v>5</v>
      </c>
    </row>
    <row r="40" spans="1:3">
      <c r="A40" s="1" t="s">
        <v>73</v>
      </c>
      <c r="B40" s="2" t="s">
        <v>74</v>
      </c>
      <c r="C40" s="3" t="s">
        <v>5</v>
      </c>
    </row>
    <row r="41" spans="1:3" ht="15.75" thickBot="1">
      <c r="A41" s="4"/>
      <c r="B41" s="5" t="s">
        <v>75</v>
      </c>
      <c r="C41" s="3" t="s">
        <v>5</v>
      </c>
    </row>
    <row r="42" spans="1:3" ht="15.75" thickBot="1">
      <c r="A42" s="6" t="s">
        <v>76</v>
      </c>
      <c r="B42" s="5" t="s">
        <v>77</v>
      </c>
      <c r="C42" s="3" t="s">
        <v>5</v>
      </c>
    </row>
    <row r="43" spans="1:3" ht="15.75" thickBot="1">
      <c r="A43" s="6" t="s">
        <v>78</v>
      </c>
      <c r="B43" s="5" t="s">
        <v>79</v>
      </c>
      <c r="C43" s="3" t="s">
        <v>5</v>
      </c>
    </row>
    <row r="44" spans="1:3" ht="15.75" thickBot="1">
      <c r="A44" s="6" t="s">
        <v>80</v>
      </c>
      <c r="B44" s="5" t="s">
        <v>81</v>
      </c>
      <c r="C44" s="3" t="s">
        <v>5</v>
      </c>
    </row>
    <row r="45" spans="1:3" ht="15.75" thickBot="1">
      <c r="A45" s="6" t="s">
        <v>82</v>
      </c>
      <c r="B45" s="5" t="s">
        <v>83</v>
      </c>
      <c r="C45" s="3" t="s">
        <v>5</v>
      </c>
    </row>
    <row r="46" spans="1:3" ht="15.75" thickBot="1">
      <c r="A46" s="6" t="s">
        <v>84</v>
      </c>
      <c r="B46" s="5" t="s">
        <v>85</v>
      </c>
      <c r="C46" s="3" t="s">
        <v>5</v>
      </c>
    </row>
    <row r="47" spans="1:3">
      <c r="A47" s="1" t="s">
        <v>86</v>
      </c>
      <c r="B47" s="2" t="s">
        <v>87</v>
      </c>
      <c r="C47" s="3" t="s">
        <v>5</v>
      </c>
    </row>
    <row r="48" spans="1:3" ht="15.75" thickBot="1">
      <c r="A48" s="4"/>
      <c r="B48" s="5" t="s">
        <v>88</v>
      </c>
      <c r="C48" s="3" t="s">
        <v>5</v>
      </c>
    </row>
    <row r="49" spans="1:3" ht="15.75" thickBot="1">
      <c r="A49" s="6" t="s">
        <v>89</v>
      </c>
      <c r="B49" s="5" t="s">
        <v>90</v>
      </c>
      <c r="C49" s="3" t="s">
        <v>5</v>
      </c>
    </row>
    <row r="50" spans="1:3" ht="15.75" thickBot="1">
      <c r="A50" s="6" t="s">
        <v>91</v>
      </c>
      <c r="B50" s="5" t="s">
        <v>92</v>
      </c>
      <c r="C50" s="3" t="s">
        <v>5</v>
      </c>
    </row>
    <row r="51" spans="1:3">
      <c r="A51" s="1" t="s">
        <v>93</v>
      </c>
      <c r="B51" s="2" t="s">
        <v>94</v>
      </c>
      <c r="C51" s="3" t="s">
        <v>5</v>
      </c>
    </row>
    <row r="52" spans="1:3" ht="15.75" thickBot="1">
      <c r="A52" s="4"/>
      <c r="B52" s="5" t="s">
        <v>95</v>
      </c>
      <c r="C52" s="3" t="s">
        <v>5</v>
      </c>
    </row>
    <row r="53" spans="1:3" ht="15.75" thickBot="1">
      <c r="A53" s="6" t="s">
        <v>96</v>
      </c>
      <c r="B53" s="5" t="s">
        <v>97</v>
      </c>
      <c r="C53" s="3" t="s">
        <v>5</v>
      </c>
    </row>
    <row r="54" spans="1:3" ht="15.75" thickBot="1">
      <c r="A54" s="6" t="s">
        <v>98</v>
      </c>
      <c r="B54" s="5" t="s">
        <v>99</v>
      </c>
      <c r="C54" s="3" t="s">
        <v>5</v>
      </c>
    </row>
    <row r="55" spans="1:3" ht="15.75" thickBot="1">
      <c r="A55" s="6" t="s">
        <v>100</v>
      </c>
      <c r="B55" s="5" t="s">
        <v>101</v>
      </c>
      <c r="C55" s="3" t="s">
        <v>5</v>
      </c>
    </row>
    <row r="56" spans="1:3" ht="15.75" thickBot="1">
      <c r="A56" s="6" t="s">
        <v>102</v>
      </c>
      <c r="B56" s="5" t="s">
        <v>103</v>
      </c>
      <c r="C56" s="3" t="s">
        <v>5</v>
      </c>
    </row>
    <row r="57" spans="1:3" ht="15.75" thickBot="1">
      <c r="A57" s="6" t="s">
        <v>104</v>
      </c>
      <c r="B57" s="5" t="s">
        <v>105</v>
      </c>
      <c r="C57" s="3" t="s">
        <v>5</v>
      </c>
    </row>
    <row r="58" spans="1:3" ht="15.75" thickBot="1">
      <c r="A58" s="6" t="s">
        <v>106</v>
      </c>
      <c r="B58" s="5" t="s">
        <v>107</v>
      </c>
      <c r="C58" s="3" t="s">
        <v>5</v>
      </c>
    </row>
    <row r="59" spans="1:3" ht="15.75" thickBot="1">
      <c r="A59" s="6" t="s">
        <v>108</v>
      </c>
      <c r="B59" s="5" t="s">
        <v>109</v>
      </c>
      <c r="C59" s="3" t="s">
        <v>5</v>
      </c>
    </row>
    <row r="60" spans="1:3" ht="15.75" thickBot="1">
      <c r="A60" s="6" t="s">
        <v>110</v>
      </c>
      <c r="B60" s="5" t="s">
        <v>111</v>
      </c>
      <c r="C60" s="3" t="s">
        <v>5</v>
      </c>
    </row>
    <row r="61" spans="1:3" ht="15.75" thickBot="1">
      <c r="A61" s="6" t="s">
        <v>112</v>
      </c>
      <c r="B61" s="5" t="s">
        <v>113</v>
      </c>
      <c r="C61" s="3" t="s">
        <v>5</v>
      </c>
    </row>
    <row r="62" spans="1:3" ht="15.75" thickBot="1">
      <c r="A62" s="6" t="s">
        <v>114</v>
      </c>
      <c r="B62" s="5" t="s">
        <v>115</v>
      </c>
      <c r="C62" s="3" t="s">
        <v>5</v>
      </c>
    </row>
    <row r="63" spans="1:3" ht="15.75" thickBot="1">
      <c r="A63" s="6" t="s">
        <v>116</v>
      </c>
      <c r="B63" s="5" t="s">
        <v>117</v>
      </c>
      <c r="C63" s="3" t="s">
        <v>5</v>
      </c>
    </row>
    <row r="64" spans="1:3" ht="15.75" thickBot="1">
      <c r="A64" s="6" t="s">
        <v>118</v>
      </c>
      <c r="B64" s="5" t="s">
        <v>119</v>
      </c>
      <c r="C64" s="3" t="s">
        <v>5</v>
      </c>
    </row>
    <row r="65" spans="1:3" ht="25.5">
      <c r="A65" s="1" t="s">
        <v>120</v>
      </c>
      <c r="B65" s="2" t="s">
        <v>121</v>
      </c>
      <c r="C65" s="3" t="s">
        <v>5</v>
      </c>
    </row>
    <row r="66" spans="1:3" ht="15.75" thickBot="1">
      <c r="A66" s="4"/>
      <c r="B66" s="5" t="e">
        <f xml:space="preserve"> acoustical</f>
        <v>#NAME?</v>
      </c>
      <c r="C66" s="3" t="s">
        <v>5</v>
      </c>
    </row>
    <row r="67" spans="1:3" ht="15.75" thickBot="1">
      <c r="A67" s="6" t="s">
        <v>122</v>
      </c>
      <c r="B67" s="5" t="s">
        <v>123</v>
      </c>
      <c r="C67" s="3" t="s">
        <v>5</v>
      </c>
    </row>
    <row r="68" spans="1:3" ht="15.75" thickBot="1">
      <c r="A68" s="6" t="s">
        <v>124</v>
      </c>
      <c r="B68" s="5" t="s">
        <v>125</v>
      </c>
      <c r="C68" s="3" t="s">
        <v>5</v>
      </c>
    </row>
    <row r="69" spans="1:3" ht="15.75" thickBot="1">
      <c r="A69" s="6" t="s">
        <v>126</v>
      </c>
      <c r="B69" s="5" t="s">
        <v>127</v>
      </c>
      <c r="C69" s="3" t="s">
        <v>5</v>
      </c>
    </row>
    <row r="70" spans="1:3" ht="15.75" thickBot="1">
      <c r="A70" s="6" t="s">
        <v>128</v>
      </c>
      <c r="B70" s="5" t="s">
        <v>129</v>
      </c>
      <c r="C70" s="3" t="s">
        <v>5</v>
      </c>
    </row>
    <row r="71" spans="1:3" ht="26.25" thickBot="1">
      <c r="A71" s="6" t="s">
        <v>130</v>
      </c>
      <c r="B71" s="5" t="s">
        <v>131</v>
      </c>
      <c r="C71" s="3" t="s">
        <v>5</v>
      </c>
    </row>
    <row r="72" spans="1:3">
      <c r="A72" s="1" t="s">
        <v>132</v>
      </c>
      <c r="B72" s="2" t="s">
        <v>133</v>
      </c>
      <c r="C72" s="3" t="s">
        <v>5</v>
      </c>
    </row>
    <row r="73" spans="1:3" ht="26.25" thickBot="1">
      <c r="A73" s="4"/>
      <c r="B73" s="5" t="s">
        <v>134</v>
      </c>
      <c r="C73" s="3" t="s">
        <v>5</v>
      </c>
    </row>
    <row r="74" spans="1:3" ht="15.75" thickBot="1">
      <c r="A74" s="6" t="s">
        <v>135</v>
      </c>
      <c r="B74" s="5" t="s">
        <v>136</v>
      </c>
      <c r="C74" s="3" t="s">
        <v>5</v>
      </c>
    </row>
    <row r="75" spans="1:3" ht="15.75" thickBot="1">
      <c r="A75" s="6" t="s">
        <v>137</v>
      </c>
      <c r="B75" s="5" t="s">
        <v>138</v>
      </c>
      <c r="C75" s="3" t="s">
        <v>5</v>
      </c>
    </row>
    <row r="76" spans="1:3" ht="15.75" thickBot="1">
      <c r="A76" s="6" t="s">
        <v>139</v>
      </c>
      <c r="B76" s="5" t="s">
        <v>140</v>
      </c>
      <c r="C76" s="3" t="s">
        <v>5</v>
      </c>
    </row>
    <row r="77" spans="1:3" ht="15.75" thickBot="1">
      <c r="A77" s="6" t="s">
        <v>141</v>
      </c>
      <c r="B77" s="5" t="s">
        <v>142</v>
      </c>
      <c r="C77" s="3" t="s">
        <v>5</v>
      </c>
    </row>
    <row r="78" spans="1:3" ht="15.75" thickBot="1">
      <c r="A78" s="6" t="s">
        <v>143</v>
      </c>
      <c r="B78" s="5" t="s">
        <v>144</v>
      </c>
      <c r="C78" s="3" t="s">
        <v>5</v>
      </c>
    </row>
    <row r="79" spans="1:3" ht="15.75" thickBot="1">
      <c r="A79" s="6" t="s">
        <v>145</v>
      </c>
      <c r="B79" s="5" t="s">
        <v>146</v>
      </c>
      <c r="C79" s="3" t="s">
        <v>5</v>
      </c>
    </row>
    <row r="80" spans="1:3" ht="15.75" thickBot="1">
      <c r="A80" s="6" t="s">
        <v>147</v>
      </c>
      <c r="B80" s="5" t="s">
        <v>148</v>
      </c>
      <c r="C80" s="3" t="s">
        <v>5</v>
      </c>
    </row>
    <row r="81" spans="1:3" ht="15.75" thickBot="1">
      <c r="A81" s="6" t="s">
        <v>149</v>
      </c>
      <c r="B81" s="5" t="s">
        <v>150</v>
      </c>
      <c r="C81" s="3" t="s">
        <v>5</v>
      </c>
    </row>
    <row r="82" spans="1:3" ht="15.75" thickBot="1">
      <c r="A82" s="6" t="s">
        <v>151</v>
      </c>
      <c r="B82" s="5" t="s">
        <v>152</v>
      </c>
      <c r="C82" s="3" t="s">
        <v>5</v>
      </c>
    </row>
    <row r="83" spans="1:3" ht="15.75" thickBot="1">
      <c r="A83" s="6" t="s">
        <v>153</v>
      </c>
      <c r="B83" s="5" t="s">
        <v>154</v>
      </c>
      <c r="C83" s="3" t="s">
        <v>5</v>
      </c>
    </row>
    <row r="84" spans="1:3" ht="15.75" thickBot="1">
      <c r="A84" s="6" t="s">
        <v>155</v>
      </c>
      <c r="B84" s="5" t="s">
        <v>156</v>
      </c>
      <c r="C84" s="3" t="s">
        <v>5</v>
      </c>
    </row>
    <row r="85" spans="1:3" ht="15.75" thickBot="1">
      <c r="A85" s="6" t="s">
        <v>157</v>
      </c>
      <c r="B85" s="5" t="s">
        <v>158</v>
      </c>
      <c r="C85" s="3" t="s">
        <v>5</v>
      </c>
    </row>
    <row r="86" spans="1:3" ht="15.75" thickBot="1">
      <c r="A86" s="6" t="s">
        <v>159</v>
      </c>
      <c r="B86" s="5" t="s">
        <v>160</v>
      </c>
      <c r="C86" s="3" t="s">
        <v>5</v>
      </c>
    </row>
    <row r="87" spans="1:3" ht="15.75" thickBot="1">
      <c r="A87" s="6" t="s">
        <v>161</v>
      </c>
      <c r="B87" s="5" t="s">
        <v>162</v>
      </c>
      <c r="C87" s="3" t="s">
        <v>5</v>
      </c>
    </row>
    <row r="88" spans="1:3" ht="15.75" thickBot="1">
      <c r="A88" s="6" t="s">
        <v>163</v>
      </c>
      <c r="B88" s="5" t="s">
        <v>164</v>
      </c>
      <c r="C88" s="3" t="s">
        <v>5</v>
      </c>
    </row>
    <row r="89" spans="1:3" ht="15.75" thickBot="1">
      <c r="A89" s="6" t="s">
        <v>165</v>
      </c>
      <c r="B89" s="5" t="s">
        <v>166</v>
      </c>
      <c r="C89" s="3" t="s">
        <v>5</v>
      </c>
    </row>
    <row r="90" spans="1:3" ht="15.75" thickBot="1">
      <c r="A90" s="6" t="s">
        <v>167</v>
      </c>
      <c r="B90" s="5" t="s">
        <v>168</v>
      </c>
      <c r="C90" s="3" t="s">
        <v>5</v>
      </c>
    </row>
    <row r="91" spans="1:3" ht="15.75" thickBot="1">
      <c r="A91" s="6" t="s">
        <v>169</v>
      </c>
      <c r="B91" s="5" t="s">
        <v>170</v>
      </c>
      <c r="C91" s="3" t="s">
        <v>5</v>
      </c>
    </row>
    <row r="92" spans="1:3" ht="15.75" thickBot="1">
      <c r="A92" s="6" t="s">
        <v>171</v>
      </c>
      <c r="B92" s="5" t="s">
        <v>172</v>
      </c>
      <c r="C92" s="3" t="s">
        <v>5</v>
      </c>
    </row>
    <row r="93" spans="1:3" ht="15.75" thickBot="1">
      <c r="A93" s="6" t="s">
        <v>173</v>
      </c>
      <c r="B93" s="5" t="s">
        <v>174</v>
      </c>
      <c r="C93" s="3" t="s">
        <v>5</v>
      </c>
    </row>
    <row r="94" spans="1:3" ht="15.75" thickBot="1">
      <c r="A94" s="6" t="s">
        <v>175</v>
      </c>
      <c r="B94" s="5" t="s">
        <v>176</v>
      </c>
      <c r="C94" s="3" t="s">
        <v>5</v>
      </c>
    </row>
    <row r="95" spans="1:3" ht="15.75" thickBot="1">
      <c r="A95" s="6" t="s">
        <v>177</v>
      </c>
      <c r="B95" s="5" t="s">
        <v>178</v>
      </c>
      <c r="C95" s="3" t="s">
        <v>5</v>
      </c>
    </row>
    <row r="96" spans="1:3" ht="15.75" thickBot="1">
      <c r="A96" s="6" t="s">
        <v>179</v>
      </c>
      <c r="B96" s="5" t="s">
        <v>180</v>
      </c>
      <c r="C96" s="3" t="s">
        <v>5</v>
      </c>
    </row>
    <row r="97" spans="1:3" ht="15.75" thickBot="1">
      <c r="A97" s="6" t="s">
        <v>181</v>
      </c>
      <c r="B97" s="5" t="s">
        <v>182</v>
      </c>
      <c r="C97" s="3" t="s">
        <v>5</v>
      </c>
    </row>
    <row r="98" spans="1:3" ht="15.75" thickBot="1">
      <c r="A98" s="6" t="s">
        <v>183</v>
      </c>
      <c r="B98" s="5" t="s">
        <v>184</v>
      </c>
      <c r="C98" s="3" t="s">
        <v>5</v>
      </c>
    </row>
    <row r="99" spans="1:3" ht="15.75" thickBot="1">
      <c r="A99" s="6" t="s">
        <v>185</v>
      </c>
      <c r="B99" s="5" t="s">
        <v>186</v>
      </c>
      <c r="C99" s="3" t="s">
        <v>5</v>
      </c>
    </row>
    <row r="100" spans="1:3" ht="15.75" thickBot="1">
      <c r="A100" s="6" t="s">
        <v>187</v>
      </c>
      <c r="B100" s="5" t="s">
        <v>188</v>
      </c>
      <c r="C100" s="3" t="s">
        <v>5</v>
      </c>
    </row>
    <row r="101" spans="1:3" ht="15.75" thickBot="1">
      <c r="A101" s="6" t="s">
        <v>189</v>
      </c>
      <c r="B101" s="5" t="s">
        <v>190</v>
      </c>
      <c r="C101" s="3" t="s">
        <v>5</v>
      </c>
    </row>
    <row r="102" spans="1:3" ht="15.75" thickBot="1">
      <c r="A102" s="6" t="s">
        <v>191</v>
      </c>
      <c r="B102" s="5" t="s">
        <v>192</v>
      </c>
      <c r="C102" s="3" t="s">
        <v>5</v>
      </c>
    </row>
    <row r="103" spans="1:3" ht="15.75" thickBot="1">
      <c r="A103" s="6" t="s">
        <v>193</v>
      </c>
      <c r="B103" s="5" t="s">
        <v>194</v>
      </c>
      <c r="C103" s="3" t="s">
        <v>5</v>
      </c>
    </row>
    <row r="104" spans="1:3" ht="15.75" thickBot="1">
      <c r="A104" s="6" t="s">
        <v>195</v>
      </c>
      <c r="B104" s="5" t="s">
        <v>196</v>
      </c>
      <c r="C104" s="3" t="s">
        <v>5</v>
      </c>
    </row>
    <row r="105" spans="1:3" ht="15.75" thickBot="1">
      <c r="A105" s="6" t="s">
        <v>197</v>
      </c>
      <c r="B105" s="5" t="s">
        <v>198</v>
      </c>
      <c r="C105" s="3" t="s">
        <v>5</v>
      </c>
    </row>
    <row r="106" spans="1:3" ht="15.75" thickBot="1">
      <c r="A106" s="6" t="s">
        <v>199</v>
      </c>
      <c r="B106" s="5" t="s">
        <v>200</v>
      </c>
      <c r="C106" s="3" t="s">
        <v>5</v>
      </c>
    </row>
    <row r="107" spans="1:3" ht="15.75" thickBot="1">
      <c r="A107" s="6" t="s">
        <v>201</v>
      </c>
      <c r="B107" s="5" t="s">
        <v>202</v>
      </c>
      <c r="C107" s="3" t="s">
        <v>5</v>
      </c>
    </row>
    <row r="108" spans="1:3" ht="15.75" thickBot="1">
      <c r="A108" s="6" t="s">
        <v>203</v>
      </c>
      <c r="B108" s="5" t="s">
        <v>204</v>
      </c>
      <c r="C108" s="3" t="s">
        <v>5</v>
      </c>
    </row>
    <row r="109" spans="1:3" ht="15.75" thickBot="1">
      <c r="A109" s="6" t="s">
        <v>205</v>
      </c>
      <c r="B109" s="5" t="s">
        <v>206</v>
      </c>
      <c r="C109" s="3" t="s">
        <v>5</v>
      </c>
    </row>
    <row r="110" spans="1:3" ht="15.75" thickBot="1">
      <c r="A110" s="6" t="s">
        <v>207</v>
      </c>
      <c r="B110" s="5" t="s">
        <v>208</v>
      </c>
      <c r="C110" s="3" t="s">
        <v>5</v>
      </c>
    </row>
    <row r="111" spans="1:3" ht="15.75" thickBot="1">
      <c r="A111" s="6" t="s">
        <v>209</v>
      </c>
      <c r="B111" s="5" t="s">
        <v>210</v>
      </c>
      <c r="C111" s="3" t="s">
        <v>5</v>
      </c>
    </row>
    <row r="112" spans="1:3" ht="15.75" thickBot="1">
      <c r="A112" s="6" t="s">
        <v>211</v>
      </c>
      <c r="B112" s="5" t="s">
        <v>212</v>
      </c>
      <c r="C112" s="3" t="s">
        <v>5</v>
      </c>
    </row>
    <row r="113" spans="1:3" ht="15.75" thickBot="1">
      <c r="A113" s="6" t="s">
        <v>213</v>
      </c>
      <c r="B113" s="5" t="s">
        <v>214</v>
      </c>
      <c r="C113" s="3" t="s">
        <v>5</v>
      </c>
    </row>
    <row r="114" spans="1:3" ht="15.75" thickBot="1">
      <c r="A114" s="6" t="s">
        <v>215</v>
      </c>
      <c r="B114" s="5" t="s">
        <v>216</v>
      </c>
      <c r="C114" s="3" t="s">
        <v>5</v>
      </c>
    </row>
    <row r="115" spans="1:3">
      <c r="A115" s="1" t="s">
        <v>217</v>
      </c>
      <c r="B115" s="2" t="s">
        <v>218</v>
      </c>
      <c r="C115" s="3" t="s">
        <v>5</v>
      </c>
    </row>
    <row r="116" spans="1:3" ht="15.75" thickBot="1">
      <c r="A116" s="4"/>
      <c r="B116" s="5" t="s">
        <v>219</v>
      </c>
      <c r="C116" s="3" t="s">
        <v>5</v>
      </c>
    </row>
    <row r="117" spans="1:3" ht="15.75" thickBot="1">
      <c r="A117" s="6" t="s">
        <v>220</v>
      </c>
      <c r="B117" s="5" t="s">
        <v>221</v>
      </c>
      <c r="C117" s="3" t="s">
        <v>5</v>
      </c>
    </row>
    <row r="118" spans="1:3" ht="15.75" thickBot="1">
      <c r="A118" s="6" t="s">
        <v>222</v>
      </c>
      <c r="B118" s="5" t="s">
        <v>223</v>
      </c>
      <c r="C118" s="3" t="s">
        <v>5</v>
      </c>
    </row>
    <row r="119" spans="1:3" ht="15.75" thickBot="1">
      <c r="A119" s="6" t="s">
        <v>224</v>
      </c>
      <c r="B119" s="5" t="s">
        <v>225</v>
      </c>
      <c r="C119" s="3" t="s">
        <v>5</v>
      </c>
    </row>
    <row r="120" spans="1:3" ht="15.75" thickBot="1">
      <c r="A120" s="6" t="s">
        <v>226</v>
      </c>
      <c r="B120" s="5" t="e">
        <f xml:space="preserve"> adjuster</f>
        <v>#NAME?</v>
      </c>
      <c r="C120" s="3" t="s">
        <v>5</v>
      </c>
    </row>
    <row r="121" spans="1:3">
      <c r="A121" s="1" t="s">
        <v>227</v>
      </c>
      <c r="B121" s="2" t="s">
        <v>228</v>
      </c>
      <c r="C121" s="3" t="s">
        <v>5</v>
      </c>
    </row>
    <row r="122" spans="1:3" ht="26.25" thickBot="1">
      <c r="A122" s="4"/>
      <c r="B122" s="5" t="s">
        <v>229</v>
      </c>
      <c r="C122" s="3" t="s">
        <v>5</v>
      </c>
    </row>
    <row r="123" spans="1:3">
      <c r="A123" s="1" t="s">
        <v>230</v>
      </c>
      <c r="B123" s="2" t="s">
        <v>231</v>
      </c>
      <c r="C123" s="3" t="s">
        <v>5</v>
      </c>
    </row>
    <row r="124" spans="1:3" ht="15.75" thickBot="1">
      <c r="A124" s="4"/>
      <c r="B124" s="5" t="s">
        <v>232</v>
      </c>
      <c r="C124" s="3" t="s">
        <v>5</v>
      </c>
    </row>
    <row r="125" spans="1:3" ht="15.75" thickBot="1">
      <c r="A125" s="6" t="s">
        <v>233</v>
      </c>
      <c r="B125" s="5" t="s">
        <v>234</v>
      </c>
      <c r="C125" s="3" t="s">
        <v>5</v>
      </c>
    </row>
    <row r="126" spans="1:3" ht="15.75" thickBot="1">
      <c r="A126" s="6" t="s">
        <v>233</v>
      </c>
      <c r="B126" s="5" t="s">
        <v>235</v>
      </c>
      <c r="C126" s="3" t="s">
        <v>5</v>
      </c>
    </row>
    <row r="127" spans="1:3" ht="15.75" thickBot="1">
      <c r="A127" s="6" t="s">
        <v>236</v>
      </c>
      <c r="B127" s="5" t="s">
        <v>237</v>
      </c>
      <c r="C127" s="3" t="s">
        <v>5</v>
      </c>
    </row>
    <row r="128" spans="1:3" ht="15.75" thickBot="1">
      <c r="A128" s="6" t="s">
        <v>238</v>
      </c>
      <c r="B128" s="5" t="s">
        <v>239</v>
      </c>
      <c r="C128" s="3" t="s">
        <v>5</v>
      </c>
    </row>
    <row r="129" spans="1:3" ht="15.75" thickBot="1">
      <c r="A129" s="6" t="s">
        <v>240</v>
      </c>
      <c r="B129" s="5" t="s">
        <v>241</v>
      </c>
      <c r="C129" s="3" t="s">
        <v>5</v>
      </c>
    </row>
    <row r="130" spans="1:3" ht="15.75" thickBot="1">
      <c r="A130" s="6" t="s">
        <v>240</v>
      </c>
      <c r="B130" s="5" t="s">
        <v>242</v>
      </c>
      <c r="C130" s="3" t="s">
        <v>5</v>
      </c>
    </row>
    <row r="131" spans="1:3" ht="15.75" thickBot="1">
      <c r="A131" s="6" t="s">
        <v>243</v>
      </c>
      <c r="B131" s="5" t="s">
        <v>244</v>
      </c>
      <c r="C131" s="3" t="s">
        <v>5</v>
      </c>
    </row>
    <row r="132" spans="1:3" ht="15.75" thickBot="1">
      <c r="A132" s="6" t="s">
        <v>245</v>
      </c>
      <c r="B132" s="5" t="s">
        <v>246</v>
      </c>
      <c r="C132" s="3" t="s">
        <v>5</v>
      </c>
    </row>
    <row r="133" spans="1:3" ht="15.75" thickBot="1">
      <c r="A133" s="6" t="s">
        <v>247</v>
      </c>
      <c r="B133" s="5" t="s">
        <v>248</v>
      </c>
      <c r="C133" s="3" t="s">
        <v>5</v>
      </c>
    </row>
    <row r="134" spans="1:3" ht="15.75" thickBot="1">
      <c r="A134" s="6" t="s">
        <v>249</v>
      </c>
      <c r="B134" s="5" t="s">
        <v>250</v>
      </c>
      <c r="C134" s="3" t="s">
        <v>5</v>
      </c>
    </row>
    <row r="135" spans="1:3" ht="15.75" thickBot="1">
      <c r="A135" s="6" t="s">
        <v>251</v>
      </c>
      <c r="B135" s="5" t="s">
        <v>252</v>
      </c>
      <c r="C135" s="3" t="s">
        <v>5</v>
      </c>
    </row>
    <row r="136" spans="1:3" ht="15.75" thickBot="1">
      <c r="A136" s="6" t="s">
        <v>253</v>
      </c>
      <c r="B136" s="5" t="s">
        <v>254</v>
      </c>
      <c r="C136" s="3" t="s">
        <v>5</v>
      </c>
    </row>
    <row r="137" spans="1:3" ht="15.75" thickBot="1">
      <c r="A137" s="6" t="s">
        <v>255</v>
      </c>
      <c r="B137" s="5" t="s">
        <v>256</v>
      </c>
      <c r="C137" s="3" t="s">
        <v>5</v>
      </c>
    </row>
    <row r="138" spans="1:3" ht="15.75" thickBot="1">
      <c r="A138" s="6" t="s">
        <v>257</v>
      </c>
      <c r="B138" s="5" t="s">
        <v>258</v>
      </c>
      <c r="C138" s="3" t="s">
        <v>5</v>
      </c>
    </row>
    <row r="139" spans="1:3" ht="15.75" thickBot="1">
      <c r="A139" s="6" t="s">
        <v>259</v>
      </c>
      <c r="B139" s="5" t="s">
        <v>260</v>
      </c>
      <c r="C139" s="3" t="s">
        <v>5</v>
      </c>
    </row>
    <row r="140" spans="1:3" ht="15.75" thickBot="1">
      <c r="A140" s="6" t="s">
        <v>261</v>
      </c>
      <c r="B140" s="5" t="s">
        <v>262</v>
      </c>
      <c r="C140" s="3" t="s">
        <v>5</v>
      </c>
    </row>
    <row r="141" spans="1:3" ht="15.75" thickBot="1">
      <c r="A141" s="6" t="s">
        <v>263</v>
      </c>
      <c r="B141" s="5" t="s">
        <v>264</v>
      </c>
      <c r="C141" s="3" t="s">
        <v>5</v>
      </c>
    </row>
    <row r="142" spans="1:3" ht="15.75" thickBot="1">
      <c r="A142" s="6" t="s">
        <v>265</v>
      </c>
      <c r="B142" s="5" t="s">
        <v>266</v>
      </c>
      <c r="C142" s="3" t="s">
        <v>5</v>
      </c>
    </row>
    <row r="143" spans="1:3" ht="15.75" thickBot="1">
      <c r="A143" s="6" t="s">
        <v>267</v>
      </c>
      <c r="B143" s="5" t="s">
        <v>268</v>
      </c>
      <c r="C143" s="3" t="s">
        <v>5</v>
      </c>
    </row>
    <row r="144" spans="1:3" ht="15.75" thickBot="1">
      <c r="A144" s="6" t="s">
        <v>269</v>
      </c>
      <c r="B144" s="5" t="s">
        <v>270</v>
      </c>
      <c r="C144" s="3" t="s">
        <v>5</v>
      </c>
    </row>
    <row r="145" spans="1:3" ht="15.75" thickBot="1">
      <c r="A145" s="6" t="s">
        <v>271</v>
      </c>
      <c r="B145" s="5" t="s">
        <v>272</v>
      </c>
      <c r="C145" s="3" t="s">
        <v>5</v>
      </c>
    </row>
    <row r="146" spans="1:3" ht="15.75" thickBot="1">
      <c r="A146" s="6" t="s">
        <v>273</v>
      </c>
      <c r="B146" s="5" t="s">
        <v>274</v>
      </c>
      <c r="C146" s="3" t="s">
        <v>5</v>
      </c>
    </row>
    <row r="147" spans="1:3" ht="15.75" thickBot="1">
      <c r="A147" s="6" t="s">
        <v>275</v>
      </c>
      <c r="B147" s="5" t="s">
        <v>276</v>
      </c>
      <c r="C147" s="3" t="s">
        <v>5</v>
      </c>
    </row>
    <row r="148" spans="1:3" ht="15.75" thickBot="1">
      <c r="A148" s="6" t="s">
        <v>277</v>
      </c>
      <c r="B148" s="5" t="s">
        <v>278</v>
      </c>
      <c r="C148" s="3" t="s">
        <v>5</v>
      </c>
    </row>
    <row r="149" spans="1:3" ht="15.75" thickBot="1">
      <c r="A149" s="6" t="s">
        <v>279</v>
      </c>
      <c r="B149" s="5" t="s">
        <v>280</v>
      </c>
      <c r="C149" s="3" t="s">
        <v>5</v>
      </c>
    </row>
    <row r="150" spans="1:3" ht="15.75" thickBot="1">
      <c r="A150" s="6" t="s">
        <v>281</v>
      </c>
      <c r="B150" s="5" t="s">
        <v>282</v>
      </c>
      <c r="C150" s="3" t="s">
        <v>5</v>
      </c>
    </row>
    <row r="151" spans="1:3" ht="15.75" thickBot="1">
      <c r="A151" s="6" t="s">
        <v>283</v>
      </c>
      <c r="B151" s="5" t="s">
        <v>284</v>
      </c>
      <c r="C151" s="3" t="s">
        <v>5</v>
      </c>
    </row>
    <row r="152" spans="1:3" ht="15.75" thickBot="1">
      <c r="A152" s="6" t="s">
        <v>285</v>
      </c>
      <c r="B152" s="5" t="s">
        <v>286</v>
      </c>
      <c r="C152" s="3" t="s">
        <v>5</v>
      </c>
    </row>
    <row r="153" spans="1:3" ht="15.75" thickBot="1">
      <c r="A153" s="6" t="s">
        <v>287</v>
      </c>
      <c r="B153" s="5" t="s">
        <v>288</v>
      </c>
      <c r="C153" s="3" t="s">
        <v>5</v>
      </c>
    </row>
    <row r="154" spans="1:3" ht="15.75" thickBot="1">
      <c r="A154" s="6" t="s">
        <v>289</v>
      </c>
      <c r="B154" s="5" t="s">
        <v>290</v>
      </c>
      <c r="C154" s="3" t="s">
        <v>5</v>
      </c>
    </row>
    <row r="155" spans="1:3">
      <c r="A155" s="1" t="s">
        <v>291</v>
      </c>
      <c r="B155" s="2" t="s">
        <v>292</v>
      </c>
      <c r="C155" s="3" t="s">
        <v>5</v>
      </c>
    </row>
    <row r="156" spans="1:3" ht="15.75" thickBot="1">
      <c r="A156" s="4"/>
      <c r="B156" s="5" t="e">
        <f xml:space="preserve"> air-blast switch</f>
        <v>#NAME?</v>
      </c>
      <c r="C156" s="3" t="s">
        <v>5</v>
      </c>
    </row>
    <row r="157" spans="1:3" ht="15.75" thickBot="1">
      <c r="A157" s="6" t="s">
        <v>293</v>
      </c>
      <c r="B157" s="5" t="s">
        <v>294</v>
      </c>
      <c r="C157" s="3" t="s">
        <v>5</v>
      </c>
    </row>
    <row r="158" spans="1:3" ht="15.75" thickBot="1">
      <c r="A158" s="6" t="s">
        <v>295</v>
      </c>
      <c r="B158" s="5" t="s">
        <v>296</v>
      </c>
      <c r="C158" s="3" t="s">
        <v>5</v>
      </c>
    </row>
    <row r="159" spans="1:3">
      <c r="A159" s="1" t="s">
        <v>297</v>
      </c>
      <c r="B159" s="2" t="s">
        <v>298</v>
      </c>
      <c r="C159" s="3" t="s">
        <v>5</v>
      </c>
    </row>
    <row r="160" spans="1:3" ht="15.75" thickBot="1">
      <c r="A160" s="4"/>
      <c r="B160" s="5" t="s">
        <v>299</v>
      </c>
      <c r="C160" s="3" t="s">
        <v>5</v>
      </c>
    </row>
    <row r="161" spans="1:3" ht="15.75" thickBot="1">
      <c r="A161" s="6" t="s">
        <v>300</v>
      </c>
      <c r="B161" s="5" t="s">
        <v>301</v>
      </c>
      <c r="C161" s="3" t="s">
        <v>5</v>
      </c>
    </row>
    <row r="162" spans="1:3" ht="15.75" thickBot="1">
      <c r="A162" s="6" t="s">
        <v>302</v>
      </c>
      <c r="B162" s="5" t="s">
        <v>303</v>
      </c>
      <c r="C162" s="3" t="s">
        <v>5</v>
      </c>
    </row>
    <row r="163" spans="1:3" ht="15.75" thickBot="1">
      <c r="A163" s="6" t="s">
        <v>304</v>
      </c>
      <c r="B163" s="5" t="s">
        <v>305</v>
      </c>
      <c r="C163" s="3" t="s">
        <v>5</v>
      </c>
    </row>
    <row r="164" spans="1:3" ht="15.75" thickBot="1">
      <c r="A164" s="6" t="s">
        <v>306</v>
      </c>
      <c r="B164" s="5" t="s">
        <v>307</v>
      </c>
      <c r="C164" s="3" t="s">
        <v>5</v>
      </c>
    </row>
    <row r="165" spans="1:3" ht="15.75" thickBot="1">
      <c r="A165" s="6" t="s">
        <v>308</v>
      </c>
      <c r="B165" s="5" t="s">
        <v>309</v>
      </c>
      <c r="C165" s="3" t="s">
        <v>5</v>
      </c>
    </row>
    <row r="166" spans="1:3" ht="15.75" thickBot="1">
      <c r="A166" s="6" t="s">
        <v>310</v>
      </c>
      <c r="B166" s="5" t="s">
        <v>311</v>
      </c>
      <c r="C166" s="3" t="s">
        <v>5</v>
      </c>
    </row>
    <row r="167" spans="1:3" ht="15.75" thickBot="1">
      <c r="A167" s="6" t="s">
        <v>312</v>
      </c>
      <c r="B167" s="5" t="s">
        <v>313</v>
      </c>
      <c r="C167" s="3" t="s">
        <v>5</v>
      </c>
    </row>
    <row r="168" spans="1:3" ht="15.75" thickBot="1">
      <c r="A168" s="6" t="s">
        <v>314</v>
      </c>
      <c r="B168" s="5" t="s">
        <v>315</v>
      </c>
      <c r="C168" s="3" t="s">
        <v>5</v>
      </c>
    </row>
    <row r="169" spans="1:3">
      <c r="A169" s="1" t="s">
        <v>316</v>
      </c>
      <c r="B169" s="2" t="s">
        <v>317</v>
      </c>
      <c r="C169" s="3" t="s">
        <v>5</v>
      </c>
    </row>
    <row r="170" spans="1:3" ht="15.75" thickBot="1">
      <c r="A170" s="4"/>
      <c r="B170" s="5" t="s">
        <v>318</v>
      </c>
      <c r="C170" s="3" t="s">
        <v>5</v>
      </c>
    </row>
    <row r="171" spans="1:3" ht="15.75" thickBot="1">
      <c r="A171" s="6" t="s">
        <v>319</v>
      </c>
      <c r="B171" s="5" t="s">
        <v>320</v>
      </c>
      <c r="C171" s="3" t="s">
        <v>5</v>
      </c>
    </row>
    <row r="172" spans="1:3" ht="15.75" thickBot="1">
      <c r="A172" s="6" t="s">
        <v>321</v>
      </c>
      <c r="B172" s="5" t="s">
        <v>322</v>
      </c>
      <c r="C172" s="3" t="s">
        <v>5</v>
      </c>
    </row>
    <row r="173" spans="1:3" ht="15.75" thickBot="1">
      <c r="A173" s="6" t="s">
        <v>323</v>
      </c>
      <c r="B173" s="5" t="e">
        <f xml:space="preserve"> air-core coil</f>
        <v>#NAME?</v>
      </c>
      <c r="C173" s="3" t="s">
        <v>5</v>
      </c>
    </row>
    <row r="174" spans="1:3" ht="15.75" thickBot="1">
      <c r="A174" s="6" t="s">
        <v>324</v>
      </c>
      <c r="B174" s="5" t="s">
        <v>325</v>
      </c>
      <c r="C174" s="3" t="s">
        <v>5</v>
      </c>
    </row>
    <row r="175" spans="1:3" ht="15.75" thickBot="1">
      <c r="A175" s="6" t="s">
        <v>326</v>
      </c>
      <c r="B175" s="5" t="s">
        <v>327</v>
      </c>
      <c r="C175" s="3" t="s">
        <v>5</v>
      </c>
    </row>
    <row r="176" spans="1:3" ht="15.75" thickBot="1">
      <c r="A176" s="6" t="s">
        <v>328</v>
      </c>
      <c r="B176" s="5" t="s">
        <v>329</v>
      </c>
      <c r="C176" s="3" t="s">
        <v>5</v>
      </c>
    </row>
    <row r="177" spans="1:3" ht="15.75" thickBot="1">
      <c r="A177" s="6" t="s">
        <v>330</v>
      </c>
      <c r="B177" s="5" t="s">
        <v>331</v>
      </c>
      <c r="C177" s="3" t="s">
        <v>5</v>
      </c>
    </row>
    <row r="178" spans="1:3" ht="15.75" thickBot="1">
      <c r="A178" s="6" t="s">
        <v>332</v>
      </c>
      <c r="B178" s="5" t="s">
        <v>333</v>
      </c>
      <c r="C178" s="3" t="s">
        <v>5</v>
      </c>
    </row>
    <row r="179" spans="1:3" ht="15.75" thickBot="1">
      <c r="A179" s="6" t="s">
        <v>334</v>
      </c>
      <c r="B179" s="5" t="s">
        <v>335</v>
      </c>
      <c r="C179" s="3" t="s">
        <v>5</v>
      </c>
    </row>
    <row r="180" spans="1:3" ht="15.75" thickBot="1">
      <c r="A180" s="6" t="s">
        <v>336</v>
      </c>
      <c r="B180" s="5" t="s">
        <v>337</v>
      </c>
      <c r="C180" s="3" t="s">
        <v>5</v>
      </c>
    </row>
    <row r="181" spans="1:3" ht="15.75" thickBot="1">
      <c r="A181" s="6" t="s">
        <v>338</v>
      </c>
      <c r="B181" s="5" t="s">
        <v>339</v>
      </c>
      <c r="C181" s="3" t="s">
        <v>5</v>
      </c>
    </row>
    <row r="182" spans="1:3" ht="15.75" thickBot="1">
      <c r="A182" s="6" t="s">
        <v>340</v>
      </c>
      <c r="B182" s="5" t="s">
        <v>341</v>
      </c>
      <c r="C182" s="3" t="s">
        <v>5</v>
      </c>
    </row>
    <row r="183" spans="1:3" ht="15.75" thickBot="1">
      <c r="A183" s="6" t="s">
        <v>342</v>
      </c>
      <c r="B183" s="5" t="s">
        <v>343</v>
      </c>
      <c r="C183" s="3" t="s">
        <v>5</v>
      </c>
    </row>
    <row r="184" spans="1:3" ht="15.75" thickBot="1">
      <c r="A184" s="6" t="s">
        <v>344</v>
      </c>
      <c r="B184" s="5" t="s">
        <v>345</v>
      </c>
      <c r="C184" s="3" t="s">
        <v>5</v>
      </c>
    </row>
    <row r="185" spans="1:3" ht="15.75" thickBot="1">
      <c r="A185" s="6" t="s">
        <v>346</v>
      </c>
      <c r="B185" s="5" t="s">
        <v>347</v>
      </c>
      <c r="C185" s="3" t="s">
        <v>5</v>
      </c>
    </row>
    <row r="186" spans="1:3" ht="15.75" thickBot="1">
      <c r="A186" s="6" t="s">
        <v>348</v>
      </c>
      <c r="B186" s="5" t="s">
        <v>349</v>
      </c>
      <c r="C186" s="3" t="s">
        <v>5</v>
      </c>
    </row>
    <row r="187" spans="1:3" ht="15.75" thickBot="1">
      <c r="A187" s="6" t="s">
        <v>350</v>
      </c>
      <c r="B187" s="5" t="s">
        <v>351</v>
      </c>
      <c r="C187" s="3" t="s">
        <v>5</v>
      </c>
    </row>
    <row r="188" spans="1:3" ht="15.75" thickBot="1">
      <c r="A188" s="6" t="s">
        <v>352</v>
      </c>
      <c r="B188" s="5" t="s">
        <v>353</v>
      </c>
      <c r="C188" s="3" t="s">
        <v>5</v>
      </c>
    </row>
    <row r="189" spans="1:3" ht="15.75" thickBot="1">
      <c r="A189" s="6" t="s">
        <v>354</v>
      </c>
      <c r="B189" s="5" t="s">
        <v>355</v>
      </c>
      <c r="C189" s="3" t="s">
        <v>5</v>
      </c>
    </row>
    <row r="190" spans="1:3" ht="15.75" thickBot="1">
      <c r="A190" s="6" t="s">
        <v>356</v>
      </c>
      <c r="B190" s="5" t="s">
        <v>357</v>
      </c>
      <c r="C190" s="3" t="s">
        <v>5</v>
      </c>
    </row>
    <row r="191" spans="1:3" ht="15.75" thickBot="1">
      <c r="A191" s="6" t="s">
        <v>358</v>
      </c>
      <c r="B191" s="5" t="s">
        <v>359</v>
      </c>
      <c r="C191" s="3" t="s">
        <v>5</v>
      </c>
    </row>
    <row r="192" spans="1:3" ht="15.75" thickBot="1">
      <c r="A192" s="6" t="s">
        <v>360</v>
      </c>
      <c r="B192" s="5" t="s">
        <v>361</v>
      </c>
      <c r="C192" s="3" t="s">
        <v>5</v>
      </c>
    </row>
    <row r="193" spans="1:3" ht="15.75" thickBot="1">
      <c r="A193" s="6" t="s">
        <v>362</v>
      </c>
      <c r="B193" s="5" t="s">
        <v>363</v>
      </c>
      <c r="C193" s="3" t="s">
        <v>5</v>
      </c>
    </row>
    <row r="194" spans="1:3" ht="15.75" thickBot="1">
      <c r="A194" s="6" t="s">
        <v>364</v>
      </c>
      <c r="B194" s="5" t="s">
        <v>365</v>
      </c>
      <c r="C194" s="3" t="s">
        <v>5</v>
      </c>
    </row>
    <row r="195" spans="1:3" ht="15.75" thickBot="1">
      <c r="A195" s="6" t="s">
        <v>366</v>
      </c>
      <c r="B195" s="5" t="s">
        <v>367</v>
      </c>
      <c r="C195" s="3" t="s">
        <v>5</v>
      </c>
    </row>
    <row r="196" spans="1:3" ht="15.75" thickBot="1">
      <c r="A196" s="6" t="s">
        <v>368</v>
      </c>
      <c r="B196" s="5" t="s">
        <v>369</v>
      </c>
      <c r="C196" s="3" t="s">
        <v>5</v>
      </c>
    </row>
    <row r="197" spans="1:3" ht="15.75" thickBot="1">
      <c r="A197" s="6" t="s">
        <v>370</v>
      </c>
      <c r="B197" s="5" t="s">
        <v>371</v>
      </c>
      <c r="C197" s="3" t="s">
        <v>5</v>
      </c>
    </row>
    <row r="198" spans="1:3" ht="15.75" thickBot="1">
      <c r="A198" s="6" t="s">
        <v>372</v>
      </c>
      <c r="B198" s="5" t="s">
        <v>373</v>
      </c>
      <c r="C198" s="3" t="s">
        <v>5</v>
      </c>
    </row>
    <row r="199" spans="1:3" ht="15.75" thickBot="1">
      <c r="A199" s="6" t="s">
        <v>374</v>
      </c>
      <c r="B199" s="5" t="s">
        <v>375</v>
      </c>
      <c r="C199" s="3" t="s">
        <v>5</v>
      </c>
    </row>
    <row r="200" spans="1:3" ht="15.75" thickBot="1">
      <c r="A200" s="6" t="s">
        <v>376</v>
      </c>
      <c r="B200" s="5" t="s">
        <v>377</v>
      </c>
      <c r="C200" s="3" t="s">
        <v>5</v>
      </c>
    </row>
    <row r="201" spans="1:3" ht="15.75" thickBot="1">
      <c r="A201" s="6" t="s">
        <v>378</v>
      </c>
      <c r="B201" s="5" t="s">
        <v>379</v>
      </c>
      <c r="C201" s="3" t="s">
        <v>5</v>
      </c>
    </row>
    <row r="202" spans="1:3" ht="15.75" thickBot="1">
      <c r="A202" s="6" t="s">
        <v>380</v>
      </c>
      <c r="B202" s="5" t="s">
        <v>381</v>
      </c>
      <c r="C202" s="3" t="s">
        <v>5</v>
      </c>
    </row>
    <row r="203" spans="1:3" ht="15.75" thickBot="1">
      <c r="A203" s="6" t="s">
        <v>382</v>
      </c>
      <c r="B203" s="5" t="s">
        <v>383</v>
      </c>
      <c r="C203" s="3" t="s">
        <v>5</v>
      </c>
    </row>
    <row r="204" spans="1:3" ht="15.75" thickBot="1">
      <c r="A204" s="6" t="s">
        <v>384</v>
      </c>
      <c r="B204" s="5" t="s">
        <v>385</v>
      </c>
      <c r="C204" s="3" t="s">
        <v>5</v>
      </c>
    </row>
    <row r="205" spans="1:3" ht="15.75" thickBot="1">
      <c r="A205" s="6" t="s">
        <v>386</v>
      </c>
      <c r="B205" s="5" t="s">
        <v>387</v>
      </c>
      <c r="C205" s="3" t="s">
        <v>5</v>
      </c>
    </row>
    <row r="206" spans="1:3" ht="15.75" thickBot="1">
      <c r="A206" s="6" t="s">
        <v>388</v>
      </c>
      <c r="B206" s="5" t="s">
        <v>389</v>
      </c>
      <c r="C206" s="3" t="s">
        <v>5</v>
      </c>
    </row>
    <row r="207" spans="1:3" ht="15.75" thickBot="1">
      <c r="A207" s="6" t="s">
        <v>390</v>
      </c>
      <c r="B207" s="5" t="s">
        <v>391</v>
      </c>
      <c r="C207" s="3" t="s">
        <v>5</v>
      </c>
    </row>
    <row r="208" spans="1:3" ht="15.75" thickBot="1">
      <c r="A208" s="6" t="s">
        <v>392</v>
      </c>
      <c r="B208" s="5" t="s">
        <v>393</v>
      </c>
      <c r="C208" s="3" t="s">
        <v>5</v>
      </c>
    </row>
    <row r="209" spans="1:3" ht="15.75" thickBot="1">
      <c r="A209" s="6" t="s">
        <v>394</v>
      </c>
      <c r="B209" s="5" t="s">
        <v>395</v>
      </c>
      <c r="C209" s="3" t="s">
        <v>5</v>
      </c>
    </row>
    <row r="210" spans="1:3" ht="15.75" thickBot="1">
      <c r="A210" s="6" t="s">
        <v>396</v>
      </c>
      <c r="B210" s="5" t="s">
        <v>397</v>
      </c>
      <c r="C210" s="3" t="s">
        <v>5</v>
      </c>
    </row>
    <row r="211" spans="1:3" ht="15.75" thickBot="1">
      <c r="A211" s="6" t="s">
        <v>398</v>
      </c>
      <c r="B211" s="5" t="s">
        <v>399</v>
      </c>
      <c r="C211" s="3" t="s">
        <v>5</v>
      </c>
    </row>
    <row r="212" spans="1:3" ht="15.75" thickBot="1">
      <c r="A212" s="6" t="s">
        <v>400</v>
      </c>
      <c r="B212" s="5" t="s">
        <v>401</v>
      </c>
      <c r="C212" s="3" t="s">
        <v>5</v>
      </c>
    </row>
    <row r="213" spans="1:3" ht="15.75" thickBot="1">
      <c r="A213" s="6" t="s">
        <v>402</v>
      </c>
      <c r="B213" s="5" t="s">
        <v>403</v>
      </c>
      <c r="C213" s="3" t="s">
        <v>5</v>
      </c>
    </row>
    <row r="214" spans="1:3" ht="15.75" thickBot="1">
      <c r="A214" s="6" t="s">
        <v>404</v>
      </c>
      <c r="B214" s="5" t="s">
        <v>405</v>
      </c>
      <c r="C214" s="3" t="s">
        <v>5</v>
      </c>
    </row>
    <row r="215" spans="1:3" ht="15.75" thickBot="1">
      <c r="A215" s="6" t="s">
        <v>406</v>
      </c>
      <c r="B215" s="5" t="s">
        <v>407</v>
      </c>
      <c r="C215" s="3" t="s">
        <v>5</v>
      </c>
    </row>
    <row r="216" spans="1:3" ht="15.75" thickBot="1">
      <c r="A216" s="6" t="s">
        <v>408</v>
      </c>
      <c r="B216" s="5" t="s">
        <v>409</v>
      </c>
      <c r="C216" s="3" t="s">
        <v>5</v>
      </c>
    </row>
    <row r="217" spans="1:3" ht="15.75" thickBot="1">
      <c r="A217" s="6" t="s">
        <v>410</v>
      </c>
      <c r="B217" s="5" t="s">
        <v>411</v>
      </c>
      <c r="C217" s="3" t="s">
        <v>5</v>
      </c>
    </row>
    <row r="218" spans="1:3" ht="15.75" thickBot="1">
      <c r="A218" s="6" t="s">
        <v>412</v>
      </c>
      <c r="B218" s="5" t="s">
        <v>413</v>
      </c>
      <c r="C218" s="3" t="s">
        <v>5</v>
      </c>
    </row>
    <row r="219" spans="1:3" ht="15.75" thickBot="1">
      <c r="A219" s="6" t="s">
        <v>414</v>
      </c>
      <c r="B219" s="5" t="s">
        <v>415</v>
      </c>
      <c r="C219" s="3" t="s">
        <v>5</v>
      </c>
    </row>
    <row r="220" spans="1:3" ht="15.75" thickBot="1">
      <c r="A220" s="6" t="s">
        <v>416</v>
      </c>
      <c r="B220" s="5" t="s">
        <v>417</v>
      </c>
      <c r="C220" s="3" t="s">
        <v>5</v>
      </c>
    </row>
    <row r="221" spans="1:3" ht="15.75" thickBot="1">
      <c r="A221" s="6" t="s">
        <v>418</v>
      </c>
      <c r="B221" s="5" t="s">
        <v>419</v>
      </c>
      <c r="C221" s="3" t="s">
        <v>5</v>
      </c>
    </row>
    <row r="222" spans="1:3">
      <c r="A222" s="1" t="s">
        <v>420</v>
      </c>
      <c r="B222" s="2" t="s">
        <v>421</v>
      </c>
      <c r="C222" s="3" t="s">
        <v>5</v>
      </c>
    </row>
    <row r="223" spans="1:3" ht="15.75" thickBot="1">
      <c r="A223" s="4"/>
      <c r="B223" s="5" t="s">
        <v>422</v>
      </c>
      <c r="C223" s="3" t="s">
        <v>5</v>
      </c>
    </row>
    <row r="224" spans="1:3" ht="15.75" thickBot="1">
      <c r="A224" s="6" t="s">
        <v>423</v>
      </c>
      <c r="B224" s="5" t="s">
        <v>424</v>
      </c>
      <c r="C224" s="3" t="s">
        <v>5</v>
      </c>
    </row>
    <row r="225" spans="1:3" ht="15.75" thickBot="1">
      <c r="A225" s="6" t="s">
        <v>425</v>
      </c>
      <c r="B225" s="5" t="s">
        <v>426</v>
      </c>
      <c r="C225" s="3" t="s">
        <v>5</v>
      </c>
    </row>
    <row r="226" spans="1:3" ht="15.75" thickBot="1">
      <c r="A226" s="6" t="s">
        <v>427</v>
      </c>
      <c r="B226" s="5" t="s">
        <v>428</v>
      </c>
      <c r="C226" s="3" t="s">
        <v>5</v>
      </c>
    </row>
    <row r="227" spans="1:3" ht="15.75" thickBot="1">
      <c r="A227" s="6" t="s">
        <v>429</v>
      </c>
      <c r="B227" s="5" t="s">
        <v>430</v>
      </c>
      <c r="C227" s="3" t="s">
        <v>5</v>
      </c>
    </row>
    <row r="228" spans="1:3" ht="15.75" thickBot="1">
      <c r="A228" s="6" t="s">
        <v>431</v>
      </c>
      <c r="B228" s="5" t="s">
        <v>432</v>
      </c>
      <c r="C228" s="3" t="s">
        <v>5</v>
      </c>
    </row>
    <row r="229" spans="1:3" ht="15.75" thickBot="1">
      <c r="A229" s="6" t="s">
        <v>433</v>
      </c>
      <c r="B229" s="5" t="s">
        <v>434</v>
      </c>
      <c r="C229" s="3" t="s">
        <v>5</v>
      </c>
    </row>
    <row r="230" spans="1:3" ht="15.75" thickBot="1">
      <c r="A230" s="6" t="s">
        <v>435</v>
      </c>
      <c r="B230" s="5" t="s">
        <v>436</v>
      </c>
      <c r="C230" s="3" t="s">
        <v>5</v>
      </c>
    </row>
    <row r="231" spans="1:3">
      <c r="A231" s="1" t="s">
        <v>437</v>
      </c>
      <c r="B231" s="2" t="s">
        <v>438</v>
      </c>
      <c r="C231" s="3" t="s">
        <v>5</v>
      </c>
    </row>
    <row r="232" spans="1:3" ht="15.75" thickBot="1">
      <c r="A232" s="4"/>
      <c r="B232" s="5" t="s">
        <v>439</v>
      </c>
      <c r="C232" s="3" t="s">
        <v>5</v>
      </c>
    </row>
    <row r="233" spans="1:3" ht="15.75" thickBot="1">
      <c r="A233" s="6" t="s">
        <v>440</v>
      </c>
      <c r="B233" s="5" t="s">
        <v>441</v>
      </c>
      <c r="C233" s="3" t="s">
        <v>5</v>
      </c>
    </row>
    <row r="234" spans="1:3" ht="15.75" thickBot="1">
      <c r="A234" s="6" t="s">
        <v>442</v>
      </c>
      <c r="B234" s="5" t="s">
        <v>443</v>
      </c>
      <c r="C234" s="3" t="s">
        <v>5</v>
      </c>
    </row>
    <row r="235" spans="1:3" ht="15.75" thickBot="1">
      <c r="A235" s="6" t="s">
        <v>444</v>
      </c>
      <c r="B235" s="5" t="s">
        <v>445</v>
      </c>
      <c r="C235" s="3" t="s">
        <v>5</v>
      </c>
    </row>
    <row r="236" spans="1:3" ht="15.75" thickBot="1">
      <c r="A236" s="6" t="s">
        <v>446</v>
      </c>
      <c r="B236" s="5" t="s">
        <v>447</v>
      </c>
      <c r="C236" s="3" t="s">
        <v>5</v>
      </c>
    </row>
    <row r="237" spans="1:3" ht="15.75" thickBot="1">
      <c r="A237" s="6" t="s">
        <v>448</v>
      </c>
      <c r="B237" s="5" t="s">
        <v>449</v>
      </c>
      <c r="C237" s="3" t="s">
        <v>5</v>
      </c>
    </row>
    <row r="238" spans="1:3" ht="15.75" thickBot="1">
      <c r="A238" s="6" t="s">
        <v>450</v>
      </c>
      <c r="B238" s="5" t="s">
        <v>451</v>
      </c>
      <c r="C238" s="3" t="s">
        <v>5</v>
      </c>
    </row>
    <row r="239" spans="1:3" ht="15.75" thickBot="1">
      <c r="A239" s="6" t="s">
        <v>452</v>
      </c>
      <c r="B239" s="5" t="s">
        <v>453</v>
      </c>
      <c r="C239" s="3" t="s">
        <v>5</v>
      </c>
    </row>
    <row r="240" spans="1:3" ht="15.75" thickBot="1">
      <c r="A240" s="6" t="s">
        <v>454</v>
      </c>
      <c r="B240" s="5" t="s">
        <v>455</v>
      </c>
      <c r="C240" s="3" t="s">
        <v>5</v>
      </c>
    </row>
    <row r="241" spans="1:3" ht="15.75" thickBot="1">
      <c r="A241" s="6" t="s">
        <v>456</v>
      </c>
      <c r="B241" s="5" t="s">
        <v>457</v>
      </c>
      <c r="C241" s="3" t="s">
        <v>5</v>
      </c>
    </row>
    <row r="242" spans="1:3">
      <c r="A242" s="1" t="s">
        <v>458</v>
      </c>
      <c r="B242" s="2" t="s">
        <v>459</v>
      </c>
      <c r="C242" s="3" t="s">
        <v>5</v>
      </c>
    </row>
    <row r="243" spans="1:3" ht="15.75" thickBot="1">
      <c r="A243" s="4"/>
      <c r="B243" s="5" t="s">
        <v>460</v>
      </c>
      <c r="C243" s="3" t="s">
        <v>5</v>
      </c>
    </row>
    <row r="244" spans="1:3" ht="15.75" thickBot="1">
      <c r="A244" s="6" t="s">
        <v>461</v>
      </c>
      <c r="B244" s="5" t="s">
        <v>462</v>
      </c>
      <c r="C244" s="3" t="s">
        <v>5</v>
      </c>
    </row>
    <row r="245" spans="1:3" ht="15.75" thickBot="1">
      <c r="A245" s="6" t="s">
        <v>463</v>
      </c>
      <c r="B245" s="5" t="s">
        <v>464</v>
      </c>
      <c r="C245" s="3" t="s">
        <v>5</v>
      </c>
    </row>
    <row r="246" spans="1:3" ht="15.75" thickBot="1">
      <c r="A246" s="6" t="s">
        <v>465</v>
      </c>
      <c r="B246" s="5" t="s">
        <v>466</v>
      </c>
      <c r="C246" s="3" t="s">
        <v>5</v>
      </c>
    </row>
    <row r="247" spans="1:3" ht="15.75" thickBot="1">
      <c r="A247" s="6" t="s">
        <v>467</v>
      </c>
      <c r="B247" s="5" t="s">
        <v>468</v>
      </c>
      <c r="C247" s="3" t="s">
        <v>5</v>
      </c>
    </row>
    <row r="248" spans="1:3" ht="15.75" thickBot="1">
      <c r="A248" s="6" t="s">
        <v>469</v>
      </c>
      <c r="B248" s="5" t="s">
        <v>470</v>
      </c>
      <c r="C248" s="3" t="s">
        <v>5</v>
      </c>
    </row>
    <row r="249" spans="1:3" ht="15.75" thickBot="1">
      <c r="A249" s="6" t="s">
        <v>471</v>
      </c>
      <c r="B249" s="5" t="e">
        <f xml:space="preserve"> aluminium</f>
        <v>#NAME?</v>
      </c>
      <c r="C249" s="3" t="s">
        <v>5</v>
      </c>
    </row>
    <row r="250" spans="1:3" ht="15.75" thickBot="1">
      <c r="A250" s="6" t="s">
        <v>472</v>
      </c>
      <c r="B250" s="5" t="s">
        <v>473</v>
      </c>
      <c r="C250" s="3" t="s">
        <v>5</v>
      </c>
    </row>
    <row r="251" spans="1:3" ht="15.75" thickBot="1">
      <c r="A251" s="6" t="s">
        <v>474</v>
      </c>
      <c r="B251" s="5" t="s">
        <v>475</v>
      </c>
      <c r="C251" s="3" t="s">
        <v>5</v>
      </c>
    </row>
    <row r="252" spans="1:3" ht="15.75" thickBot="1">
      <c r="A252" s="6" t="s">
        <v>476</v>
      </c>
      <c r="B252" s="5" t="s">
        <v>477</v>
      </c>
      <c r="C252" s="3" t="s">
        <v>5</v>
      </c>
    </row>
    <row r="253" spans="1:3" ht="15.75" thickBot="1">
      <c r="A253" s="6" t="s">
        <v>478</v>
      </c>
      <c r="B253" s="5" t="s">
        <v>479</v>
      </c>
      <c r="C253" s="3" t="s">
        <v>5</v>
      </c>
    </row>
    <row r="254" spans="1:3" ht="15.75" thickBot="1">
      <c r="A254" s="6" t="s">
        <v>480</v>
      </c>
      <c r="B254" s="5" t="s">
        <v>481</v>
      </c>
      <c r="C254" s="3" t="s">
        <v>5</v>
      </c>
    </row>
    <row r="255" spans="1:3">
      <c r="A255" s="1" t="s">
        <v>482</v>
      </c>
      <c r="B255" s="2" t="s">
        <v>483</v>
      </c>
      <c r="C255" s="3" t="s">
        <v>5</v>
      </c>
    </row>
    <row r="256" spans="1:3" ht="15.75" thickBot="1">
      <c r="A256" s="4"/>
      <c r="B256" s="5" t="s">
        <v>484</v>
      </c>
      <c r="C256" s="3" t="s">
        <v>5</v>
      </c>
    </row>
    <row r="257" spans="1:3" ht="15.75" thickBot="1">
      <c r="A257" s="6" t="s">
        <v>485</v>
      </c>
      <c r="B257" s="5" t="s">
        <v>486</v>
      </c>
      <c r="C257" s="3" t="s">
        <v>5</v>
      </c>
    </row>
    <row r="258" spans="1:3" ht="15.75" thickBot="1">
      <c r="A258" s="6" t="s">
        <v>487</v>
      </c>
      <c r="B258" s="5" t="s">
        <v>488</v>
      </c>
      <c r="C258" s="3" t="s">
        <v>5</v>
      </c>
    </row>
    <row r="259" spans="1:3" ht="15.75" thickBot="1">
      <c r="A259" s="6" t="s">
        <v>489</v>
      </c>
      <c r="B259" s="5" t="s">
        <v>490</v>
      </c>
      <c r="C259" s="3" t="s">
        <v>5</v>
      </c>
    </row>
    <row r="260" spans="1:3" ht="15.75" thickBot="1">
      <c r="A260" s="6" t="s">
        <v>491</v>
      </c>
      <c r="B260" s="5" t="s">
        <v>492</v>
      </c>
      <c r="C260" s="3" t="s">
        <v>5</v>
      </c>
    </row>
    <row r="261" spans="1:3" ht="15.75" thickBot="1">
      <c r="A261" s="6" t="s">
        <v>493</v>
      </c>
      <c r="B261" s="5" t="s">
        <v>494</v>
      </c>
      <c r="C261" s="3" t="s">
        <v>5</v>
      </c>
    </row>
    <row r="262" spans="1:3" ht="15.75" thickBot="1">
      <c r="A262" s="6" t="s">
        <v>495</v>
      </c>
      <c r="B262" s="5" t="s">
        <v>496</v>
      </c>
      <c r="C262" s="3" t="s">
        <v>5</v>
      </c>
    </row>
    <row r="263" spans="1:3" ht="15.75" thickBot="1">
      <c r="A263" s="6" t="s">
        <v>497</v>
      </c>
      <c r="B263" s="5" t="s">
        <v>498</v>
      </c>
      <c r="C263" s="3" t="s">
        <v>5</v>
      </c>
    </row>
    <row r="264" spans="1:3" ht="15.75" thickBot="1">
      <c r="A264" s="6" t="s">
        <v>499</v>
      </c>
      <c r="B264" s="5" t="s">
        <v>500</v>
      </c>
      <c r="C264" s="3" t="s">
        <v>5</v>
      </c>
    </row>
    <row r="265" spans="1:3" ht="15.75" thickBot="1">
      <c r="A265" s="6" t="s">
        <v>501</v>
      </c>
      <c r="B265" s="5" t="s">
        <v>502</v>
      </c>
      <c r="C265" s="3" t="s">
        <v>5</v>
      </c>
    </row>
    <row r="266" spans="1:3" ht="15.75" thickBot="1">
      <c r="A266" s="6" t="s">
        <v>503</v>
      </c>
      <c r="B266" s="5" t="s">
        <v>504</v>
      </c>
      <c r="C266" s="3" t="s">
        <v>5</v>
      </c>
    </row>
    <row r="267" spans="1:3" ht="15.75" thickBot="1">
      <c r="A267" s="6" t="s">
        <v>505</v>
      </c>
      <c r="B267" s="5" t="s">
        <v>506</v>
      </c>
      <c r="C267" s="3" t="s">
        <v>5</v>
      </c>
    </row>
    <row r="268" spans="1:3">
      <c r="A268" s="1" t="s">
        <v>507</v>
      </c>
      <c r="B268" s="2" t="s">
        <v>508</v>
      </c>
      <c r="C268" s="3" t="s">
        <v>5</v>
      </c>
    </row>
    <row r="269" spans="1:3" ht="15.75" thickBot="1">
      <c r="A269" s="4"/>
      <c r="B269" s="5" t="s">
        <v>509</v>
      </c>
      <c r="C269" s="3" t="s">
        <v>5</v>
      </c>
    </row>
    <row r="270" spans="1:3" ht="15.75" thickBot="1">
      <c r="A270" s="6" t="s">
        <v>510</v>
      </c>
      <c r="B270" s="5" t="e">
        <f xml:space="preserve"> ammeter</f>
        <v>#NAME?</v>
      </c>
      <c r="C270" s="3" t="s">
        <v>5</v>
      </c>
    </row>
    <row r="271" spans="1:3" ht="15.75" thickBot="1">
      <c r="A271" s="6" t="s">
        <v>511</v>
      </c>
      <c r="B271" s="5" t="s">
        <v>512</v>
      </c>
      <c r="C271" s="3" t="s">
        <v>5</v>
      </c>
    </row>
    <row r="272" spans="1:3" ht="15.75" thickBot="1">
      <c r="A272" s="6" t="s">
        <v>513</v>
      </c>
      <c r="B272" s="5" t="s">
        <v>514</v>
      </c>
      <c r="C272" s="3" t="s">
        <v>5</v>
      </c>
    </row>
    <row r="273" spans="1:3">
      <c r="A273" s="1" t="s">
        <v>515</v>
      </c>
      <c r="B273" s="2" t="s">
        <v>516</v>
      </c>
      <c r="C273" s="3" t="s">
        <v>5</v>
      </c>
    </row>
    <row r="274" spans="1:3" ht="15.75" thickBot="1">
      <c r="A274" s="4"/>
      <c r="B274" s="5" t="s">
        <v>517</v>
      </c>
      <c r="C274" s="3" t="s">
        <v>5</v>
      </c>
    </row>
    <row r="275" spans="1:3" ht="15.75" thickBot="1">
      <c r="A275" s="6" t="s">
        <v>518</v>
      </c>
      <c r="B275" s="5" t="s">
        <v>519</v>
      </c>
      <c r="C275" s="3" t="s">
        <v>5</v>
      </c>
    </row>
    <row r="276" spans="1:3" ht="15.75" thickBot="1">
      <c r="A276" s="6" t="s">
        <v>520</v>
      </c>
      <c r="B276" s="5" t="s">
        <v>521</v>
      </c>
      <c r="C276" s="3" t="s">
        <v>5</v>
      </c>
    </row>
    <row r="277" spans="1:3" ht="15.75" thickBot="1">
      <c r="A277" s="6" t="s">
        <v>522</v>
      </c>
      <c r="B277" s="5" t="s">
        <v>523</v>
      </c>
      <c r="C277" s="3" t="s">
        <v>5</v>
      </c>
    </row>
    <row r="278" spans="1:3">
      <c r="A278" s="1" t="s">
        <v>524</v>
      </c>
      <c r="B278" s="2" t="s">
        <v>525</v>
      </c>
      <c r="C278" s="3" t="s">
        <v>5</v>
      </c>
    </row>
    <row r="279" spans="1:3" ht="115.5" thickBot="1">
      <c r="A279" s="4"/>
      <c r="B279" s="5" t="s">
        <v>526</v>
      </c>
      <c r="C279" s="3" t="s">
        <v>5</v>
      </c>
    </row>
    <row r="280" spans="1:3" ht="15.75" thickBot="1">
      <c r="A280" s="6" t="s">
        <v>527</v>
      </c>
      <c r="B280" s="5" t="s">
        <v>528</v>
      </c>
      <c r="C280" s="3" t="s">
        <v>5</v>
      </c>
    </row>
    <row r="281" spans="1:3">
      <c r="A281" s="1" t="s">
        <v>529</v>
      </c>
      <c r="B281" s="2" t="s">
        <v>530</v>
      </c>
      <c r="C281" s="3" t="s">
        <v>5</v>
      </c>
    </row>
    <row r="282" spans="1:3" ht="15.75" thickBot="1">
      <c r="A282" s="4"/>
      <c r="B282" s="5" t="e">
        <f xml:space="preserve"> amplification factor</f>
        <v>#NAME?</v>
      </c>
      <c r="C282" s="3" t="s">
        <v>5</v>
      </c>
    </row>
    <row r="283" spans="1:3" ht="15.75" thickBot="1">
      <c r="A283" s="6" t="s">
        <v>531</v>
      </c>
      <c r="B283" s="5" t="s">
        <v>532</v>
      </c>
      <c r="C283" s="3" t="s">
        <v>5</v>
      </c>
    </row>
    <row r="284" spans="1:3" ht="15.75" thickBot="1">
      <c r="A284" s="6" t="s">
        <v>533</v>
      </c>
      <c r="B284" s="5" t="s">
        <v>534</v>
      </c>
      <c r="C284" s="3" t="s">
        <v>5</v>
      </c>
    </row>
    <row r="285" spans="1:3" ht="15.75" thickBot="1">
      <c r="A285" s="6" t="s">
        <v>535</v>
      </c>
      <c r="B285" s="5" t="s">
        <v>536</v>
      </c>
      <c r="C285" s="3" t="s">
        <v>5</v>
      </c>
    </row>
    <row r="286" spans="1:3" ht="15.75" thickBot="1">
      <c r="A286" s="6" t="s">
        <v>537</v>
      </c>
      <c r="B286" s="5" t="s">
        <v>538</v>
      </c>
      <c r="C286" s="3" t="s">
        <v>5</v>
      </c>
    </row>
    <row r="287" spans="1:3" ht="15.75" thickBot="1">
      <c r="A287" s="6" t="s">
        <v>539</v>
      </c>
      <c r="B287" s="5" t="s">
        <v>540</v>
      </c>
      <c r="C287" s="3" t="s">
        <v>5</v>
      </c>
    </row>
    <row r="288" spans="1:3" ht="15.75" thickBot="1">
      <c r="A288" s="6" t="s">
        <v>541</v>
      </c>
      <c r="B288" s="5" t="s">
        <v>542</v>
      </c>
      <c r="C288" s="3" t="s">
        <v>5</v>
      </c>
    </row>
    <row r="289" spans="1:3" ht="15.75" thickBot="1">
      <c r="A289" s="6" t="s">
        <v>543</v>
      </c>
      <c r="B289" s="5" t="s">
        <v>544</v>
      </c>
      <c r="C289" s="3" t="s">
        <v>5</v>
      </c>
    </row>
    <row r="290" spans="1:3" ht="15.75" thickBot="1">
      <c r="A290" s="6" t="s">
        <v>545</v>
      </c>
      <c r="B290" s="5" t="e">
        <f xml:space="preserve"> crest factor</f>
        <v>#NAME?</v>
      </c>
      <c r="C290" s="3" t="s">
        <v>5</v>
      </c>
    </row>
    <row r="291" spans="1:3" ht="26.25" thickBot="1">
      <c r="A291" s="6" t="s">
        <v>546</v>
      </c>
      <c r="B291" s="5" t="s">
        <v>547</v>
      </c>
      <c r="C291" s="3" t="s">
        <v>5</v>
      </c>
    </row>
    <row r="292" spans="1:3" ht="15.75" thickBot="1">
      <c r="A292" s="6" t="s">
        <v>548</v>
      </c>
      <c r="B292" s="5" t="s">
        <v>549</v>
      </c>
      <c r="C292" s="3" t="s">
        <v>5</v>
      </c>
    </row>
    <row r="293" spans="1:3" ht="15.75" thickBot="1">
      <c r="A293" s="6" t="s">
        <v>550</v>
      </c>
      <c r="B293" s="5" t="s">
        <v>551</v>
      </c>
      <c r="C293" s="3" t="s">
        <v>5</v>
      </c>
    </row>
    <row r="294" spans="1:3">
      <c r="A294" s="1" t="s">
        <v>552</v>
      </c>
      <c r="B294" s="2" t="s">
        <v>553</v>
      </c>
      <c r="C294" s="3" t="s">
        <v>5</v>
      </c>
    </row>
    <row r="295" spans="1:3" ht="15.75" thickBot="1">
      <c r="A295" s="4"/>
      <c r="B295" s="5" t="s">
        <v>554</v>
      </c>
      <c r="C295" s="3" t="s">
        <v>5</v>
      </c>
    </row>
    <row r="296" spans="1:3">
      <c r="A296" s="1" t="s">
        <v>555</v>
      </c>
      <c r="B296" s="2" t="s">
        <v>556</v>
      </c>
      <c r="C296" s="3" t="s">
        <v>5</v>
      </c>
    </row>
    <row r="297" spans="1:3" ht="15.75" thickBot="1">
      <c r="A297" s="4"/>
      <c r="B297" s="5" t="s">
        <v>557</v>
      </c>
      <c r="C297" s="3" t="s">
        <v>5</v>
      </c>
    </row>
    <row r="298" spans="1:3" ht="15.75" thickBot="1">
      <c r="A298" s="6" t="s">
        <v>558</v>
      </c>
      <c r="B298" s="5" t="s">
        <v>559</v>
      </c>
      <c r="C298" s="3" t="s">
        <v>5</v>
      </c>
    </row>
    <row r="299" spans="1:3" ht="15.75" thickBot="1">
      <c r="A299" s="6" t="s">
        <v>560</v>
      </c>
      <c r="B299" s="5" t="s">
        <v>561</v>
      </c>
      <c r="C299" s="3" t="s">
        <v>5</v>
      </c>
    </row>
    <row r="300" spans="1:3" ht="15.75" thickBot="1">
      <c r="A300" s="6" t="s">
        <v>562</v>
      </c>
      <c r="B300" s="5" t="s">
        <v>563</v>
      </c>
      <c r="C300" s="3" t="s">
        <v>5</v>
      </c>
    </row>
    <row r="301" spans="1:3" ht="15.75" thickBot="1">
      <c r="A301" s="6" t="s">
        <v>564</v>
      </c>
      <c r="B301" s="5" t="s">
        <v>565</v>
      </c>
      <c r="C301" s="3" t="s">
        <v>5</v>
      </c>
    </row>
    <row r="302" spans="1:3" ht="15.75" thickBot="1">
      <c r="A302" s="6" t="s">
        <v>566</v>
      </c>
      <c r="B302" s="5" t="s">
        <v>567</v>
      </c>
      <c r="C302" s="3" t="s">
        <v>5</v>
      </c>
    </row>
    <row r="303" spans="1:3" ht="15.75" thickBot="1">
      <c r="A303" s="6" t="s">
        <v>568</v>
      </c>
      <c r="B303" s="5" t="s">
        <v>569</v>
      </c>
      <c r="C303" s="3" t="s">
        <v>5</v>
      </c>
    </row>
    <row r="304" spans="1:3" ht="15.75" thickBot="1">
      <c r="A304" s="6" t="s">
        <v>570</v>
      </c>
      <c r="B304" s="5" t="s">
        <v>571</v>
      </c>
      <c r="C304" s="3" t="s">
        <v>5</v>
      </c>
    </row>
    <row r="305" spans="1:3" ht="15.75" thickBot="1">
      <c r="A305" s="6" t="s">
        <v>572</v>
      </c>
      <c r="B305" s="5" t="s">
        <v>573</v>
      </c>
      <c r="C305" s="3" t="s">
        <v>5</v>
      </c>
    </row>
    <row r="306" spans="1:3" ht="15.75" thickBot="1">
      <c r="A306" s="6" t="s">
        <v>574</v>
      </c>
      <c r="B306" s="5" t="s">
        <v>575</v>
      </c>
      <c r="C306" s="3" t="s">
        <v>5</v>
      </c>
    </row>
    <row r="307" spans="1:3" ht="15.75" thickBot="1">
      <c r="A307" s="6" t="s">
        <v>576</v>
      </c>
      <c r="B307" s="5" t="s">
        <v>577</v>
      </c>
      <c r="C307" s="3" t="s">
        <v>5</v>
      </c>
    </row>
    <row r="308" spans="1:3" ht="15.75" thickBot="1">
      <c r="A308" s="6" t="s">
        <v>578</v>
      </c>
      <c r="B308" s="5" t="s">
        <v>579</v>
      </c>
      <c r="C308" s="3" t="s">
        <v>5</v>
      </c>
    </row>
    <row r="309" spans="1:3" ht="15.75" thickBot="1">
      <c r="A309" s="6" t="s">
        <v>580</v>
      </c>
      <c r="B309" s="5" t="s">
        <v>581</v>
      </c>
      <c r="C309" s="3" t="s">
        <v>5</v>
      </c>
    </row>
    <row r="310" spans="1:3" ht="15.75" thickBot="1">
      <c r="A310" s="6" t="s">
        <v>582</v>
      </c>
      <c r="B310" s="5" t="s">
        <v>583</v>
      </c>
      <c r="C310" s="3" t="s">
        <v>5</v>
      </c>
    </row>
    <row r="311" spans="1:3" ht="15.75" thickBot="1">
      <c r="A311" s="6" t="s">
        <v>584</v>
      </c>
      <c r="B311" s="5" t="s">
        <v>585</v>
      </c>
      <c r="C311" s="3" t="s">
        <v>5</v>
      </c>
    </row>
    <row r="312" spans="1:3" ht="15.75" thickBot="1">
      <c r="A312" s="6" t="s">
        <v>586</v>
      </c>
      <c r="B312" s="5" t="s">
        <v>587</v>
      </c>
      <c r="C312" s="3" t="s">
        <v>5</v>
      </c>
    </row>
    <row r="313" spans="1:3" ht="15.75" thickBot="1">
      <c r="A313" s="6" t="s">
        <v>588</v>
      </c>
      <c r="B313" s="5" t="s">
        <v>589</v>
      </c>
      <c r="C313" s="3" t="s">
        <v>5</v>
      </c>
    </row>
    <row r="314" spans="1:3" ht="15.75" thickBot="1">
      <c r="A314" s="6" t="s">
        <v>590</v>
      </c>
      <c r="B314" s="5" t="s">
        <v>591</v>
      </c>
      <c r="C314" s="3" t="s">
        <v>5</v>
      </c>
    </row>
    <row r="315" spans="1:3" ht="15.75" thickBot="1">
      <c r="A315" s="6" t="s">
        <v>592</v>
      </c>
      <c r="B315" s="5" t="s">
        <v>593</v>
      </c>
      <c r="C315" s="3" t="s">
        <v>5</v>
      </c>
    </row>
    <row r="316" spans="1:3" ht="15.75" thickBot="1">
      <c r="A316" s="6" t="s">
        <v>594</v>
      </c>
      <c r="B316" s="5" t="s">
        <v>595</v>
      </c>
      <c r="C316" s="3" t="s">
        <v>5</v>
      </c>
    </row>
    <row r="317" spans="1:3" ht="15.75" thickBot="1">
      <c r="A317" s="6" t="s">
        <v>596</v>
      </c>
      <c r="B317" s="5" t="s">
        <v>597</v>
      </c>
      <c r="C317" s="3" t="s">
        <v>5</v>
      </c>
    </row>
    <row r="318" spans="1:3" ht="15.75" thickBot="1">
      <c r="A318" s="6" t="s">
        <v>598</v>
      </c>
      <c r="B318" s="5" t="s">
        <v>599</v>
      </c>
      <c r="C318" s="3" t="s">
        <v>5</v>
      </c>
    </row>
    <row r="319" spans="1:3" ht="15.75" thickBot="1">
      <c r="A319" s="6" t="s">
        <v>600</v>
      </c>
      <c r="B319" s="5" t="s">
        <v>601</v>
      </c>
      <c r="C319" s="3" t="s">
        <v>5</v>
      </c>
    </row>
    <row r="320" spans="1:3" ht="15.75" thickBot="1">
      <c r="A320" s="6" t="s">
        <v>602</v>
      </c>
      <c r="B320" s="5" t="s">
        <v>603</v>
      </c>
      <c r="C320" s="3" t="s">
        <v>5</v>
      </c>
    </row>
    <row r="321" spans="1:3" ht="15.75" thickBot="1">
      <c r="A321" s="6" t="s">
        <v>604</v>
      </c>
      <c r="B321" s="5" t="s">
        <v>605</v>
      </c>
      <c r="C321" s="3" t="s">
        <v>5</v>
      </c>
    </row>
    <row r="322" spans="1:3" ht="15.75" thickBot="1">
      <c r="A322" s="6" t="s">
        <v>606</v>
      </c>
      <c r="B322" s="5" t="s">
        <v>607</v>
      </c>
      <c r="C322" s="3" t="s">
        <v>5</v>
      </c>
    </row>
    <row r="323" spans="1:3" ht="15.75" thickBot="1">
      <c r="A323" s="6" t="s">
        <v>608</v>
      </c>
      <c r="B323" s="5" t="s">
        <v>609</v>
      </c>
      <c r="C323" s="3" t="s">
        <v>5</v>
      </c>
    </row>
    <row r="324" spans="1:3" ht="15.75" thickBot="1">
      <c r="A324" s="6" t="s">
        <v>610</v>
      </c>
      <c r="B324" s="5" t="s">
        <v>611</v>
      </c>
      <c r="C324" s="3" t="s">
        <v>5</v>
      </c>
    </row>
    <row r="325" spans="1:3" ht="15.75" thickBot="1">
      <c r="A325" s="6" t="s">
        <v>612</v>
      </c>
      <c r="B325" s="5" t="s">
        <v>613</v>
      </c>
      <c r="C325" s="3" t="s">
        <v>5</v>
      </c>
    </row>
    <row r="326" spans="1:3" ht="15.75" thickBot="1">
      <c r="A326" s="6" t="s">
        <v>614</v>
      </c>
      <c r="B326" s="5" t="s">
        <v>615</v>
      </c>
      <c r="C326" s="3" t="s">
        <v>5</v>
      </c>
    </row>
    <row r="327" spans="1:3" ht="15.75" thickBot="1">
      <c r="A327" s="6" t="s">
        <v>616</v>
      </c>
      <c r="B327" s="5" t="s">
        <v>617</v>
      </c>
      <c r="C327" s="3" t="s">
        <v>5</v>
      </c>
    </row>
    <row r="328" spans="1:3" ht="15.75" thickBot="1">
      <c r="A328" s="6" t="s">
        <v>618</v>
      </c>
      <c r="B328" s="5" t="s">
        <v>619</v>
      </c>
      <c r="C328" s="3" t="s">
        <v>5</v>
      </c>
    </row>
    <row r="329" spans="1:3" ht="15.75" thickBot="1">
      <c r="A329" s="6" t="s">
        <v>620</v>
      </c>
      <c r="B329" s="5" t="s">
        <v>621</v>
      </c>
      <c r="C329" s="3" t="s">
        <v>5</v>
      </c>
    </row>
    <row r="330" spans="1:3" ht="15.75" thickBot="1">
      <c r="A330" s="6" t="s">
        <v>622</v>
      </c>
      <c r="B330" s="5" t="s">
        <v>623</v>
      </c>
      <c r="C330" s="3" t="s">
        <v>5</v>
      </c>
    </row>
    <row r="331" spans="1:3" ht="15.75" thickBot="1">
      <c r="A331" s="6" t="s">
        <v>624</v>
      </c>
      <c r="B331" s="5" t="s">
        <v>625</v>
      </c>
      <c r="C331" s="3" t="s">
        <v>5</v>
      </c>
    </row>
    <row r="332" spans="1:3" ht="15.75" thickBot="1">
      <c r="A332" s="6" t="s">
        <v>626</v>
      </c>
      <c r="B332" s="5" t="s">
        <v>627</v>
      </c>
      <c r="C332" s="3" t="s">
        <v>5</v>
      </c>
    </row>
    <row r="333" spans="1:3" ht="15.75" thickBot="1">
      <c r="A333" s="6" t="s">
        <v>628</v>
      </c>
      <c r="B333" s="5" t="s">
        <v>629</v>
      </c>
      <c r="C333" s="3" t="s">
        <v>5</v>
      </c>
    </row>
    <row r="334" spans="1:3" ht="15.75" thickBot="1">
      <c r="A334" s="6" t="s">
        <v>630</v>
      </c>
      <c r="B334" s="5" t="s">
        <v>631</v>
      </c>
      <c r="C334" s="3" t="s">
        <v>5</v>
      </c>
    </row>
    <row r="335" spans="1:3" ht="15.75" thickBot="1">
      <c r="A335" s="6" t="s">
        <v>632</v>
      </c>
      <c r="B335" s="5" t="s">
        <v>633</v>
      </c>
      <c r="C335" s="3" t="s">
        <v>5</v>
      </c>
    </row>
    <row r="336" spans="1:3" ht="15.75" thickBot="1">
      <c r="A336" s="6" t="s">
        <v>634</v>
      </c>
      <c r="B336" s="5" t="s">
        <v>635</v>
      </c>
      <c r="C336" s="3" t="s">
        <v>5</v>
      </c>
    </row>
    <row r="337" spans="1:3" ht="15.75" thickBot="1">
      <c r="A337" s="6" t="s">
        <v>636</v>
      </c>
      <c r="B337" s="5" t="s">
        <v>637</v>
      </c>
      <c r="C337" s="3" t="s">
        <v>5</v>
      </c>
    </row>
    <row r="338" spans="1:3" ht="15.75" thickBot="1">
      <c r="A338" s="6" t="s">
        <v>638</v>
      </c>
      <c r="B338" s="5" t="s">
        <v>639</v>
      </c>
      <c r="C338" s="3" t="s">
        <v>5</v>
      </c>
    </row>
    <row r="339" spans="1:3" ht="15.75" thickBot="1">
      <c r="A339" s="6" t="s">
        <v>640</v>
      </c>
      <c r="B339" s="5" t="s">
        <v>641</v>
      </c>
      <c r="C339" s="3" t="s">
        <v>5</v>
      </c>
    </row>
    <row r="340" spans="1:3" ht="15.75" thickBot="1">
      <c r="A340" s="6" t="s">
        <v>642</v>
      </c>
      <c r="B340" s="5" t="s">
        <v>643</v>
      </c>
      <c r="C340" s="3" t="s">
        <v>5</v>
      </c>
    </row>
    <row r="341" spans="1:3" ht="15.75" thickBot="1">
      <c r="A341" s="6" t="s">
        <v>644</v>
      </c>
      <c r="B341" s="5" t="s">
        <v>645</v>
      </c>
      <c r="C341" s="3" t="s">
        <v>5</v>
      </c>
    </row>
    <row r="342" spans="1:3" ht="15.75" thickBot="1">
      <c r="A342" s="6" t="s">
        <v>646</v>
      </c>
      <c r="B342" s="5" t="s">
        <v>647</v>
      </c>
      <c r="C342" s="3" t="s">
        <v>5</v>
      </c>
    </row>
    <row r="343" spans="1:3" ht="26.25" thickBot="1">
      <c r="A343" s="6" t="s">
        <v>648</v>
      </c>
      <c r="B343" s="5" t="s">
        <v>649</v>
      </c>
      <c r="C343" s="3" t="s">
        <v>5</v>
      </c>
    </row>
    <row r="344" spans="1:3" ht="15.75" thickBot="1">
      <c r="A344" s="6" t="s">
        <v>650</v>
      </c>
      <c r="B344" s="5" t="s">
        <v>651</v>
      </c>
      <c r="C344" s="3" t="s">
        <v>5</v>
      </c>
    </row>
    <row r="345" spans="1:3" ht="15.75" thickBot="1">
      <c r="A345" s="6" t="s">
        <v>652</v>
      </c>
      <c r="B345" s="5" t="s">
        <v>653</v>
      </c>
      <c r="C345" s="3" t="s">
        <v>5</v>
      </c>
    </row>
    <row r="346" spans="1:3">
      <c r="A346" s="1" t="s">
        <v>654</v>
      </c>
      <c r="B346" s="2" t="s">
        <v>655</v>
      </c>
      <c r="C346" s="3" t="s">
        <v>5</v>
      </c>
    </row>
    <row r="347" spans="1:3" ht="15.75" thickBot="1">
      <c r="A347" s="4"/>
      <c r="B347" s="5" t="s">
        <v>656</v>
      </c>
      <c r="C347" s="3" t="s">
        <v>5</v>
      </c>
    </row>
    <row r="348" spans="1:3" ht="15.75" thickBot="1">
      <c r="A348" s="6" t="s">
        <v>657</v>
      </c>
      <c r="B348" s="5" t="s">
        <v>658</v>
      </c>
      <c r="C348" s="3" t="s">
        <v>5</v>
      </c>
    </row>
    <row r="349" spans="1:3">
      <c r="A349" s="1" t="s">
        <v>659</v>
      </c>
      <c r="B349" s="2" t="s">
        <v>660</v>
      </c>
      <c r="C349" s="3" t="s">
        <v>5</v>
      </c>
    </row>
    <row r="350" spans="1:3" ht="15.75" thickBot="1">
      <c r="A350" s="4"/>
      <c r="B350" s="5" t="s">
        <v>661</v>
      </c>
      <c r="C350" s="3" t="s">
        <v>5</v>
      </c>
    </row>
    <row r="351" spans="1:3" ht="15.75" thickBot="1">
      <c r="A351" s="6" t="s">
        <v>662</v>
      </c>
      <c r="B351" s="5" t="s">
        <v>663</v>
      </c>
      <c r="C351" s="3" t="s">
        <v>5</v>
      </c>
    </row>
    <row r="352" spans="1:3" ht="15.75" thickBot="1">
      <c r="A352" s="6" t="s">
        <v>664</v>
      </c>
      <c r="B352" s="5" t="s">
        <v>665</v>
      </c>
      <c r="C352" s="3" t="s">
        <v>5</v>
      </c>
    </row>
    <row r="353" spans="1:3" ht="15.75" thickBot="1">
      <c r="A353" s="6" t="s">
        <v>666</v>
      </c>
      <c r="B353" s="5" t="s">
        <v>667</v>
      </c>
      <c r="C353" s="3" t="s">
        <v>5</v>
      </c>
    </row>
    <row r="354" spans="1:3" ht="15.75" thickBot="1">
      <c r="A354" s="6" t="s">
        <v>668</v>
      </c>
      <c r="B354" s="5" t="s">
        <v>669</v>
      </c>
      <c r="C354" s="3" t="s">
        <v>5</v>
      </c>
    </row>
    <row r="355" spans="1:3" ht="15.75" thickBot="1">
      <c r="A355" s="6" t="s">
        <v>670</v>
      </c>
      <c r="B355" s="5" t="s">
        <v>671</v>
      </c>
      <c r="C355" s="3" t="s">
        <v>5</v>
      </c>
    </row>
    <row r="356" spans="1:3" ht="15.75" thickBot="1">
      <c r="A356" s="6" t="s">
        <v>672</v>
      </c>
      <c r="B356" s="5" t="s">
        <v>673</v>
      </c>
      <c r="C356" s="3" t="s">
        <v>5</v>
      </c>
    </row>
    <row r="357" spans="1:3" ht="15.75" thickBot="1">
      <c r="A357" s="6" t="s">
        <v>674</v>
      </c>
      <c r="B357" s="5" t="s">
        <v>675</v>
      </c>
      <c r="C357" s="3" t="s">
        <v>5</v>
      </c>
    </row>
    <row r="358" spans="1:3">
      <c r="A358" s="1" t="s">
        <v>676</v>
      </c>
      <c r="B358" s="2" t="s">
        <v>677</v>
      </c>
      <c r="C358" s="3" t="s">
        <v>5</v>
      </c>
    </row>
    <row r="359" spans="1:3" ht="192" thickBot="1">
      <c r="A359" s="4"/>
      <c r="B359" s="5" t="s">
        <v>678</v>
      </c>
      <c r="C359" s="3" t="s">
        <v>5</v>
      </c>
    </row>
    <row r="360" spans="1:3" ht="15.75" thickBot="1">
      <c r="A360" s="6" t="s">
        <v>679</v>
      </c>
      <c r="B360" s="5" t="s">
        <v>680</v>
      </c>
      <c r="C360" s="3" t="s">
        <v>5</v>
      </c>
    </row>
    <row r="361" spans="1:3" ht="15.75" thickBot="1">
      <c r="A361" s="6" t="s">
        <v>681</v>
      </c>
      <c r="B361" s="5" t="s">
        <v>682</v>
      </c>
      <c r="C361" s="3" t="s">
        <v>5</v>
      </c>
    </row>
    <row r="362" spans="1:3" ht="15.75" thickBot="1">
      <c r="A362" s="6" t="s">
        <v>683</v>
      </c>
      <c r="B362" s="5" t="s">
        <v>684</v>
      </c>
      <c r="C362" s="3" t="s">
        <v>5</v>
      </c>
    </row>
    <row r="363" spans="1:3" ht="15.75" thickBot="1">
      <c r="A363" s="6" t="s">
        <v>685</v>
      </c>
      <c r="B363" s="5" t="s">
        <v>686</v>
      </c>
      <c r="C363" s="3" t="s">
        <v>5</v>
      </c>
    </row>
    <row r="364" spans="1:3" ht="15.75" thickBot="1">
      <c r="A364" s="6" t="s">
        <v>687</v>
      </c>
      <c r="B364" s="5" t="s">
        <v>688</v>
      </c>
      <c r="C364" s="3" t="s">
        <v>5</v>
      </c>
    </row>
    <row r="365" spans="1:3" ht="15.75" thickBot="1">
      <c r="A365" s="6" t="s">
        <v>689</v>
      </c>
      <c r="B365" s="5" t="s">
        <v>690</v>
      </c>
      <c r="C365" s="3" t="s">
        <v>5</v>
      </c>
    </row>
    <row r="366" spans="1:3" ht="15.75" thickBot="1">
      <c r="A366" s="6" t="s">
        <v>691</v>
      </c>
      <c r="B366" s="5" t="s">
        <v>692</v>
      </c>
      <c r="C366" s="3" t="s">
        <v>5</v>
      </c>
    </row>
    <row r="367" spans="1:3" ht="15.75" thickBot="1">
      <c r="A367" s="6" t="s">
        <v>693</v>
      </c>
      <c r="B367" s="5" t="s">
        <v>694</v>
      </c>
      <c r="C367" s="3" t="s">
        <v>5</v>
      </c>
    </row>
    <row r="368" spans="1:3" ht="15.75" thickBot="1">
      <c r="A368" s="6" t="s">
        <v>695</v>
      </c>
      <c r="B368" s="5" t="s">
        <v>696</v>
      </c>
      <c r="C368" s="3" t="s">
        <v>5</v>
      </c>
    </row>
    <row r="369" spans="1:3" ht="15.75" thickBot="1">
      <c r="A369" s="6" t="s">
        <v>697</v>
      </c>
      <c r="B369" s="5" t="s">
        <v>698</v>
      </c>
      <c r="C369" s="3" t="s">
        <v>5</v>
      </c>
    </row>
    <row r="370" spans="1:3" ht="15.75" thickBot="1">
      <c r="A370" s="6" t="s">
        <v>699</v>
      </c>
      <c r="B370" s="5" t="s">
        <v>700</v>
      </c>
      <c r="C370" s="3" t="s">
        <v>5</v>
      </c>
    </row>
    <row r="371" spans="1:3" ht="15.75" thickBot="1">
      <c r="A371" s="6" t="s">
        <v>701</v>
      </c>
      <c r="B371" s="5" t="s">
        <v>702</v>
      </c>
      <c r="C371" s="3" t="s">
        <v>5</v>
      </c>
    </row>
    <row r="372" spans="1:3" ht="15.75" thickBot="1">
      <c r="A372" s="6" t="s">
        <v>703</v>
      </c>
      <c r="B372" s="5" t="s">
        <v>704</v>
      </c>
      <c r="C372" s="3" t="s">
        <v>5</v>
      </c>
    </row>
    <row r="373" spans="1:3" ht="15.75" thickBot="1">
      <c r="A373" s="6" t="s">
        <v>705</v>
      </c>
      <c r="B373" s="5" t="s">
        <v>706</v>
      </c>
      <c r="C373" s="3" t="s">
        <v>5</v>
      </c>
    </row>
    <row r="374" spans="1:3" ht="15.75" thickBot="1">
      <c r="A374" s="6" t="s">
        <v>707</v>
      </c>
      <c r="B374" s="5" t="s">
        <v>708</v>
      </c>
      <c r="C374" s="3" t="s">
        <v>5</v>
      </c>
    </row>
    <row r="375" spans="1:3" ht="15.75" thickBot="1">
      <c r="A375" s="6" t="s">
        <v>709</v>
      </c>
      <c r="B375" s="5" t="s">
        <v>710</v>
      </c>
      <c r="C375" s="3" t="s">
        <v>5</v>
      </c>
    </row>
    <row r="376" spans="1:3" ht="15.75" thickBot="1">
      <c r="A376" s="6" t="s">
        <v>711</v>
      </c>
      <c r="B376" s="5" t="s">
        <v>712</v>
      </c>
      <c r="C376" s="3" t="s">
        <v>5</v>
      </c>
    </row>
    <row r="377" spans="1:3" ht="26.25" thickBot="1">
      <c r="A377" s="6" t="s">
        <v>713</v>
      </c>
      <c r="B377" s="5" t="s">
        <v>714</v>
      </c>
      <c r="C377" s="3" t="s">
        <v>5</v>
      </c>
    </row>
    <row r="378" spans="1:3" ht="15.75" thickBot="1">
      <c r="A378" s="6" t="s">
        <v>715</v>
      </c>
      <c r="B378" s="5" t="s">
        <v>716</v>
      </c>
      <c r="C378" s="3" t="s">
        <v>5</v>
      </c>
    </row>
    <row r="379" spans="1:3" ht="15.75" thickBot="1">
      <c r="A379" s="6" t="s">
        <v>717</v>
      </c>
      <c r="B379" s="5" t="s">
        <v>718</v>
      </c>
      <c r="C379" s="3" t="s">
        <v>5</v>
      </c>
    </row>
    <row r="380" spans="1:3" ht="15.75" thickBot="1">
      <c r="A380" s="6" t="s">
        <v>719</v>
      </c>
      <c r="B380" s="5" t="s">
        <v>720</v>
      </c>
      <c r="C380" s="3" t="s">
        <v>5</v>
      </c>
    </row>
    <row r="381" spans="1:3" ht="15.75" thickBot="1">
      <c r="A381" s="6" t="s">
        <v>721</v>
      </c>
      <c r="B381" s="5" t="s">
        <v>722</v>
      </c>
      <c r="C381" s="3" t="s">
        <v>5</v>
      </c>
    </row>
    <row r="382" spans="1:3" ht="15.75" thickBot="1">
      <c r="A382" s="6" t="s">
        <v>723</v>
      </c>
      <c r="B382" s="5" t="s">
        <v>724</v>
      </c>
      <c r="C382" s="3" t="s">
        <v>5</v>
      </c>
    </row>
    <row r="383" spans="1:3" ht="15.75" thickBot="1">
      <c r="A383" s="6" t="s">
        <v>725</v>
      </c>
      <c r="B383" s="5" t="s">
        <v>726</v>
      </c>
      <c r="C383" s="3" t="s">
        <v>5</v>
      </c>
    </row>
    <row r="384" spans="1:3" ht="15.75" thickBot="1">
      <c r="A384" s="6" t="s">
        <v>727</v>
      </c>
      <c r="B384" s="5" t="s">
        <v>728</v>
      </c>
      <c r="C384" s="3" t="s">
        <v>5</v>
      </c>
    </row>
    <row r="385" spans="1:3" ht="15.75" thickBot="1">
      <c r="A385" s="6" t="s">
        <v>729</v>
      </c>
      <c r="B385" s="5" t="s">
        <v>730</v>
      </c>
      <c r="C385" s="3" t="s">
        <v>5</v>
      </c>
    </row>
    <row r="386" spans="1:3" ht="15.75" thickBot="1">
      <c r="A386" s="6" t="s">
        <v>731</v>
      </c>
      <c r="B386" s="5" t="s">
        <v>732</v>
      </c>
      <c r="C386" s="3" t="s">
        <v>5</v>
      </c>
    </row>
    <row r="387" spans="1:3" ht="15.75" thickBot="1">
      <c r="A387" s="6" t="s">
        <v>733</v>
      </c>
      <c r="B387" s="5" t="s">
        <v>734</v>
      </c>
      <c r="C387" s="3" t="s">
        <v>5</v>
      </c>
    </row>
    <row r="388" spans="1:3" ht="15.75" thickBot="1">
      <c r="A388" s="6" t="s">
        <v>735</v>
      </c>
      <c r="B388" s="5" t="s">
        <v>736</v>
      </c>
      <c r="C388" s="3" t="s">
        <v>5</v>
      </c>
    </row>
    <row r="389" spans="1:3" ht="15.75" thickBot="1">
      <c r="A389" s="6" t="s">
        <v>737</v>
      </c>
      <c r="B389" s="5" t="s">
        <v>738</v>
      </c>
      <c r="C389" s="3" t="s">
        <v>5</v>
      </c>
    </row>
    <row r="390" spans="1:3" ht="15.75" thickBot="1">
      <c r="A390" s="6" t="s">
        <v>739</v>
      </c>
      <c r="B390" s="5" t="s">
        <v>740</v>
      </c>
      <c r="C390" s="3" t="s">
        <v>5</v>
      </c>
    </row>
    <row r="391" spans="1:3" ht="15.75" thickBot="1">
      <c r="A391" s="6" t="s">
        <v>741</v>
      </c>
      <c r="B391" s="5" t="s">
        <v>742</v>
      </c>
      <c r="C391" s="3" t="s">
        <v>5</v>
      </c>
    </row>
    <row r="392" spans="1:3" ht="15.75" thickBot="1">
      <c r="A392" s="6" t="s">
        <v>743</v>
      </c>
      <c r="B392" s="5" t="s">
        <v>744</v>
      </c>
      <c r="C392" s="3" t="s">
        <v>5</v>
      </c>
    </row>
    <row r="393" spans="1:3" ht="15.75" thickBot="1">
      <c r="A393" s="6" t="s">
        <v>745</v>
      </c>
      <c r="B393" s="5" t="s">
        <v>746</v>
      </c>
      <c r="C393" s="3" t="s">
        <v>5</v>
      </c>
    </row>
    <row r="394" spans="1:3" ht="15.75" thickBot="1">
      <c r="A394" s="6" t="s">
        <v>747</v>
      </c>
      <c r="B394" s="5" t="s">
        <v>748</v>
      </c>
      <c r="C394" s="3" t="s">
        <v>5</v>
      </c>
    </row>
    <row r="395" spans="1:3" ht="15.75" thickBot="1">
      <c r="A395" s="6" t="s">
        <v>749</v>
      </c>
      <c r="B395" s="5" t="s">
        <v>750</v>
      </c>
      <c r="C395" s="3" t="s">
        <v>5</v>
      </c>
    </row>
    <row r="396" spans="1:3" ht="26.25" thickBot="1">
      <c r="A396" s="6" t="s">
        <v>751</v>
      </c>
      <c r="B396" s="5" t="s">
        <v>752</v>
      </c>
      <c r="C396" s="3" t="s">
        <v>5</v>
      </c>
    </row>
    <row r="397" spans="1:3" ht="15.75" thickBot="1">
      <c r="A397" s="6" t="s">
        <v>753</v>
      </c>
      <c r="B397" s="5" t="s">
        <v>754</v>
      </c>
      <c r="C397" s="3" t="s">
        <v>5</v>
      </c>
    </row>
    <row r="398" spans="1:3" ht="15.75" thickBot="1">
      <c r="A398" s="6" t="s">
        <v>755</v>
      </c>
      <c r="B398" s="5" t="s">
        <v>756</v>
      </c>
      <c r="C398" s="3" t="s">
        <v>5</v>
      </c>
    </row>
    <row r="399" spans="1:3" ht="15.75" thickBot="1">
      <c r="A399" s="6" t="s">
        <v>757</v>
      </c>
      <c r="B399" s="5" t="s">
        <v>758</v>
      </c>
      <c r="C399" s="3" t="s">
        <v>5</v>
      </c>
    </row>
    <row r="400" spans="1:3" ht="15.75" thickBot="1">
      <c r="A400" s="6" t="s">
        <v>759</v>
      </c>
      <c r="B400" s="5" t="s">
        <v>760</v>
      </c>
      <c r="C400" s="3" t="s">
        <v>5</v>
      </c>
    </row>
    <row r="401" spans="1:3" ht="15.75" thickBot="1">
      <c r="A401" s="6" t="s">
        <v>761</v>
      </c>
      <c r="B401" s="5" t="s">
        <v>762</v>
      </c>
      <c r="C401" s="3" t="s">
        <v>5</v>
      </c>
    </row>
    <row r="402" spans="1:3" ht="15.75" thickBot="1">
      <c r="A402" s="6" t="s">
        <v>763</v>
      </c>
      <c r="B402" s="5" t="s">
        <v>764</v>
      </c>
      <c r="C402" s="3" t="s">
        <v>5</v>
      </c>
    </row>
    <row r="403" spans="1:3" ht="15.75" thickBot="1">
      <c r="A403" s="6" t="s">
        <v>765</v>
      </c>
      <c r="B403" s="5" t="s">
        <v>766</v>
      </c>
      <c r="C403" s="3" t="s">
        <v>5</v>
      </c>
    </row>
    <row r="404" spans="1:3" ht="15.75" thickBot="1">
      <c r="A404" s="6" t="s">
        <v>767</v>
      </c>
      <c r="B404" s="5" t="s">
        <v>768</v>
      </c>
      <c r="C404" s="3" t="s">
        <v>5</v>
      </c>
    </row>
    <row r="405" spans="1:3" ht="15.75" thickBot="1">
      <c r="A405" s="6" t="s">
        <v>769</v>
      </c>
      <c r="B405" s="5" t="s">
        <v>770</v>
      </c>
      <c r="C405" s="3" t="s">
        <v>5</v>
      </c>
    </row>
    <row r="406" spans="1:3" ht="15.75" thickBot="1">
      <c r="A406" s="6" t="s">
        <v>771</v>
      </c>
      <c r="B406" s="5" t="s">
        <v>772</v>
      </c>
      <c r="C406" s="3" t="s">
        <v>5</v>
      </c>
    </row>
    <row r="407" spans="1:3" ht="15.75" thickBot="1">
      <c r="A407" s="6" t="s">
        <v>773</v>
      </c>
      <c r="B407" s="5" t="s">
        <v>774</v>
      </c>
      <c r="C407" s="3" t="s">
        <v>5</v>
      </c>
    </row>
    <row r="408" spans="1:3" ht="15.75" thickBot="1">
      <c r="A408" s="6" t="s">
        <v>775</v>
      </c>
      <c r="B408" s="5" t="s">
        <v>776</v>
      </c>
      <c r="C408" s="3" t="s">
        <v>5</v>
      </c>
    </row>
    <row r="409" spans="1:3" ht="15.75" thickBot="1">
      <c r="A409" s="6" t="s">
        <v>777</v>
      </c>
      <c r="B409" s="5" t="s">
        <v>778</v>
      </c>
      <c r="C409" s="3" t="s">
        <v>5</v>
      </c>
    </row>
    <row r="410" spans="1:3" ht="15.75" thickBot="1">
      <c r="A410" s="6" t="s">
        <v>779</v>
      </c>
      <c r="B410" s="5" t="s">
        <v>780</v>
      </c>
      <c r="C410" s="3" t="s">
        <v>5</v>
      </c>
    </row>
    <row r="411" spans="1:3" ht="15.75" thickBot="1">
      <c r="A411" s="6" t="s">
        <v>781</v>
      </c>
      <c r="B411" s="5" t="s">
        <v>782</v>
      </c>
      <c r="C411" s="3" t="s">
        <v>5</v>
      </c>
    </row>
    <row r="412" spans="1:3" ht="15.75" thickBot="1">
      <c r="A412" s="6" t="s">
        <v>783</v>
      </c>
      <c r="B412" s="5" t="s">
        <v>784</v>
      </c>
      <c r="C412" s="3" t="s">
        <v>5</v>
      </c>
    </row>
    <row r="413" spans="1:3" ht="15.75" thickBot="1">
      <c r="A413" s="6" t="s">
        <v>785</v>
      </c>
      <c r="B413" s="5" t="s">
        <v>786</v>
      </c>
      <c r="C413" s="3" t="s">
        <v>5</v>
      </c>
    </row>
    <row r="414" spans="1:3" ht="15.75" thickBot="1">
      <c r="A414" s="6" t="s">
        <v>787</v>
      </c>
      <c r="B414" s="5" t="s">
        <v>788</v>
      </c>
      <c r="C414" s="3" t="s">
        <v>5</v>
      </c>
    </row>
    <row r="415" spans="1:3" ht="15.75" thickBot="1">
      <c r="A415" s="6" t="s">
        <v>789</v>
      </c>
      <c r="B415" s="5" t="s">
        <v>790</v>
      </c>
      <c r="C415" s="3" t="s">
        <v>5</v>
      </c>
    </row>
    <row r="416" spans="1:3" ht="15.75" thickBot="1">
      <c r="A416" s="6" t="s">
        <v>791</v>
      </c>
      <c r="B416" s="5" t="s">
        <v>792</v>
      </c>
      <c r="C416" s="3" t="s">
        <v>5</v>
      </c>
    </row>
    <row r="417" spans="1:3" ht="15.75" thickBot="1">
      <c r="A417" s="6" t="s">
        <v>793</v>
      </c>
      <c r="B417" s="5" t="s">
        <v>794</v>
      </c>
      <c r="C417" s="3" t="s">
        <v>5</v>
      </c>
    </row>
    <row r="418" spans="1:3" ht="15.75" thickBot="1">
      <c r="A418" s="6" t="s">
        <v>795</v>
      </c>
      <c r="B418" s="5" t="s">
        <v>796</v>
      </c>
      <c r="C418" s="3" t="s">
        <v>5</v>
      </c>
    </row>
    <row r="419" spans="1:3" ht="15.75" thickBot="1">
      <c r="A419" s="6" t="s">
        <v>797</v>
      </c>
      <c r="B419" s="5" t="s">
        <v>798</v>
      </c>
      <c r="C419" s="3" t="s">
        <v>5</v>
      </c>
    </row>
    <row r="420" spans="1:3" ht="15.75" thickBot="1">
      <c r="A420" s="6" t="s">
        <v>799</v>
      </c>
      <c r="B420" s="5" t="s">
        <v>800</v>
      </c>
      <c r="C420" s="3" t="s">
        <v>5</v>
      </c>
    </row>
    <row r="421" spans="1:3" ht="15.75" thickBot="1">
      <c r="A421" s="6" t="s">
        <v>801</v>
      </c>
      <c r="B421" s="5" t="s">
        <v>802</v>
      </c>
      <c r="C421" s="3" t="s">
        <v>5</v>
      </c>
    </row>
    <row r="422" spans="1:3" ht="15.75" thickBot="1">
      <c r="A422" s="6" t="s">
        <v>803</v>
      </c>
      <c r="B422" s="5" t="s">
        <v>804</v>
      </c>
      <c r="C422" s="3" t="s">
        <v>5</v>
      </c>
    </row>
    <row r="423" spans="1:3" ht="15.75" thickBot="1">
      <c r="A423" s="6" t="s">
        <v>805</v>
      </c>
      <c r="B423" s="5" t="s">
        <v>806</v>
      </c>
      <c r="C423" s="3" t="s">
        <v>5</v>
      </c>
    </row>
    <row r="424" spans="1:3" ht="15.75" thickBot="1">
      <c r="A424" s="6" t="s">
        <v>807</v>
      </c>
      <c r="B424" s="5" t="s">
        <v>804</v>
      </c>
      <c r="C424" s="3" t="s">
        <v>5</v>
      </c>
    </row>
    <row r="425" spans="1:3">
      <c r="A425" s="1" t="s">
        <v>808</v>
      </c>
      <c r="B425" s="2" t="s">
        <v>809</v>
      </c>
      <c r="C425" s="3" t="s">
        <v>5</v>
      </c>
    </row>
    <row r="426" spans="1:3" ht="15.75" thickBot="1">
      <c r="A426" s="4"/>
      <c r="B426" s="5" t="s">
        <v>810</v>
      </c>
      <c r="C426" s="3" t="s">
        <v>5</v>
      </c>
    </row>
    <row r="427" spans="1:3">
      <c r="A427" s="1" t="s">
        <v>808</v>
      </c>
      <c r="B427" s="2" t="s">
        <v>809</v>
      </c>
      <c r="C427" s="3" t="s">
        <v>5</v>
      </c>
    </row>
    <row r="428" spans="1:3" ht="15.75" thickBot="1">
      <c r="A428" s="4"/>
      <c r="B428" s="5" t="s">
        <v>810</v>
      </c>
      <c r="C428" s="3" t="s">
        <v>5</v>
      </c>
    </row>
    <row r="429" spans="1:3" ht="15.75" thickBot="1">
      <c r="A429" s="6" t="s">
        <v>811</v>
      </c>
      <c r="B429" s="5" t="s">
        <v>812</v>
      </c>
      <c r="C429" s="3" t="s">
        <v>5</v>
      </c>
    </row>
    <row r="430" spans="1:3" ht="15.75" thickBot="1">
      <c r="A430" s="6" t="s">
        <v>813</v>
      </c>
      <c r="B430" s="5" t="s">
        <v>814</v>
      </c>
      <c r="C430" s="3" t="s">
        <v>5</v>
      </c>
    </row>
    <row r="431" spans="1:3" ht="15.75" thickBot="1">
      <c r="A431" s="6" t="s">
        <v>815</v>
      </c>
      <c r="B431" s="5" t="s">
        <v>816</v>
      </c>
      <c r="C431" s="3" t="s">
        <v>5</v>
      </c>
    </row>
    <row r="432" spans="1:3" ht="15.75" thickBot="1">
      <c r="A432" s="6" t="s">
        <v>817</v>
      </c>
      <c r="B432" s="5" t="s">
        <v>818</v>
      </c>
      <c r="C432" s="3" t="s">
        <v>5</v>
      </c>
    </row>
    <row r="433" spans="1:3" ht="15.75" thickBot="1">
      <c r="A433" s="6" t="s">
        <v>819</v>
      </c>
      <c r="B433" s="5" t="e">
        <f xml:space="preserve"> arcing contact</f>
        <v>#NAME?</v>
      </c>
      <c r="C433" s="3" t="s">
        <v>5</v>
      </c>
    </row>
    <row r="434" spans="1:3" ht="15.75" thickBot="1">
      <c r="A434" s="6" t="s">
        <v>820</v>
      </c>
      <c r="B434" s="5" t="s">
        <v>806</v>
      </c>
      <c r="C434" s="3" t="s">
        <v>5</v>
      </c>
    </row>
    <row r="435" spans="1:3" ht="15.75" thickBot="1">
      <c r="A435" s="6" t="s">
        <v>821</v>
      </c>
      <c r="B435" s="5" t="s">
        <v>822</v>
      </c>
      <c r="C435" s="3" t="s">
        <v>5</v>
      </c>
    </row>
    <row r="436" spans="1:3" ht="15.75" thickBot="1">
      <c r="A436" s="6" t="s">
        <v>823</v>
      </c>
      <c r="B436" s="5" t="s">
        <v>824</v>
      </c>
      <c r="C436" s="3" t="s">
        <v>5</v>
      </c>
    </row>
    <row r="437" spans="1:3" ht="15.75" thickBot="1">
      <c r="A437" s="6" t="s">
        <v>825</v>
      </c>
      <c r="B437" s="5" t="s">
        <v>826</v>
      </c>
      <c r="C437" s="3" t="s">
        <v>5</v>
      </c>
    </row>
    <row r="438" spans="1:3" ht="15.75" thickBot="1">
      <c r="A438" s="6" t="s">
        <v>827</v>
      </c>
      <c r="B438" s="5" t="s">
        <v>828</v>
      </c>
      <c r="C438" s="3" t="s">
        <v>5</v>
      </c>
    </row>
    <row r="439" spans="1:3" ht="15.75" thickBot="1">
      <c r="A439" s="6" t="s">
        <v>829</v>
      </c>
      <c r="B439" s="5" t="s">
        <v>830</v>
      </c>
      <c r="C439" s="3" t="s">
        <v>5</v>
      </c>
    </row>
    <row r="440" spans="1:3" ht="15.75" thickBot="1">
      <c r="A440" s="6" t="s">
        <v>831</v>
      </c>
      <c r="B440" s="5" t="s">
        <v>832</v>
      </c>
      <c r="C440" s="3" t="s">
        <v>5</v>
      </c>
    </row>
    <row r="441" spans="1:3" ht="15.75" thickBot="1">
      <c r="A441" s="6" t="s">
        <v>833</v>
      </c>
      <c r="B441" s="5" t="s">
        <v>834</v>
      </c>
      <c r="C441" s="3" t="s">
        <v>5</v>
      </c>
    </row>
    <row r="442" spans="1:3" ht="15.75" thickBot="1">
      <c r="A442" s="6" t="s">
        <v>835</v>
      </c>
      <c r="B442" s="5" t="s">
        <v>836</v>
      </c>
      <c r="C442" s="3" t="s">
        <v>5</v>
      </c>
    </row>
    <row r="443" spans="1:3" ht="15.75" thickBot="1">
      <c r="A443" s="6" t="s">
        <v>837</v>
      </c>
      <c r="B443" s="5" t="s">
        <v>838</v>
      </c>
      <c r="C443" s="3" t="s">
        <v>5</v>
      </c>
    </row>
    <row r="444" spans="1:3" ht="15.75" thickBot="1">
      <c r="A444" s="6" t="s">
        <v>839</v>
      </c>
      <c r="B444" s="5" t="s">
        <v>840</v>
      </c>
      <c r="C444" s="3" t="s">
        <v>5</v>
      </c>
    </row>
    <row r="445" spans="1:3" ht="15.75" thickBot="1">
      <c r="A445" s="6" t="s">
        <v>841</v>
      </c>
      <c r="B445" s="5" t="s">
        <v>842</v>
      </c>
      <c r="C445" s="3" t="s">
        <v>5</v>
      </c>
    </row>
    <row r="446" spans="1:3" ht="15.75" thickBot="1">
      <c r="A446" s="6" t="s">
        <v>843</v>
      </c>
      <c r="B446" s="5" t="s">
        <v>844</v>
      </c>
      <c r="C446" s="3" t="s">
        <v>5</v>
      </c>
    </row>
    <row r="447" spans="1:3" ht="15.75" thickBot="1">
      <c r="A447" s="6" t="s">
        <v>845</v>
      </c>
      <c r="B447" s="5" t="s">
        <v>846</v>
      </c>
      <c r="C447" s="3" t="s">
        <v>5</v>
      </c>
    </row>
    <row r="448" spans="1:3" ht="15.75" thickBot="1">
      <c r="A448" s="6" t="s">
        <v>847</v>
      </c>
      <c r="B448" s="5" t="s">
        <v>848</v>
      </c>
      <c r="C448" s="3" t="s">
        <v>5</v>
      </c>
    </row>
    <row r="449" spans="1:3" ht="15.75" thickBot="1">
      <c r="A449" s="6" t="s">
        <v>849</v>
      </c>
      <c r="B449" s="5" t="s">
        <v>850</v>
      </c>
      <c r="C449" s="3" t="s">
        <v>5</v>
      </c>
    </row>
    <row r="450" spans="1:3" ht="15.75" thickBot="1">
      <c r="A450" s="6" t="s">
        <v>851</v>
      </c>
      <c r="B450" s="5" t="s">
        <v>852</v>
      </c>
      <c r="C450" s="3" t="s">
        <v>5</v>
      </c>
    </row>
    <row r="451" spans="1:3" ht="15.75" thickBot="1">
      <c r="A451" s="6" t="s">
        <v>853</v>
      </c>
      <c r="B451" s="5" t="s">
        <v>854</v>
      </c>
      <c r="C451" s="3" t="s">
        <v>5</v>
      </c>
    </row>
    <row r="452" spans="1:3" ht="15.75" thickBot="1">
      <c r="A452" s="6" t="s">
        <v>855</v>
      </c>
      <c r="B452" s="5" t="s">
        <v>856</v>
      </c>
      <c r="C452" s="3" t="s">
        <v>5</v>
      </c>
    </row>
    <row r="453" spans="1:3" ht="15.75" thickBot="1">
      <c r="A453" s="6" t="s">
        <v>857</v>
      </c>
      <c r="B453" s="5" t="s">
        <v>858</v>
      </c>
      <c r="C453" s="3" t="s">
        <v>5</v>
      </c>
    </row>
    <row r="454" spans="1:3" ht="15.75" thickBot="1">
      <c r="A454" s="6" t="s">
        <v>859</v>
      </c>
      <c r="B454" s="5" t="s">
        <v>860</v>
      </c>
      <c r="C454" s="3" t="s">
        <v>5</v>
      </c>
    </row>
    <row r="455" spans="1:3" ht="15.75" thickBot="1">
      <c r="A455" s="6" t="s">
        <v>861</v>
      </c>
      <c r="B455" s="5" t="s">
        <v>862</v>
      </c>
      <c r="C455" s="3" t="s">
        <v>5</v>
      </c>
    </row>
    <row r="456" spans="1:3" ht="15.75" thickBot="1">
      <c r="A456" s="6" t="s">
        <v>863</v>
      </c>
      <c r="B456" s="5" t="s">
        <v>864</v>
      </c>
      <c r="C456" s="3" t="s">
        <v>5</v>
      </c>
    </row>
    <row r="457" spans="1:3" ht="15.75" thickBot="1">
      <c r="A457" s="6" t="s">
        <v>865</v>
      </c>
      <c r="B457" s="5" t="s">
        <v>866</v>
      </c>
      <c r="C457" s="3" t="s">
        <v>5</v>
      </c>
    </row>
    <row r="458" spans="1:3" ht="15.75" thickBot="1">
      <c r="A458" s="6" t="s">
        <v>867</v>
      </c>
      <c r="B458" s="5" t="s">
        <v>868</v>
      </c>
      <c r="C458" s="3" t="s">
        <v>5</v>
      </c>
    </row>
    <row r="459" spans="1:3" ht="15.75" thickBot="1">
      <c r="A459" s="6" t="s">
        <v>869</v>
      </c>
      <c r="B459" s="5" t="s">
        <v>870</v>
      </c>
      <c r="C459" s="3" t="s">
        <v>5</v>
      </c>
    </row>
    <row r="460" spans="1:3" ht="15.75" thickBot="1">
      <c r="A460" s="6" t="s">
        <v>871</v>
      </c>
      <c r="B460" s="5" t="s">
        <v>872</v>
      </c>
      <c r="C460" s="3" t="s">
        <v>5</v>
      </c>
    </row>
    <row r="461" spans="1:3" ht="15.75" thickBot="1">
      <c r="A461" s="6" t="s">
        <v>873</v>
      </c>
      <c r="B461" s="5" t="s">
        <v>874</v>
      </c>
      <c r="C461" s="3" t="s">
        <v>5</v>
      </c>
    </row>
    <row r="462" spans="1:3" ht="15.75" thickBot="1">
      <c r="A462" s="6" t="s">
        <v>875</v>
      </c>
      <c r="B462" s="5" t="s">
        <v>876</v>
      </c>
      <c r="C462" s="3" t="s">
        <v>5</v>
      </c>
    </row>
    <row r="463" spans="1:3" ht="15.75" thickBot="1">
      <c r="A463" s="6" t="s">
        <v>877</v>
      </c>
      <c r="B463" s="5" t="s">
        <v>878</v>
      </c>
      <c r="C463" s="3" t="s">
        <v>5</v>
      </c>
    </row>
    <row r="464" spans="1:3" ht="15.75" thickBot="1">
      <c r="A464" s="6" t="s">
        <v>879</v>
      </c>
      <c r="B464" s="5" t="s">
        <v>880</v>
      </c>
      <c r="C464" s="3" t="s">
        <v>5</v>
      </c>
    </row>
    <row r="465" spans="1:3" ht="15.75" thickBot="1">
      <c r="A465" s="6" t="s">
        <v>881</v>
      </c>
      <c r="B465" s="5" t="s">
        <v>882</v>
      </c>
      <c r="C465" s="3" t="s">
        <v>5</v>
      </c>
    </row>
    <row r="466" spans="1:3" ht="15.75" thickBot="1">
      <c r="A466" s="6" t="s">
        <v>883</v>
      </c>
      <c r="B466" s="5" t="s">
        <v>884</v>
      </c>
      <c r="C466" s="3" t="s">
        <v>5</v>
      </c>
    </row>
    <row r="467" spans="1:3" ht="15.75" thickBot="1">
      <c r="A467" s="6" t="s">
        <v>885</v>
      </c>
      <c r="B467" s="5" t="s">
        <v>886</v>
      </c>
      <c r="C467" s="3" t="s">
        <v>5</v>
      </c>
    </row>
    <row r="468" spans="1:3" ht="15.75" thickBot="1">
      <c r="A468" s="6" t="s">
        <v>887</v>
      </c>
      <c r="B468" s="5" t="s">
        <v>888</v>
      </c>
      <c r="C468" s="3" t="s">
        <v>5</v>
      </c>
    </row>
    <row r="469" spans="1:3" ht="15.75" thickBot="1">
      <c r="A469" s="6" t="s">
        <v>889</v>
      </c>
      <c r="B469" s="5" t="s">
        <v>890</v>
      </c>
      <c r="C469" s="3" t="s">
        <v>5</v>
      </c>
    </row>
    <row r="470" spans="1:3" ht="15.75" thickBot="1">
      <c r="A470" s="6" t="s">
        <v>891</v>
      </c>
      <c r="B470" s="5" t="s">
        <v>892</v>
      </c>
      <c r="C470" s="3" t="s">
        <v>5</v>
      </c>
    </row>
    <row r="471" spans="1:3" ht="15.75" thickBot="1">
      <c r="A471" s="6" t="s">
        <v>893</v>
      </c>
      <c r="B471" s="5" t="s">
        <v>894</v>
      </c>
      <c r="C471" s="3" t="s">
        <v>5</v>
      </c>
    </row>
    <row r="472" spans="1:3" ht="15.75" thickBot="1">
      <c r="A472" s="6" t="s">
        <v>895</v>
      </c>
      <c r="B472" s="5" t="s">
        <v>896</v>
      </c>
      <c r="C472" s="3" t="s">
        <v>5</v>
      </c>
    </row>
    <row r="473" spans="1:3" ht="15.75" thickBot="1">
      <c r="A473" s="6" t="s">
        <v>897</v>
      </c>
      <c r="B473" s="5" t="s">
        <v>898</v>
      </c>
      <c r="C473" s="3" t="s">
        <v>5</v>
      </c>
    </row>
    <row r="474" spans="1:3" ht="15.75" thickBot="1">
      <c r="A474" s="6" t="s">
        <v>899</v>
      </c>
      <c r="B474" s="5" t="s">
        <v>900</v>
      </c>
      <c r="C474" s="3" t="s">
        <v>5</v>
      </c>
    </row>
    <row r="475" spans="1:3" ht="15.75" thickBot="1">
      <c r="A475" s="6" t="s">
        <v>901</v>
      </c>
      <c r="B475" s="5" t="s">
        <v>902</v>
      </c>
      <c r="C475" s="3" t="s">
        <v>5</v>
      </c>
    </row>
    <row r="476" spans="1:3" ht="15.75" thickBot="1">
      <c r="A476" s="6" t="s">
        <v>903</v>
      </c>
      <c r="B476" s="5" t="s">
        <v>904</v>
      </c>
      <c r="C476" s="3" t="s">
        <v>5</v>
      </c>
    </row>
    <row r="477" spans="1:3" ht="15.75" thickBot="1">
      <c r="A477" s="6" t="s">
        <v>905</v>
      </c>
      <c r="B477" s="5" t="s">
        <v>906</v>
      </c>
      <c r="C477" s="3" t="s">
        <v>5</v>
      </c>
    </row>
    <row r="478" spans="1:3" ht="15.75" thickBot="1">
      <c r="A478" s="6" t="s">
        <v>907</v>
      </c>
      <c r="B478" s="5" t="s">
        <v>908</v>
      </c>
      <c r="C478" s="3" t="s">
        <v>5</v>
      </c>
    </row>
    <row r="479" spans="1:3">
      <c r="A479" s="1" t="s">
        <v>909</v>
      </c>
      <c r="B479" s="2" t="s">
        <v>910</v>
      </c>
      <c r="C479" s="3" t="s">
        <v>5</v>
      </c>
    </row>
    <row r="480" spans="1:3" ht="15.75" thickBot="1">
      <c r="A480" s="4"/>
      <c r="B480" s="5" t="s">
        <v>911</v>
      </c>
      <c r="C480" s="3" t="s">
        <v>5</v>
      </c>
    </row>
    <row r="481" spans="1:3" ht="15.75" thickBot="1">
      <c r="A481" s="6" t="s">
        <v>912</v>
      </c>
      <c r="B481" s="5" t="s">
        <v>913</v>
      </c>
      <c r="C481" s="3" t="s">
        <v>5</v>
      </c>
    </row>
    <row r="482" spans="1:3" ht="15.75" thickBot="1">
      <c r="A482" s="6" t="s">
        <v>914</v>
      </c>
      <c r="B482" s="5" t="s">
        <v>915</v>
      </c>
      <c r="C482" s="3" t="s">
        <v>5</v>
      </c>
    </row>
    <row r="483" spans="1:3" ht="15.75" thickBot="1">
      <c r="A483" s="6" t="s">
        <v>916</v>
      </c>
      <c r="B483" s="5" t="s">
        <v>917</v>
      </c>
      <c r="C483" s="3" t="s">
        <v>5</v>
      </c>
    </row>
    <row r="484" spans="1:3" ht="15.75" thickBot="1">
      <c r="A484" s="6" t="s">
        <v>918</v>
      </c>
      <c r="B484" s="5" t="s">
        <v>919</v>
      </c>
      <c r="C484" s="3" t="s">
        <v>5</v>
      </c>
    </row>
    <row r="485" spans="1:3">
      <c r="A485" s="1" t="s">
        <v>920</v>
      </c>
      <c r="B485" s="2" t="s">
        <v>921</v>
      </c>
      <c r="C485" s="3" t="s">
        <v>5</v>
      </c>
    </row>
    <row r="486" spans="1:3" ht="15.75" thickBot="1">
      <c r="A486" s="4"/>
      <c r="B486" s="5" t="s">
        <v>922</v>
      </c>
      <c r="C486" s="3" t="s">
        <v>5</v>
      </c>
    </row>
    <row r="487" spans="1:3" ht="15.75" thickBot="1">
      <c r="A487" s="6" t="s">
        <v>923</v>
      </c>
      <c r="B487" s="5" t="s">
        <v>924</v>
      </c>
      <c r="C487" s="3" t="s">
        <v>5</v>
      </c>
    </row>
    <row r="488" spans="1:3" ht="15.75" thickBot="1">
      <c r="A488" s="6" t="s">
        <v>925</v>
      </c>
      <c r="B488" s="5" t="s">
        <v>926</v>
      </c>
      <c r="C488" s="3" t="s">
        <v>5</v>
      </c>
    </row>
    <row r="489" spans="1:3" ht="15.75" thickBot="1">
      <c r="A489" s="6" t="s">
        <v>927</v>
      </c>
      <c r="B489" s="5" t="s">
        <v>928</v>
      </c>
      <c r="C489" s="3" t="s">
        <v>5</v>
      </c>
    </row>
    <row r="490" spans="1:3" ht="15.75" thickBot="1">
      <c r="A490" s="6" t="s">
        <v>929</v>
      </c>
      <c r="B490" s="5" t="s">
        <v>930</v>
      </c>
      <c r="C490" s="3" t="s">
        <v>5</v>
      </c>
    </row>
    <row r="491" spans="1:3" ht="15.75" thickBot="1">
      <c r="A491" s="6" t="s">
        <v>931</v>
      </c>
      <c r="B491" s="5" t="s">
        <v>932</v>
      </c>
      <c r="C491" s="3" t="s">
        <v>5</v>
      </c>
    </row>
    <row r="492" spans="1:3" ht="15.75" thickBot="1">
      <c r="A492" s="6" t="s">
        <v>933</v>
      </c>
      <c r="B492" s="5" t="s">
        <v>934</v>
      </c>
      <c r="C492" s="3" t="s">
        <v>5</v>
      </c>
    </row>
    <row r="493" spans="1:3" ht="15.75" thickBot="1">
      <c r="A493" s="6" t="s">
        <v>935</v>
      </c>
      <c r="B493" s="5" t="s">
        <v>936</v>
      </c>
      <c r="C493" s="3" t="s">
        <v>5</v>
      </c>
    </row>
    <row r="494" spans="1:3" ht="15.75" thickBot="1">
      <c r="A494" s="6" t="s">
        <v>937</v>
      </c>
      <c r="B494" s="5" t="s">
        <v>938</v>
      </c>
      <c r="C494" s="3" t="s">
        <v>5</v>
      </c>
    </row>
    <row r="495" spans="1:3" ht="15.75" thickBot="1">
      <c r="A495" s="6" t="s">
        <v>939</v>
      </c>
      <c r="B495" s="5" t="s">
        <v>940</v>
      </c>
      <c r="C495" s="3" t="s">
        <v>5</v>
      </c>
    </row>
    <row r="496" spans="1:3" ht="15.75" thickBot="1">
      <c r="A496" s="6" t="s">
        <v>941</v>
      </c>
      <c r="B496" s="5" t="s">
        <v>942</v>
      </c>
      <c r="C496" s="3" t="s">
        <v>5</v>
      </c>
    </row>
    <row r="497" spans="1:3" ht="15.75" thickBot="1">
      <c r="A497" s="6" t="s">
        <v>943</v>
      </c>
      <c r="B497" s="5" t="s">
        <v>944</v>
      </c>
      <c r="C497" s="3" t="s">
        <v>5</v>
      </c>
    </row>
    <row r="498" spans="1:3" ht="15.75" thickBot="1">
      <c r="A498" s="6" t="s">
        <v>945</v>
      </c>
      <c r="B498" s="5" t="s">
        <v>946</v>
      </c>
      <c r="C498" s="3" t="s">
        <v>5</v>
      </c>
    </row>
    <row r="499" spans="1:3" ht="15.75" thickBot="1">
      <c r="A499" s="6" t="s">
        <v>947</v>
      </c>
      <c r="B499" s="5" t="s">
        <v>948</v>
      </c>
      <c r="C499" s="3" t="s">
        <v>5</v>
      </c>
    </row>
    <row r="500" spans="1:3" ht="15.75" thickBot="1">
      <c r="A500" s="6" t="s">
        <v>949</v>
      </c>
      <c r="B500" s="5" t="s">
        <v>950</v>
      </c>
      <c r="C500" s="3" t="s">
        <v>5</v>
      </c>
    </row>
    <row r="501" spans="1:3" ht="15.75" thickBot="1">
      <c r="A501" s="6" t="s">
        <v>951</v>
      </c>
      <c r="B501" s="5" t="s">
        <v>952</v>
      </c>
      <c r="C501" s="3" t="s">
        <v>5</v>
      </c>
    </row>
    <row r="502" spans="1:3" ht="15.75" thickBot="1">
      <c r="A502" s="6" t="s">
        <v>953</v>
      </c>
      <c r="B502" s="5" t="s">
        <v>954</v>
      </c>
      <c r="C502" s="3" t="s">
        <v>5</v>
      </c>
    </row>
    <row r="503" spans="1:3" ht="15.75" thickBot="1">
      <c r="A503" s="6" t="s">
        <v>955</v>
      </c>
      <c r="B503" s="5" t="s">
        <v>956</v>
      </c>
      <c r="C503" s="3" t="s">
        <v>5</v>
      </c>
    </row>
    <row r="504" spans="1:3" ht="15.75" thickBot="1">
      <c r="A504" s="6" t="s">
        <v>957</v>
      </c>
      <c r="B504" s="5" t="e">
        <f xml:space="preserve"> locking switch</f>
        <v>#NAME?</v>
      </c>
      <c r="C504" s="3" t="s">
        <v>5</v>
      </c>
    </row>
    <row r="505" spans="1:3" ht="15.75" thickBot="1">
      <c r="A505" s="6" t="s">
        <v>958</v>
      </c>
      <c r="B505" s="5" t="s">
        <v>959</v>
      </c>
      <c r="C505" s="3" t="s">
        <v>5</v>
      </c>
    </row>
    <row r="506" spans="1:3" ht="15.75" thickBot="1">
      <c r="A506" s="6" t="s">
        <v>960</v>
      </c>
      <c r="B506" s="5" t="s">
        <v>961</v>
      </c>
      <c r="C506" s="3" t="s">
        <v>5</v>
      </c>
    </row>
    <row r="507" spans="1:3" ht="15.75" thickBot="1">
      <c r="A507" s="6" t="s">
        <v>962</v>
      </c>
      <c r="B507" s="5" t="s">
        <v>959</v>
      </c>
      <c r="C507" s="3" t="s">
        <v>5</v>
      </c>
    </row>
    <row r="508" spans="1:3" ht="15.75" thickBot="1">
      <c r="A508" s="6" t="s">
        <v>963</v>
      </c>
      <c r="B508" s="5" t="s">
        <v>964</v>
      </c>
      <c r="C508" s="3" t="s">
        <v>5</v>
      </c>
    </row>
    <row r="509" spans="1:3" ht="15.75" thickBot="1">
      <c r="A509" s="6" t="s">
        <v>963</v>
      </c>
      <c r="B509" s="5" t="s">
        <v>964</v>
      </c>
      <c r="C509" s="3" t="s">
        <v>5</v>
      </c>
    </row>
    <row r="510" spans="1:3" ht="15.75" thickBot="1">
      <c r="A510" s="6" t="s">
        <v>965</v>
      </c>
      <c r="B510" s="5" t="s">
        <v>966</v>
      </c>
      <c r="C510" s="3" t="s">
        <v>5</v>
      </c>
    </row>
    <row r="511" spans="1:3" ht="15.75" thickBot="1">
      <c r="A511" s="6" t="s">
        <v>967</v>
      </c>
      <c r="B511" s="5" t="s">
        <v>968</v>
      </c>
      <c r="C511" s="3" t="s">
        <v>5</v>
      </c>
    </row>
    <row r="512" spans="1:3" ht="15.75" thickBot="1">
      <c r="A512" s="6" t="s">
        <v>969</v>
      </c>
      <c r="B512" s="5" t="s">
        <v>970</v>
      </c>
      <c r="C512" s="3" t="s">
        <v>5</v>
      </c>
    </row>
    <row r="513" spans="1:3" ht="15.75" thickBot="1">
      <c r="A513" s="6" t="s">
        <v>971</v>
      </c>
      <c r="B513" s="5" t="s">
        <v>972</v>
      </c>
      <c r="C513" s="3" t="s">
        <v>5</v>
      </c>
    </row>
    <row r="514" spans="1:3" ht="15.75" thickBot="1">
      <c r="A514" s="6" t="s">
        <v>973</v>
      </c>
      <c r="B514" s="5" t="s">
        <v>974</v>
      </c>
      <c r="C514" s="3" t="s">
        <v>5</v>
      </c>
    </row>
    <row r="515" spans="1:3" ht="15.75" thickBot="1">
      <c r="A515" s="6" t="s">
        <v>975</v>
      </c>
      <c r="B515" s="5" t="s">
        <v>976</v>
      </c>
      <c r="C515" s="3" t="s">
        <v>5</v>
      </c>
    </row>
    <row r="516" spans="1:3" ht="15.75" thickBot="1">
      <c r="A516" s="6" t="s">
        <v>977</v>
      </c>
      <c r="B516" s="5" t="s">
        <v>978</v>
      </c>
      <c r="C516" s="3" t="s">
        <v>5</v>
      </c>
    </row>
    <row r="517" spans="1:3" ht="15.75" thickBot="1">
      <c r="A517" s="6" t="s">
        <v>979</v>
      </c>
      <c r="B517" s="5" t="s">
        <v>980</v>
      </c>
      <c r="C517" s="3" t="s">
        <v>5</v>
      </c>
    </row>
    <row r="518" spans="1:3" ht="15.75" thickBot="1">
      <c r="A518" s="6" t="s">
        <v>981</v>
      </c>
      <c r="B518" s="5" t="s">
        <v>982</v>
      </c>
      <c r="C518" s="3" t="s">
        <v>5</v>
      </c>
    </row>
    <row r="519" spans="1:3" ht="15.75" thickBot="1">
      <c r="A519" s="6" t="s">
        <v>983</v>
      </c>
      <c r="B519" s="5" t="s">
        <v>984</v>
      </c>
      <c r="C519" s="3" t="s">
        <v>5</v>
      </c>
    </row>
    <row r="520" spans="1:3" ht="15.75" thickBot="1">
      <c r="A520" s="6" t="s">
        <v>985</v>
      </c>
      <c r="B520" s="5" t="s">
        <v>986</v>
      </c>
      <c r="C520" s="3" t="s">
        <v>5</v>
      </c>
    </row>
    <row r="521" spans="1:3" ht="15.75" thickBot="1">
      <c r="A521" s="6" t="s">
        <v>987</v>
      </c>
      <c r="B521" s="5" t="s">
        <v>988</v>
      </c>
      <c r="C521" s="3" t="s">
        <v>5</v>
      </c>
    </row>
    <row r="522" spans="1:3">
      <c r="A522" s="1" t="s">
        <v>989</v>
      </c>
      <c r="B522" s="2" t="s">
        <v>990</v>
      </c>
      <c r="C522" s="3" t="s">
        <v>5</v>
      </c>
    </row>
    <row r="523" spans="1:3" ht="15.75" thickBot="1">
      <c r="A523" s="4"/>
      <c r="B523" s="5" t="s">
        <v>991</v>
      </c>
      <c r="C523" s="3" t="s">
        <v>5</v>
      </c>
    </row>
    <row r="524" spans="1:3" ht="15.75" thickBot="1">
      <c r="A524" s="6" t="s">
        <v>992</v>
      </c>
      <c r="B524" s="5" t="e">
        <f xml:space="preserve"> atmospheric noise</f>
        <v>#NAME?</v>
      </c>
      <c r="C524" s="3" t="s">
        <v>5</v>
      </c>
    </row>
    <row r="525" spans="1:3" ht="15.75" thickBot="1">
      <c r="A525" s="6" t="s">
        <v>993</v>
      </c>
      <c r="B525" s="5" t="s">
        <v>994</v>
      </c>
      <c r="C525" s="3" t="s">
        <v>5</v>
      </c>
    </row>
    <row r="526" spans="1:3">
      <c r="A526" s="1" t="s">
        <v>995</v>
      </c>
      <c r="B526" s="2" t="s">
        <v>996</v>
      </c>
      <c r="C526" s="3" t="s">
        <v>5</v>
      </c>
    </row>
    <row r="527" spans="1:3" ht="15.75" thickBot="1">
      <c r="A527" s="4"/>
      <c r="B527" s="5" t="s">
        <v>997</v>
      </c>
      <c r="C527" s="3" t="s">
        <v>5</v>
      </c>
    </row>
    <row r="528" spans="1:3" ht="15.75" thickBot="1">
      <c r="A528" s="6" t="s">
        <v>998</v>
      </c>
      <c r="B528" s="5" t="s">
        <v>999</v>
      </c>
      <c r="C528" s="3" t="s">
        <v>5</v>
      </c>
    </row>
    <row r="529" spans="1:3" ht="15.75" thickBot="1">
      <c r="A529" s="6" t="s">
        <v>1000</v>
      </c>
      <c r="B529" s="5" t="s">
        <v>1001</v>
      </c>
      <c r="C529" s="3" t="s">
        <v>5</v>
      </c>
    </row>
    <row r="530" spans="1:3" ht="15.75" thickBot="1">
      <c r="A530" s="6" t="s">
        <v>1002</v>
      </c>
      <c r="B530" s="5" t="s">
        <v>1003</v>
      </c>
      <c r="C530" s="3" t="s">
        <v>5</v>
      </c>
    </row>
    <row r="531" spans="1:3" ht="15.75" thickBot="1">
      <c r="A531" s="6" t="s">
        <v>1004</v>
      </c>
      <c r="B531" s="5" t="s">
        <v>1005</v>
      </c>
      <c r="C531" s="3" t="s">
        <v>5</v>
      </c>
    </row>
    <row r="532" spans="1:3" ht="15.75" thickBot="1">
      <c r="A532" s="6" t="s">
        <v>1006</v>
      </c>
      <c r="B532" s="5" t="s">
        <v>1007</v>
      </c>
      <c r="C532" s="3" t="s">
        <v>5</v>
      </c>
    </row>
    <row r="533" spans="1:3" ht="15.75" thickBot="1">
      <c r="A533" s="6" t="s">
        <v>1008</v>
      </c>
      <c r="B533" s="5" t="s">
        <v>1009</v>
      </c>
      <c r="C533" s="3" t="s">
        <v>5</v>
      </c>
    </row>
    <row r="534" spans="1:3" ht="15.75" thickBot="1">
      <c r="A534" s="6" t="s">
        <v>1010</v>
      </c>
      <c r="B534" s="5" t="s">
        <v>1011</v>
      </c>
      <c r="C534" s="3" t="s">
        <v>5</v>
      </c>
    </row>
    <row r="535" spans="1:3" ht="15.75" thickBot="1">
      <c r="A535" s="6" t="s">
        <v>1012</v>
      </c>
      <c r="B535" s="5" t="s">
        <v>1013</v>
      </c>
      <c r="C535" s="3" t="s">
        <v>5</v>
      </c>
    </row>
    <row r="536" spans="1:3" ht="15.75" thickBot="1">
      <c r="A536" s="6" t="s">
        <v>1014</v>
      </c>
      <c r="B536" s="5" t="s">
        <v>1015</v>
      </c>
      <c r="C536" s="3" t="s">
        <v>5</v>
      </c>
    </row>
    <row r="537" spans="1:3" ht="15.75" thickBot="1">
      <c r="A537" s="6" t="s">
        <v>1016</v>
      </c>
      <c r="B537" s="5" t="s">
        <v>1017</v>
      </c>
      <c r="C537" s="3" t="s">
        <v>5</v>
      </c>
    </row>
    <row r="538" spans="1:3" ht="15.75" thickBot="1">
      <c r="A538" s="6" t="s">
        <v>1018</v>
      </c>
      <c r="B538" s="5" t="s">
        <v>1019</v>
      </c>
      <c r="C538" s="3" t="s">
        <v>5</v>
      </c>
    </row>
    <row r="539" spans="1:3" ht="15.75" thickBot="1">
      <c r="A539" s="6" t="s">
        <v>1020</v>
      </c>
      <c r="B539" s="5" t="s">
        <v>1021</v>
      </c>
      <c r="C539" s="3" t="s">
        <v>5</v>
      </c>
    </row>
    <row r="540" spans="1:3" ht="15.75" thickBot="1">
      <c r="A540" s="6" t="s">
        <v>1022</v>
      </c>
      <c r="B540" s="5" t="s">
        <v>1023</v>
      </c>
      <c r="C540" s="3" t="s">
        <v>5</v>
      </c>
    </row>
    <row r="541" spans="1:3" ht="15.75" thickBot="1">
      <c r="A541" s="6" t="s">
        <v>1024</v>
      </c>
      <c r="B541" s="5" t="s">
        <v>1025</v>
      </c>
      <c r="C541" s="3" t="s">
        <v>5</v>
      </c>
    </row>
    <row r="542" spans="1:3" ht="15.75" thickBot="1">
      <c r="A542" s="6" t="s">
        <v>1026</v>
      </c>
      <c r="B542" s="5" t="s">
        <v>1027</v>
      </c>
      <c r="C542" s="3" t="s">
        <v>5</v>
      </c>
    </row>
    <row r="543" spans="1:3" ht="15.75" thickBot="1">
      <c r="A543" s="6" t="s">
        <v>1028</v>
      </c>
      <c r="B543" s="5" t="s">
        <v>1029</v>
      </c>
      <c r="C543" s="3" t="s">
        <v>5</v>
      </c>
    </row>
    <row r="544" spans="1:3" ht="15.75" thickBot="1">
      <c r="A544" s="6" t="s">
        <v>1030</v>
      </c>
      <c r="B544" s="5" t="s">
        <v>1031</v>
      </c>
      <c r="C544" s="3" t="s">
        <v>5</v>
      </c>
    </row>
    <row r="545" spans="1:3" ht="15.75" thickBot="1">
      <c r="A545" s="6" t="s">
        <v>1032</v>
      </c>
      <c r="B545" s="5" t="s">
        <v>1033</v>
      </c>
      <c r="C545" s="3" t="s">
        <v>5</v>
      </c>
    </row>
    <row r="546" spans="1:3" ht="15.75" thickBot="1">
      <c r="A546" s="6" t="s">
        <v>1034</v>
      </c>
      <c r="B546" s="5" t="s">
        <v>1035</v>
      </c>
      <c r="C546" s="3" t="s">
        <v>5</v>
      </c>
    </row>
    <row r="547" spans="1:3" ht="15.75" thickBot="1">
      <c r="A547" s="6" t="s">
        <v>1036</v>
      </c>
      <c r="B547" s="5" t="s">
        <v>1037</v>
      </c>
      <c r="C547" s="3" t="s">
        <v>5</v>
      </c>
    </row>
    <row r="548" spans="1:3" ht="15.75" thickBot="1">
      <c r="A548" s="6" t="s">
        <v>1038</v>
      </c>
      <c r="B548" s="5" t="s">
        <v>1039</v>
      </c>
      <c r="C548" s="3" t="s">
        <v>5</v>
      </c>
    </row>
    <row r="549" spans="1:3" ht="15.75" thickBot="1">
      <c r="A549" s="6" t="s">
        <v>1040</v>
      </c>
      <c r="B549" s="5" t="s">
        <v>1041</v>
      </c>
      <c r="C549" s="3" t="s">
        <v>5</v>
      </c>
    </row>
    <row r="550" spans="1:3" ht="15.75" thickBot="1">
      <c r="A550" s="6" t="s">
        <v>1042</v>
      </c>
      <c r="B550" s="5" t="s">
        <v>1043</v>
      </c>
      <c r="C550" s="3" t="s">
        <v>5</v>
      </c>
    </row>
    <row r="551" spans="1:3" ht="15.75" thickBot="1">
      <c r="A551" s="6" t="s">
        <v>1044</v>
      </c>
      <c r="B551" s="5" t="s">
        <v>1045</v>
      </c>
      <c r="C551" s="3" t="s">
        <v>5</v>
      </c>
    </row>
    <row r="552" spans="1:3" ht="15.75" thickBot="1">
      <c r="A552" s="6" t="s">
        <v>1046</v>
      </c>
      <c r="B552" s="5" t="s">
        <v>1047</v>
      </c>
      <c r="C552" s="3" t="s">
        <v>5</v>
      </c>
    </row>
    <row r="553" spans="1:3" ht="15.75" thickBot="1">
      <c r="A553" s="6" t="s">
        <v>1048</v>
      </c>
      <c r="B553" s="5" t="s">
        <v>1049</v>
      </c>
      <c r="C553" s="3" t="s">
        <v>5</v>
      </c>
    </row>
    <row r="554" spans="1:3" ht="15.75" thickBot="1">
      <c r="A554" s="6" t="s">
        <v>1050</v>
      </c>
      <c r="B554" s="5" t="s">
        <v>1051</v>
      </c>
      <c r="C554" s="3" t="s">
        <v>5</v>
      </c>
    </row>
    <row r="555" spans="1:3" ht="15.75" thickBot="1">
      <c r="A555" s="6" t="s">
        <v>1052</v>
      </c>
      <c r="B555" s="5" t="s">
        <v>1053</v>
      </c>
      <c r="C555" s="3" t="s">
        <v>5</v>
      </c>
    </row>
    <row r="556" spans="1:3">
      <c r="A556" s="1" t="s">
        <v>1054</v>
      </c>
      <c r="B556" s="2" t="s">
        <v>1055</v>
      </c>
      <c r="C556" s="3" t="s">
        <v>5</v>
      </c>
    </row>
    <row r="557" spans="1:3" ht="15.75" thickBot="1">
      <c r="A557" s="4"/>
      <c r="B557" s="5" t="s">
        <v>1056</v>
      </c>
      <c r="C557" s="3" t="s">
        <v>5</v>
      </c>
    </row>
    <row r="558" spans="1:3" ht="15.75" thickBot="1">
      <c r="A558" s="6" t="s">
        <v>1057</v>
      </c>
      <c r="B558" s="5" t="s">
        <v>1058</v>
      </c>
      <c r="C558" s="3" t="s">
        <v>5</v>
      </c>
    </row>
    <row r="559" spans="1:3" ht="15.75" thickBot="1">
      <c r="A559" s="6" t="s">
        <v>1059</v>
      </c>
      <c r="B559" s="5" t="s">
        <v>1060</v>
      </c>
      <c r="C559" s="3" t="s">
        <v>5</v>
      </c>
    </row>
    <row r="560" spans="1:3" ht="15.75" thickBot="1">
      <c r="A560" s="6" t="s">
        <v>1061</v>
      </c>
      <c r="B560" s="5" t="s">
        <v>1062</v>
      </c>
      <c r="C560" s="3" t="s">
        <v>5</v>
      </c>
    </row>
    <row r="561" spans="1:3" ht="15.75" thickBot="1">
      <c r="A561" s="6" t="s">
        <v>1063</v>
      </c>
      <c r="B561" s="5" t="s">
        <v>1064</v>
      </c>
      <c r="C561" s="3" t="s">
        <v>5</v>
      </c>
    </row>
    <row r="562" spans="1:3" ht="15.75" thickBot="1">
      <c r="A562" s="6" t="s">
        <v>1065</v>
      </c>
      <c r="B562" s="5" t="s">
        <v>1066</v>
      </c>
      <c r="C562" s="3" t="s">
        <v>5</v>
      </c>
    </row>
    <row r="563" spans="1:3" ht="15.75" thickBot="1">
      <c r="A563" s="6" t="s">
        <v>1067</v>
      </c>
      <c r="B563" s="5" t="s">
        <v>1068</v>
      </c>
      <c r="C563" s="3" t="s">
        <v>5</v>
      </c>
    </row>
    <row r="564" spans="1:3" ht="15.75" thickBot="1">
      <c r="A564" s="6" t="s">
        <v>1069</v>
      </c>
      <c r="B564" s="5" t="s">
        <v>1070</v>
      </c>
      <c r="C564" s="3" t="s">
        <v>5</v>
      </c>
    </row>
    <row r="565" spans="1:3" ht="15.75" thickBot="1">
      <c r="A565" s="6" t="s">
        <v>1071</v>
      </c>
      <c r="B565" s="5" t="s">
        <v>1072</v>
      </c>
      <c r="C565" s="3" t="s">
        <v>5</v>
      </c>
    </row>
    <row r="566" spans="1:3" ht="15.75" thickBot="1">
      <c r="A566" s="6" t="s">
        <v>1073</v>
      </c>
      <c r="B566" s="5" t="s">
        <v>1074</v>
      </c>
      <c r="C566" s="3" t="s">
        <v>5</v>
      </c>
    </row>
    <row r="567" spans="1:3">
      <c r="A567" s="1" t="s">
        <v>1075</v>
      </c>
      <c r="B567" s="2" t="s">
        <v>1076</v>
      </c>
      <c r="C567" s="3" t="s">
        <v>5</v>
      </c>
    </row>
    <row r="568" spans="1:3" ht="15.75" thickBot="1">
      <c r="A568" s="4"/>
      <c r="B568" s="5" t="s">
        <v>1077</v>
      </c>
      <c r="C568" s="3" t="s">
        <v>5</v>
      </c>
    </row>
    <row r="569" spans="1:3" ht="15.75" thickBot="1">
      <c r="A569" s="6" t="s">
        <v>1078</v>
      </c>
      <c r="B569" s="5" t="s">
        <v>1079</v>
      </c>
      <c r="C569" s="3" t="s">
        <v>5</v>
      </c>
    </row>
    <row r="570" spans="1:3" ht="15.75" thickBot="1">
      <c r="A570" s="6" t="s">
        <v>1080</v>
      </c>
      <c r="B570" s="5" t="s">
        <v>1081</v>
      </c>
      <c r="C570" s="3" t="s">
        <v>5</v>
      </c>
    </row>
    <row r="571" spans="1:3" ht="15.75" thickBot="1">
      <c r="A571" s="6" t="s">
        <v>1082</v>
      </c>
      <c r="B571" s="5" t="s">
        <v>1083</v>
      </c>
      <c r="C571" s="3" t="s">
        <v>5</v>
      </c>
    </row>
    <row r="572" spans="1:3" ht="15.75" thickBot="1">
      <c r="A572" s="6" t="s">
        <v>1084</v>
      </c>
      <c r="B572" s="5" t="s">
        <v>1085</v>
      </c>
      <c r="C572" s="3" t="s">
        <v>5</v>
      </c>
    </row>
    <row r="573" spans="1:3" ht="15.75" thickBot="1">
      <c r="A573" s="6" t="s">
        <v>1086</v>
      </c>
      <c r="B573" s="5" t="s">
        <v>1087</v>
      </c>
      <c r="C573" s="3" t="s">
        <v>5</v>
      </c>
    </row>
    <row r="574" spans="1:3" ht="15.75" thickBot="1">
      <c r="A574" s="6" t="s">
        <v>1088</v>
      </c>
      <c r="B574" s="5" t="s">
        <v>1089</v>
      </c>
      <c r="C574" s="3" t="s">
        <v>5</v>
      </c>
    </row>
    <row r="575" spans="1:3" ht="15.75" thickBot="1">
      <c r="A575" s="6" t="s">
        <v>1090</v>
      </c>
      <c r="B575" s="5" t="s">
        <v>1091</v>
      </c>
      <c r="C575" s="3" t="s">
        <v>5</v>
      </c>
    </row>
    <row r="576" spans="1:3" ht="15.75" thickBot="1">
      <c r="A576" s="6" t="s">
        <v>1092</v>
      </c>
      <c r="B576" s="5" t="s">
        <v>1093</v>
      </c>
      <c r="C576" s="3" t="s">
        <v>5</v>
      </c>
    </row>
    <row r="577" spans="1:3" ht="15.75" thickBot="1">
      <c r="A577" s="6" t="s">
        <v>1094</v>
      </c>
      <c r="B577" s="5" t="s">
        <v>1095</v>
      </c>
      <c r="C577" s="3" t="s">
        <v>5</v>
      </c>
    </row>
    <row r="578" spans="1:3" ht="15.75" thickBot="1">
      <c r="A578" s="6" t="s">
        <v>1096</v>
      </c>
      <c r="B578" s="5" t="s">
        <v>1097</v>
      </c>
      <c r="C578" s="3" t="s">
        <v>5</v>
      </c>
    </row>
    <row r="579" spans="1:3" ht="15.75" thickBot="1">
      <c r="A579" s="6" t="s">
        <v>1098</v>
      </c>
      <c r="B579" s="5" t="s">
        <v>1099</v>
      </c>
      <c r="C579" s="3" t="s">
        <v>5</v>
      </c>
    </row>
    <row r="580" spans="1:3" ht="15.75" thickBot="1">
      <c r="A580" s="6" t="s">
        <v>1100</v>
      </c>
      <c r="B580" s="5" t="s">
        <v>1101</v>
      </c>
      <c r="C580" s="3" t="s">
        <v>5</v>
      </c>
    </row>
    <row r="581" spans="1:3" ht="15.75" thickBot="1">
      <c r="A581" s="6" t="s">
        <v>1102</v>
      </c>
      <c r="B581" s="5" t="s">
        <v>1103</v>
      </c>
      <c r="C581" s="3" t="s">
        <v>5</v>
      </c>
    </row>
    <row r="582" spans="1:3" ht="15.75" thickBot="1">
      <c r="A582" s="6" t="s">
        <v>1104</v>
      </c>
      <c r="B582" s="5" t="s">
        <v>1105</v>
      </c>
      <c r="C582" s="3" t="s">
        <v>5</v>
      </c>
    </row>
    <row r="583" spans="1:3" ht="25.5">
      <c r="A583" s="1" t="s">
        <v>1106</v>
      </c>
      <c r="B583" s="2" t="s">
        <v>1107</v>
      </c>
      <c r="C583" s="3" t="s">
        <v>5</v>
      </c>
    </row>
    <row r="584" spans="1:3" ht="15.75" thickBot="1">
      <c r="A584" s="4"/>
      <c r="B584" s="5" t="s">
        <v>1108</v>
      </c>
      <c r="C584" s="3" t="s">
        <v>5</v>
      </c>
    </row>
    <row r="585" spans="1:3" ht="15.75" thickBot="1">
      <c r="A585" s="6" t="s">
        <v>1109</v>
      </c>
      <c r="B585" s="5" t="e">
        <f xml:space="preserve"> auto-gain control</f>
        <v>#NAME?</v>
      </c>
      <c r="C585" s="3" t="s">
        <v>5</v>
      </c>
    </row>
    <row r="586" spans="1:3" ht="15.75" thickBot="1">
      <c r="A586" s="6" t="s">
        <v>1110</v>
      </c>
      <c r="B586" s="5" t="s">
        <v>1111</v>
      </c>
      <c r="C586" s="3" t="s">
        <v>5</v>
      </c>
    </row>
    <row r="587" spans="1:3" ht="15.75" thickBot="1">
      <c r="A587" s="6" t="s">
        <v>1112</v>
      </c>
      <c r="B587" s="5" t="s">
        <v>1113</v>
      </c>
      <c r="C587" s="3" t="s">
        <v>5</v>
      </c>
    </row>
    <row r="588" spans="1:3" ht="15.75" thickBot="1">
      <c r="A588" s="6" t="s">
        <v>1114</v>
      </c>
      <c r="B588" s="5" t="s">
        <v>1115</v>
      </c>
      <c r="C588" s="3" t="s">
        <v>5</v>
      </c>
    </row>
    <row r="589" spans="1:3" ht="15.75" thickBot="1">
      <c r="A589" s="6" t="s">
        <v>1116</v>
      </c>
      <c r="B589" s="5" t="s">
        <v>1117</v>
      </c>
      <c r="C589" s="3" t="s">
        <v>5</v>
      </c>
    </row>
    <row r="590" spans="1:3" ht="15.75" thickBot="1">
      <c r="A590" s="6" t="s">
        <v>1118</v>
      </c>
      <c r="B590" s="5" t="s">
        <v>1119</v>
      </c>
      <c r="C590" s="3" t="s">
        <v>5</v>
      </c>
    </row>
    <row r="591" spans="1:3" ht="15.75" thickBot="1">
      <c r="A591" s="6" t="s">
        <v>1120</v>
      </c>
      <c r="B591" s="5" t="s">
        <v>1121</v>
      </c>
      <c r="C591" s="3" t="s">
        <v>5</v>
      </c>
    </row>
    <row r="592" spans="1:3" ht="15.75" thickBot="1">
      <c r="A592" s="6" t="s">
        <v>1122</v>
      </c>
      <c r="B592" s="5" t="s">
        <v>1123</v>
      </c>
      <c r="C592" s="3" t="s">
        <v>5</v>
      </c>
    </row>
    <row r="593" spans="1:3" ht="15.75" thickBot="1">
      <c r="A593" s="6" t="s">
        <v>1124</v>
      </c>
      <c r="B593" s="5" t="s">
        <v>1125</v>
      </c>
      <c r="C593" s="3" t="s">
        <v>5</v>
      </c>
    </row>
    <row r="594" spans="1:3" ht="15.75" thickBot="1">
      <c r="A594" s="6" t="s">
        <v>1126</v>
      </c>
      <c r="B594" s="5" t="s">
        <v>1127</v>
      </c>
      <c r="C594" s="3" t="s">
        <v>5</v>
      </c>
    </row>
    <row r="595" spans="1:3" ht="15.75" thickBot="1">
      <c r="A595" s="6" t="s">
        <v>1128</v>
      </c>
      <c r="B595" s="5" t="s">
        <v>1129</v>
      </c>
      <c r="C595" s="3" t="s">
        <v>5</v>
      </c>
    </row>
    <row r="596" spans="1:3" ht="15.75" thickBot="1">
      <c r="A596" s="6" t="s">
        <v>1130</v>
      </c>
      <c r="B596" s="5" t="s">
        <v>1131</v>
      </c>
      <c r="C596" s="3" t="s">
        <v>5</v>
      </c>
    </row>
    <row r="597" spans="1:3" ht="15.75" thickBot="1">
      <c r="A597" s="6" t="s">
        <v>1132</v>
      </c>
      <c r="B597" s="5" t="s">
        <v>1133</v>
      </c>
      <c r="C597" s="3" t="s">
        <v>5</v>
      </c>
    </row>
    <row r="598" spans="1:3" ht="15.75" thickBot="1">
      <c r="A598" s="6" t="s">
        <v>1134</v>
      </c>
      <c r="B598" s="5" t="s">
        <v>1135</v>
      </c>
      <c r="C598" s="3" t="s">
        <v>5</v>
      </c>
    </row>
    <row r="599" spans="1:3" ht="15.75" thickBot="1">
      <c r="A599" s="6" t="s">
        <v>1136</v>
      </c>
      <c r="B599" s="5" t="s">
        <v>1137</v>
      </c>
      <c r="C599" s="3" t="s">
        <v>5</v>
      </c>
    </row>
    <row r="600" spans="1:3" ht="15.75" thickBot="1">
      <c r="A600" s="6" t="s">
        <v>1138</v>
      </c>
      <c r="B600" s="5" t="s">
        <v>1139</v>
      </c>
      <c r="C600" s="3" t="s">
        <v>5</v>
      </c>
    </row>
    <row r="601" spans="1:3" ht="15.75" thickBot="1">
      <c r="A601" s="6" t="s">
        <v>1140</v>
      </c>
      <c r="B601" s="5" t="s">
        <v>1141</v>
      </c>
      <c r="C601" s="3" t="s">
        <v>5</v>
      </c>
    </row>
    <row r="602" spans="1:3" ht="26.25" thickBot="1">
      <c r="A602" s="6" t="s">
        <v>1142</v>
      </c>
      <c r="B602" s="5" t="s">
        <v>1143</v>
      </c>
      <c r="C602" s="3" t="s">
        <v>5</v>
      </c>
    </row>
    <row r="603" spans="1:3" ht="15.75" thickBot="1">
      <c r="A603" s="6" t="s">
        <v>1144</v>
      </c>
      <c r="B603" s="5" t="s">
        <v>1145</v>
      </c>
      <c r="C603" s="3" t="s">
        <v>5</v>
      </c>
    </row>
    <row r="604" spans="1:3" ht="15.75" thickBot="1">
      <c r="A604" s="6" t="s">
        <v>1146</v>
      </c>
      <c r="B604" s="5" t="s">
        <v>1147</v>
      </c>
      <c r="C604" s="3" t="s">
        <v>5</v>
      </c>
    </row>
    <row r="605" spans="1:3" ht="15.75" thickBot="1">
      <c r="A605" s="6" t="s">
        <v>1148</v>
      </c>
      <c r="B605" s="5" t="s">
        <v>1149</v>
      </c>
      <c r="C605" s="3" t="s">
        <v>5</v>
      </c>
    </row>
    <row r="606" spans="1:3" ht="15.75" thickBot="1">
      <c r="A606" s="6" t="s">
        <v>1150</v>
      </c>
      <c r="B606" s="5" t="s">
        <v>1151</v>
      </c>
      <c r="C606" s="3" t="s">
        <v>5</v>
      </c>
    </row>
    <row r="607" spans="1:3" ht="15.75" thickBot="1">
      <c r="A607" s="6" t="s">
        <v>1152</v>
      </c>
      <c r="B607" s="5" t="s">
        <v>1153</v>
      </c>
      <c r="C607" s="3" t="s">
        <v>5</v>
      </c>
    </row>
    <row r="608" spans="1:3" ht="15.75" thickBot="1">
      <c r="A608" s="6" t="s">
        <v>1154</v>
      </c>
      <c r="B608" s="5" t="e">
        <f xml:space="preserve"> synchro</f>
        <v>#NAME?</v>
      </c>
      <c r="C608" s="3" t="s">
        <v>5</v>
      </c>
    </row>
    <row r="609" spans="1:3" ht="15.75" thickBot="1">
      <c r="A609" s="6" t="s">
        <v>1155</v>
      </c>
      <c r="B609" s="5" t="s">
        <v>1156</v>
      </c>
      <c r="C609" s="3" t="s">
        <v>5</v>
      </c>
    </row>
    <row r="610" spans="1:3" ht="15.75" thickBot="1">
      <c r="A610" s="6" t="s">
        <v>1157</v>
      </c>
      <c r="B610" s="5" t="s">
        <v>1158</v>
      </c>
      <c r="C610" s="3" t="s">
        <v>5</v>
      </c>
    </row>
    <row r="611" spans="1:3" ht="15.75" thickBot="1">
      <c r="A611" s="6" t="s">
        <v>1159</v>
      </c>
      <c r="B611" s="5" t="s">
        <v>1160</v>
      </c>
      <c r="C611" s="3" t="s">
        <v>5</v>
      </c>
    </row>
    <row r="612" spans="1:3" ht="15.75" thickBot="1">
      <c r="A612" s="6" t="s">
        <v>1161</v>
      </c>
      <c r="B612" s="5" t="s">
        <v>1162</v>
      </c>
      <c r="C612" s="3" t="s">
        <v>5</v>
      </c>
    </row>
    <row r="613" spans="1:3" ht="15.75" thickBot="1">
      <c r="A613" s="6" t="s">
        <v>1163</v>
      </c>
      <c r="B613" s="5" t="s">
        <v>1164</v>
      </c>
      <c r="C613" s="3" t="s">
        <v>5</v>
      </c>
    </row>
    <row r="614" spans="1:3" ht="15.75" thickBot="1">
      <c r="A614" s="6" t="s">
        <v>1165</v>
      </c>
      <c r="B614" s="5" t="s">
        <v>1166</v>
      </c>
      <c r="C614" s="3" t="s">
        <v>5</v>
      </c>
    </row>
    <row r="615" spans="1:3" ht="15.75" thickBot="1">
      <c r="A615" s="6" t="s">
        <v>1167</v>
      </c>
      <c r="B615" s="5" t="s">
        <v>1168</v>
      </c>
      <c r="C615" s="3" t="s">
        <v>5</v>
      </c>
    </row>
    <row r="616" spans="1:3" ht="15.75" thickBot="1">
      <c r="A616" s="6" t="s">
        <v>1169</v>
      </c>
      <c r="B616" s="5" t="s">
        <v>1170</v>
      </c>
      <c r="C616" s="3" t="s">
        <v>5</v>
      </c>
    </row>
    <row r="617" spans="1:3" ht="15.75" thickBot="1">
      <c r="A617" s="6" t="s">
        <v>1171</v>
      </c>
      <c r="B617" s="5" t="s">
        <v>1172</v>
      </c>
      <c r="C617" s="3" t="s">
        <v>5</v>
      </c>
    </row>
    <row r="618" spans="1:3" ht="15.75" thickBot="1">
      <c r="A618" s="6" t="s">
        <v>1173</v>
      </c>
      <c r="B618" s="5" t="s">
        <v>1174</v>
      </c>
      <c r="C618" s="3" t="s">
        <v>5</v>
      </c>
    </row>
    <row r="619" spans="1:3" ht="15.75" thickBot="1">
      <c r="A619" s="6" t="s">
        <v>1175</v>
      </c>
      <c r="B619" s="5" t="s">
        <v>1176</v>
      </c>
      <c r="C619" s="3" t="s">
        <v>5</v>
      </c>
    </row>
    <row r="620" spans="1:3" ht="15.75" thickBot="1">
      <c r="A620" s="6" t="s">
        <v>1177</v>
      </c>
      <c r="B620" s="5" t="s">
        <v>1178</v>
      </c>
      <c r="C620" s="3" t="s">
        <v>5</v>
      </c>
    </row>
    <row r="621" spans="1:3" ht="15.75" thickBot="1">
      <c r="A621" s="6" t="s">
        <v>1179</v>
      </c>
      <c r="B621" s="5" t="s">
        <v>1180</v>
      </c>
      <c r="C621" s="3" t="s">
        <v>5</v>
      </c>
    </row>
    <row r="622" spans="1:3" ht="15.75" thickBot="1">
      <c r="A622" s="6" t="s">
        <v>1181</v>
      </c>
      <c r="B622" s="5" t="s">
        <v>1182</v>
      </c>
      <c r="C622" s="3" t="s">
        <v>5</v>
      </c>
    </row>
    <row r="623" spans="1:3" ht="15.75" thickBot="1">
      <c r="A623" s="6" t="s">
        <v>1183</v>
      </c>
      <c r="B623" s="5" t="s">
        <v>1184</v>
      </c>
      <c r="C623" s="3" t="s">
        <v>5</v>
      </c>
    </row>
    <row r="624" spans="1:3" ht="15.75" thickBot="1">
      <c r="A624" s="6" t="s">
        <v>1185</v>
      </c>
      <c r="B624" s="5" t="s">
        <v>1186</v>
      </c>
      <c r="C624" s="3" t="s">
        <v>5</v>
      </c>
    </row>
    <row r="625" spans="1:3" ht="15.75" thickBot="1">
      <c r="A625" s="6" t="s">
        <v>1187</v>
      </c>
      <c r="B625" s="5" t="s">
        <v>1188</v>
      </c>
      <c r="C625" s="3" t="s">
        <v>5</v>
      </c>
    </row>
    <row r="626" spans="1:3">
      <c r="A626" s="1" t="s">
        <v>1189</v>
      </c>
      <c r="B626" s="2" t="s">
        <v>1190</v>
      </c>
      <c r="C626" s="3" t="s">
        <v>5</v>
      </c>
    </row>
    <row r="627" spans="1:3" ht="15.75" thickBot="1">
      <c r="A627" s="4"/>
      <c r="B627" s="5" t="e">
        <f xml:space="preserve"> average noise figure</f>
        <v>#NAME?</v>
      </c>
      <c r="C627" s="3" t="s">
        <v>5</v>
      </c>
    </row>
    <row r="628" spans="1:3" ht="15.75" thickBot="1">
      <c r="A628" s="6" t="s">
        <v>1191</v>
      </c>
      <c r="B628" s="5" t="s">
        <v>1192</v>
      </c>
      <c r="C628" s="3" t="s">
        <v>5</v>
      </c>
    </row>
    <row r="629" spans="1:3" ht="15.75" thickBot="1">
      <c r="A629" s="6" t="s">
        <v>1193</v>
      </c>
      <c r="B629" s="5" t="s">
        <v>1194</v>
      </c>
      <c r="C629" s="3" t="s">
        <v>5</v>
      </c>
    </row>
    <row r="630" spans="1:3" ht="15.75" thickBot="1">
      <c r="A630" s="6" t="s">
        <v>1195</v>
      </c>
      <c r="B630" s="5" t="s">
        <v>1196</v>
      </c>
      <c r="C630" s="3" t="s">
        <v>5</v>
      </c>
    </row>
    <row r="631" spans="1:3" ht="15.75" thickBot="1">
      <c r="A631" s="6" t="s">
        <v>1197</v>
      </c>
      <c r="B631" s="5" t="s">
        <v>1198</v>
      </c>
      <c r="C631" s="3" t="s">
        <v>5</v>
      </c>
    </row>
    <row r="632" spans="1:3" ht="15.75" thickBot="1">
      <c r="A632" s="6" t="s">
        <v>1199</v>
      </c>
      <c r="B632" s="5" t="s">
        <v>1200</v>
      </c>
      <c r="C632" s="3" t="s">
        <v>5</v>
      </c>
    </row>
    <row r="633" spans="1:3" ht="15.75" thickBot="1">
      <c r="A633" s="6" t="s">
        <v>1201</v>
      </c>
      <c r="B633" s="5" t="s">
        <v>1202</v>
      </c>
      <c r="C633" s="3" t="s">
        <v>5</v>
      </c>
    </row>
    <row r="634" spans="1:3" ht="15.75" thickBot="1">
      <c r="A634" s="6" t="s">
        <v>1203</v>
      </c>
      <c r="B634" s="5" t="s">
        <v>1204</v>
      </c>
      <c r="C634" s="3" t="s">
        <v>5</v>
      </c>
    </row>
    <row r="635" spans="1:3" ht="15.75" thickBot="1">
      <c r="A635" s="6" t="s">
        <v>1205</v>
      </c>
      <c r="B635" s="5" t="s">
        <v>1206</v>
      </c>
      <c r="C635" s="3" t="s">
        <v>5</v>
      </c>
    </row>
    <row r="636" spans="1:3" ht="15.75" thickBot="1">
      <c r="A636" s="6" t="s">
        <v>1207</v>
      </c>
      <c r="B636" s="5" t="s">
        <v>1208</v>
      </c>
      <c r="C636" s="3" t="s">
        <v>5</v>
      </c>
    </row>
    <row r="637" spans="1:3" ht="15.75" thickBot="1">
      <c r="A637" s="6" t="s">
        <v>1209</v>
      </c>
      <c r="B637" s="5" t="s">
        <v>1210</v>
      </c>
      <c r="C637" s="3" t="s">
        <v>5</v>
      </c>
    </row>
    <row r="638" spans="1:3">
      <c r="A638" s="1" t="s">
        <v>1211</v>
      </c>
      <c r="B638" s="2" t="s">
        <v>1212</v>
      </c>
      <c r="C638" s="3" t="s">
        <v>5</v>
      </c>
    </row>
    <row r="639" spans="1:3" ht="15.75" thickBot="1">
      <c r="A639" s="4"/>
      <c r="B639" s="5" t="s">
        <v>1213</v>
      </c>
      <c r="C639" s="3" t="s">
        <v>5</v>
      </c>
    </row>
    <row r="640" spans="1:3">
      <c r="A640" s="1" t="s">
        <v>1214</v>
      </c>
      <c r="B640" s="2" t="s">
        <v>1215</v>
      </c>
      <c r="C640" s="3" t="s">
        <v>5</v>
      </c>
    </row>
    <row r="641" spans="1:3" ht="15.75" thickBot="1">
      <c r="A641" s="4"/>
      <c r="B641" s="5" t="s">
        <v>1216</v>
      </c>
      <c r="C641" s="3" t="s">
        <v>5</v>
      </c>
    </row>
    <row r="642" spans="1:3" ht="15.75" thickBot="1">
      <c r="A642" s="6" t="s">
        <v>1217</v>
      </c>
      <c r="B642" s="5" t="s">
        <v>1218</v>
      </c>
      <c r="C642" s="3" t="s">
        <v>5</v>
      </c>
    </row>
    <row r="643" spans="1:3" ht="15.75" thickBot="1">
      <c r="A643" s="6" t="s">
        <v>1219</v>
      </c>
      <c r="B643" s="5" t="s">
        <v>1220</v>
      </c>
      <c r="C643" s="3" t="s">
        <v>5</v>
      </c>
    </row>
    <row r="644" spans="1:3" ht="15.75" thickBot="1">
      <c r="A644" s="6" t="s">
        <v>1221</v>
      </c>
      <c r="B644" s="5" t="s">
        <v>1222</v>
      </c>
      <c r="C644" s="3" t="s">
        <v>5</v>
      </c>
    </row>
    <row r="645" spans="1:3" ht="15.75" thickBot="1">
      <c r="A645" s="6" t="s">
        <v>1223</v>
      </c>
      <c r="B645" s="5" t="s">
        <v>1224</v>
      </c>
      <c r="C645" s="3" t="s">
        <v>5</v>
      </c>
    </row>
    <row r="646" spans="1:3" ht="15.75" thickBot="1">
      <c r="A646" s="6" t="s">
        <v>1225</v>
      </c>
      <c r="B646" s="5" t="s">
        <v>1226</v>
      </c>
      <c r="C646" s="3" t="s">
        <v>5</v>
      </c>
    </row>
    <row r="647" spans="1:3" ht="15.75" thickBot="1">
      <c r="A647" s="6" t="s">
        <v>1227</v>
      </c>
      <c r="B647" s="5" t="s">
        <v>1228</v>
      </c>
      <c r="C647" s="3" t="s">
        <v>5</v>
      </c>
    </row>
    <row r="648" spans="1:3" ht="15.75" thickBot="1">
      <c r="A648" s="6" t="s">
        <v>1229</v>
      </c>
      <c r="B648" s="5" t="s">
        <v>1230</v>
      </c>
      <c r="C648" s="3" t="s">
        <v>5</v>
      </c>
    </row>
    <row r="649" spans="1:3" ht="15.75" thickBot="1">
      <c r="A649" s="6" t="s">
        <v>1231</v>
      </c>
      <c r="B649" s="5" t="s">
        <v>1232</v>
      </c>
      <c r="C649" s="3" t="s">
        <v>5</v>
      </c>
    </row>
    <row r="650" spans="1:3" ht="15.75" thickBot="1">
      <c r="A650" s="6" t="s">
        <v>1233</v>
      </c>
      <c r="B650" s="5" t="s">
        <v>1234</v>
      </c>
      <c r="C650" s="3" t="s">
        <v>5</v>
      </c>
    </row>
    <row r="651" spans="1:3" ht="15.75" thickBot="1">
      <c r="A651" s="6" t="s">
        <v>1235</v>
      </c>
      <c r="B651" s="5" t="e">
        <f xml:space="preserve"> backward pitch</f>
        <v>#NAME?</v>
      </c>
      <c r="C651" s="3" t="s">
        <v>5</v>
      </c>
    </row>
    <row r="652" spans="1:3" ht="15.75" thickBot="1">
      <c r="A652" s="6" t="s">
        <v>1236</v>
      </c>
      <c r="B652" s="5" t="s">
        <v>1237</v>
      </c>
      <c r="C652" s="3" t="s">
        <v>5</v>
      </c>
    </row>
    <row r="653" spans="1:3" ht="15.75" thickBot="1">
      <c r="A653" s="6" t="s">
        <v>1238</v>
      </c>
      <c r="B653" s="5" t="s">
        <v>1239</v>
      </c>
      <c r="C653" s="3" t="s">
        <v>5</v>
      </c>
    </row>
    <row r="654" spans="1:3" ht="15.75" thickBot="1">
      <c r="A654" s="6" t="s">
        <v>1240</v>
      </c>
      <c r="B654" s="5" t="s">
        <v>1241</v>
      </c>
      <c r="C654" s="3" t="s">
        <v>5</v>
      </c>
    </row>
    <row r="655" spans="1:3" ht="15.75" thickBot="1">
      <c r="A655" s="6" t="s">
        <v>1242</v>
      </c>
      <c r="B655" s="5" t="s">
        <v>1243</v>
      </c>
      <c r="C655" s="3" t="s">
        <v>5</v>
      </c>
    </row>
    <row r="656" spans="1:3" ht="15.75" thickBot="1">
      <c r="A656" s="6" t="s">
        <v>1244</v>
      </c>
      <c r="B656" s="5" t="s">
        <v>1245</v>
      </c>
      <c r="C656" s="3" t="s">
        <v>5</v>
      </c>
    </row>
    <row r="657" spans="1:3" ht="15.75" thickBot="1">
      <c r="A657" s="6" t="s">
        <v>1246</v>
      </c>
      <c r="B657" s="5" t="s">
        <v>1247</v>
      </c>
      <c r="C657" s="3" t="s">
        <v>5</v>
      </c>
    </row>
    <row r="658" spans="1:3">
      <c r="A658" s="1" t="s">
        <v>1248</v>
      </c>
      <c r="B658" s="2" t="s">
        <v>1249</v>
      </c>
      <c r="C658" s="3" t="s">
        <v>5</v>
      </c>
    </row>
    <row r="659" spans="1:3" ht="26.25" thickBot="1">
      <c r="A659" s="4"/>
      <c r="B659" s="5" t="s">
        <v>1250</v>
      </c>
      <c r="C659" s="3" t="s">
        <v>5</v>
      </c>
    </row>
    <row r="660" spans="1:3">
      <c r="A660" s="1" t="s">
        <v>1248</v>
      </c>
      <c r="B660" s="2" t="s">
        <v>1249</v>
      </c>
      <c r="C660" s="3" t="s">
        <v>5</v>
      </c>
    </row>
    <row r="661" spans="1:3" ht="26.25" thickBot="1">
      <c r="A661" s="4"/>
      <c r="B661" s="5" t="s">
        <v>1250</v>
      </c>
      <c r="C661" s="3" t="s">
        <v>5</v>
      </c>
    </row>
    <row r="662" spans="1:3" ht="15.75" thickBot="1">
      <c r="A662" s="6" t="s">
        <v>1251</v>
      </c>
      <c r="B662" s="5" t="s">
        <v>1252</v>
      </c>
      <c r="C662" s="3" t="s">
        <v>5</v>
      </c>
    </row>
    <row r="663" spans="1:3" ht="15.75" thickBot="1">
      <c r="A663" s="6" t="s">
        <v>1253</v>
      </c>
      <c r="B663" s="5" t="s">
        <v>1254</v>
      </c>
      <c r="C663" s="3" t="s">
        <v>5</v>
      </c>
    </row>
    <row r="664" spans="1:3" ht="15.75" thickBot="1">
      <c r="A664" s="6" t="s">
        <v>1255</v>
      </c>
      <c r="B664" s="5" t="s">
        <v>1254</v>
      </c>
      <c r="C664" s="3" t="s">
        <v>5</v>
      </c>
    </row>
    <row r="665" spans="1:3" ht="15.75" thickBot="1">
      <c r="A665" s="6" t="s">
        <v>1256</v>
      </c>
      <c r="B665" s="5" t="s">
        <v>1257</v>
      </c>
      <c r="C665" s="3" t="s">
        <v>5</v>
      </c>
    </row>
    <row r="666" spans="1:3" ht="15.75" thickBot="1">
      <c r="A666" s="6" t="s">
        <v>1258</v>
      </c>
      <c r="B666" s="5" t="s">
        <v>1259</v>
      </c>
      <c r="C666" s="3" t="s">
        <v>5</v>
      </c>
    </row>
    <row r="667" spans="1:3" ht="15.75" thickBot="1">
      <c r="A667" s="6" t="s">
        <v>1260</v>
      </c>
      <c r="B667" s="5" t="s">
        <v>1261</v>
      </c>
      <c r="C667" s="3" t="s">
        <v>5</v>
      </c>
    </row>
    <row r="668" spans="1:3" ht="15.75" thickBot="1">
      <c r="A668" s="6" t="s">
        <v>1262</v>
      </c>
      <c r="B668" s="5" t="s">
        <v>1263</v>
      </c>
      <c r="C668" s="3" t="s">
        <v>5</v>
      </c>
    </row>
    <row r="669" spans="1:3" ht="15.75" thickBot="1">
      <c r="A669" s="6" t="s">
        <v>1264</v>
      </c>
      <c r="B669" s="5" t="s">
        <v>1265</v>
      </c>
      <c r="C669" s="3" t="s">
        <v>5</v>
      </c>
    </row>
    <row r="670" spans="1:3" ht="15.75" thickBot="1">
      <c r="A670" s="6" t="s">
        <v>1266</v>
      </c>
      <c r="B670" s="5" t="s">
        <v>1267</v>
      </c>
      <c r="C670" s="3" t="s">
        <v>5</v>
      </c>
    </row>
    <row r="671" spans="1:3" ht="15.75" thickBot="1">
      <c r="A671" s="6" t="s">
        <v>1268</v>
      </c>
      <c r="B671" s="5" t="s">
        <v>1269</v>
      </c>
      <c r="C671" s="3" t="s">
        <v>5</v>
      </c>
    </row>
    <row r="672" spans="1:3" ht="15.75" thickBot="1">
      <c r="A672" s="6" t="s">
        <v>1270</v>
      </c>
      <c r="B672" s="5" t="s">
        <v>1271</v>
      </c>
      <c r="C672" s="3" t="s">
        <v>5</v>
      </c>
    </row>
    <row r="673" spans="1:3" ht="15.75" thickBot="1">
      <c r="A673" s="6" t="s">
        <v>1272</v>
      </c>
      <c r="B673" s="5" t="s">
        <v>1273</v>
      </c>
      <c r="C673" s="3" t="s">
        <v>5</v>
      </c>
    </row>
    <row r="674" spans="1:3" ht="15.75" thickBot="1">
      <c r="A674" s="6" t="s">
        <v>1274</v>
      </c>
      <c r="B674" s="5" t="s">
        <v>1275</v>
      </c>
      <c r="C674" s="3" t="s">
        <v>5</v>
      </c>
    </row>
    <row r="675" spans="1:3" ht="15.75" thickBot="1">
      <c r="A675" s="6" t="s">
        <v>1276</v>
      </c>
      <c r="B675" s="5" t="s">
        <v>1277</v>
      </c>
      <c r="C675" s="3" t="s">
        <v>5</v>
      </c>
    </row>
    <row r="676" spans="1:3">
      <c r="A676" s="1" t="s">
        <v>1278</v>
      </c>
      <c r="B676" s="2" t="s">
        <v>1279</v>
      </c>
      <c r="C676" s="3" t="s">
        <v>5</v>
      </c>
    </row>
    <row r="677" spans="1:3" ht="15.75" thickBot="1">
      <c r="A677" s="4"/>
      <c r="B677" s="5" t="s">
        <v>1280</v>
      </c>
      <c r="C677" s="3" t="s">
        <v>5</v>
      </c>
    </row>
    <row r="678" spans="1:3" ht="15.75" thickBot="1">
      <c r="A678" s="6" t="s">
        <v>1281</v>
      </c>
      <c r="B678" s="5" t="s">
        <v>1282</v>
      </c>
      <c r="C678" s="3" t="s">
        <v>5</v>
      </c>
    </row>
    <row r="679" spans="1:3">
      <c r="A679" s="1" t="s">
        <v>1283</v>
      </c>
      <c r="B679" s="2" t="s">
        <v>1284</v>
      </c>
      <c r="C679" s="3" t="s">
        <v>5</v>
      </c>
    </row>
    <row r="680" spans="1:3" ht="15.75" thickBot="1">
      <c r="A680" s="4"/>
      <c r="B680" s="5" t="s">
        <v>1285</v>
      </c>
      <c r="C680" s="3" t="s">
        <v>5</v>
      </c>
    </row>
    <row r="681" spans="1:3" ht="15.75" thickBot="1">
      <c r="A681" s="6" t="s">
        <v>1286</v>
      </c>
      <c r="B681" s="5" t="s">
        <v>1287</v>
      </c>
      <c r="C681" s="3" t="s">
        <v>5</v>
      </c>
    </row>
    <row r="682" spans="1:3" ht="15.75" thickBot="1">
      <c r="A682" s="6" t="s">
        <v>1288</v>
      </c>
      <c r="B682" s="5" t="e">
        <f xml:space="preserve"> backward lead</f>
        <v>#NAME?</v>
      </c>
      <c r="C682" s="3" t="s">
        <v>5</v>
      </c>
    </row>
    <row r="683" spans="1:3" ht="15.75" thickBot="1">
      <c r="A683" s="6" t="s">
        <v>1289</v>
      </c>
      <c r="B683" s="5" t="s">
        <v>1290</v>
      </c>
      <c r="C683" s="3" t="s">
        <v>5</v>
      </c>
    </row>
    <row r="684" spans="1:3" ht="15.75" thickBot="1">
      <c r="A684" s="6" t="s">
        <v>1291</v>
      </c>
      <c r="B684" s="5" t="s">
        <v>1292</v>
      </c>
      <c r="C684" s="3" t="s">
        <v>5</v>
      </c>
    </row>
    <row r="685" spans="1:3" ht="15.75" thickBot="1">
      <c r="A685" s="6" t="s">
        <v>1293</v>
      </c>
      <c r="B685" s="5" t="s">
        <v>1294</v>
      </c>
      <c r="C685" s="3" t="s">
        <v>5</v>
      </c>
    </row>
    <row r="686" spans="1:3" ht="15.75" thickBot="1">
      <c r="A686" s="6" t="s">
        <v>1295</v>
      </c>
      <c r="B686" s="5" t="s">
        <v>1296</v>
      </c>
      <c r="C686" s="3" t="s">
        <v>5</v>
      </c>
    </row>
    <row r="687" spans="1:3" ht="15.75" thickBot="1">
      <c r="A687" s="6" t="s">
        <v>1297</v>
      </c>
      <c r="B687" s="5" t="s">
        <v>1298</v>
      </c>
      <c r="C687" s="3" t="s">
        <v>5</v>
      </c>
    </row>
    <row r="688" spans="1:3" ht="15.75" thickBot="1">
      <c r="A688" s="6" t="s">
        <v>1299</v>
      </c>
      <c r="B688" s="5" t="s">
        <v>1300</v>
      </c>
      <c r="C688" s="3" t="s">
        <v>5</v>
      </c>
    </row>
    <row r="689" spans="1:3" ht="15.75" thickBot="1">
      <c r="A689" s="6" t="s">
        <v>1301</v>
      </c>
      <c r="B689" s="5" t="s">
        <v>1302</v>
      </c>
      <c r="C689" s="3" t="s">
        <v>5</v>
      </c>
    </row>
    <row r="690" spans="1:3" ht="15.75" thickBot="1">
      <c r="A690" s="6" t="s">
        <v>1303</v>
      </c>
      <c r="B690" s="5" t="s">
        <v>1304</v>
      </c>
      <c r="C690" s="3" t="s">
        <v>5</v>
      </c>
    </row>
    <row r="691" spans="1:3" ht="26.25" thickBot="1">
      <c r="A691" s="6" t="s">
        <v>1305</v>
      </c>
      <c r="B691" s="5" t="s">
        <v>1306</v>
      </c>
      <c r="C691" s="3" t="s">
        <v>5</v>
      </c>
    </row>
    <row r="692" spans="1:3" ht="15.75" thickBot="1">
      <c r="A692" s="6" t="s">
        <v>1307</v>
      </c>
      <c r="B692" s="5" t="s">
        <v>1308</v>
      </c>
      <c r="C692" s="3" t="s">
        <v>5</v>
      </c>
    </row>
    <row r="693" spans="1:3" ht="15.75" thickBot="1">
      <c r="A693" s="6" t="s">
        <v>1309</v>
      </c>
      <c r="B693" s="5" t="s">
        <v>1310</v>
      </c>
      <c r="C693" s="3" t="s">
        <v>5</v>
      </c>
    </row>
    <row r="694" spans="1:3" ht="15.75" thickBot="1">
      <c r="A694" s="6" t="s">
        <v>1311</v>
      </c>
      <c r="B694" s="5" t="s">
        <v>1312</v>
      </c>
      <c r="C694" s="3" t="s">
        <v>5</v>
      </c>
    </row>
    <row r="695" spans="1:3" ht="15.75" thickBot="1">
      <c r="A695" s="6" t="s">
        <v>1313</v>
      </c>
      <c r="B695" s="5" t="s">
        <v>1314</v>
      </c>
      <c r="C695" s="3" t="s">
        <v>5</v>
      </c>
    </row>
    <row r="696" spans="1:3" ht="15.75" thickBot="1">
      <c r="A696" s="6" t="s">
        <v>1315</v>
      </c>
      <c r="B696" s="5" t="s">
        <v>1316</v>
      </c>
      <c r="C696" s="3" t="s">
        <v>5</v>
      </c>
    </row>
    <row r="697" spans="1:3" ht="15.75" thickBot="1">
      <c r="A697" s="6" t="s">
        <v>1317</v>
      </c>
      <c r="B697" s="5" t="s">
        <v>1318</v>
      </c>
      <c r="C697" s="3" t="s">
        <v>5</v>
      </c>
    </row>
    <row r="698" spans="1:3" ht="15.75" thickBot="1">
      <c r="A698" s="6" t="s">
        <v>1319</v>
      </c>
      <c r="B698" s="5" t="s">
        <v>1320</v>
      </c>
      <c r="C698" s="3" t="s">
        <v>5</v>
      </c>
    </row>
    <row r="699" spans="1:3" ht="15.75" thickBot="1">
      <c r="A699" s="6" t="s">
        <v>1321</v>
      </c>
      <c r="B699" s="5" t="s">
        <v>1322</v>
      </c>
      <c r="C699" s="3" t="s">
        <v>5</v>
      </c>
    </row>
    <row r="700" spans="1:3" ht="15.75" thickBot="1">
      <c r="A700" s="6" t="s">
        <v>1323</v>
      </c>
      <c r="B700" s="5" t="s">
        <v>1324</v>
      </c>
      <c r="C700" s="3" t="s">
        <v>5</v>
      </c>
    </row>
    <row r="701" spans="1:3" ht="15.75" thickBot="1">
      <c r="A701" s="6" t="s">
        <v>1325</v>
      </c>
      <c r="B701" s="5" t="s">
        <v>1326</v>
      </c>
      <c r="C701" s="3" t="s">
        <v>5</v>
      </c>
    </row>
    <row r="702" spans="1:3" ht="15.75" thickBot="1">
      <c r="A702" s="6" t="s">
        <v>1327</v>
      </c>
      <c r="B702" s="5" t="s">
        <v>1328</v>
      </c>
      <c r="C702" s="3" t="s">
        <v>5</v>
      </c>
    </row>
    <row r="703" spans="1:3" ht="15.75" thickBot="1">
      <c r="A703" s="6" t="s">
        <v>1329</v>
      </c>
      <c r="B703" s="5" t="s">
        <v>1330</v>
      </c>
      <c r="C703" s="3" t="s">
        <v>5</v>
      </c>
    </row>
    <row r="704" spans="1:3" ht="15.75" thickBot="1">
      <c r="A704" s="6" t="s">
        <v>1331</v>
      </c>
      <c r="B704" s="5" t="s">
        <v>1332</v>
      </c>
      <c r="C704" s="3" t="s">
        <v>5</v>
      </c>
    </row>
    <row r="705" spans="1:3" ht="15.75" thickBot="1">
      <c r="A705" s="6" t="s">
        <v>1333</v>
      </c>
      <c r="B705" s="5" t="s">
        <v>1334</v>
      </c>
      <c r="C705" s="3" t="s">
        <v>5</v>
      </c>
    </row>
    <row r="706" spans="1:3">
      <c r="A706" s="1" t="s">
        <v>1335</v>
      </c>
      <c r="B706" s="2" t="s">
        <v>1336</v>
      </c>
      <c r="C706" s="3" t="s">
        <v>5</v>
      </c>
    </row>
    <row r="707" spans="1:3" ht="15.75" thickBot="1">
      <c r="A707" s="4"/>
      <c r="B707" s="5" t="s">
        <v>1337</v>
      </c>
      <c r="C707" s="3" t="s">
        <v>5</v>
      </c>
    </row>
    <row r="708" spans="1:3" ht="15.75" thickBot="1">
      <c r="A708" s="6" t="s">
        <v>1338</v>
      </c>
      <c r="B708" s="5" t="s">
        <v>1339</v>
      </c>
      <c r="C708" s="3" t="s">
        <v>5</v>
      </c>
    </row>
    <row r="709" spans="1:3">
      <c r="A709" s="1" t="s">
        <v>1340</v>
      </c>
      <c r="B709" s="2" t="s">
        <v>1341</v>
      </c>
      <c r="C709" s="3" t="s">
        <v>5</v>
      </c>
    </row>
    <row r="710" spans="1:3" ht="15.75" thickBot="1">
      <c r="A710" s="4"/>
      <c r="B710" s="5" t="s">
        <v>1342</v>
      </c>
      <c r="C710" s="3" t="s">
        <v>5</v>
      </c>
    </row>
    <row r="711" spans="1:3" ht="15.75" thickBot="1">
      <c r="A711" s="6" t="s">
        <v>1343</v>
      </c>
      <c r="B711" s="5" t="s">
        <v>1344</v>
      </c>
      <c r="C711" s="3" t="s">
        <v>5</v>
      </c>
    </row>
    <row r="712" spans="1:3" ht="15.75" thickBot="1">
      <c r="A712" s="6" t="s">
        <v>1345</v>
      </c>
      <c r="B712" s="5" t="s">
        <v>1346</v>
      </c>
      <c r="C712" s="3" t="s">
        <v>5</v>
      </c>
    </row>
    <row r="713" spans="1:3" ht="15.75" thickBot="1">
      <c r="A713" s="6" t="s">
        <v>1347</v>
      </c>
      <c r="B713" s="5" t="s">
        <v>1348</v>
      </c>
      <c r="C713" s="3" t="s">
        <v>5</v>
      </c>
    </row>
    <row r="714" spans="1:3" ht="15.75" thickBot="1">
      <c r="A714" s="6" t="s">
        <v>1349</v>
      </c>
      <c r="B714" s="5" t="s">
        <v>1350</v>
      </c>
      <c r="C714" s="3" t="s">
        <v>5</v>
      </c>
    </row>
    <row r="715" spans="1:3" ht="15.75" thickBot="1">
      <c r="A715" s="6" t="s">
        <v>1351</v>
      </c>
      <c r="B715" s="5" t="s">
        <v>1352</v>
      </c>
      <c r="C715" s="3" t="s">
        <v>5</v>
      </c>
    </row>
    <row r="716" spans="1:3" ht="15.75" thickBot="1">
      <c r="A716" s="6" t="s">
        <v>1353</v>
      </c>
      <c r="B716" s="5" t="s">
        <v>1354</v>
      </c>
      <c r="C716" s="3" t="s">
        <v>5</v>
      </c>
    </row>
    <row r="717" spans="1:3" ht="15.75" thickBot="1">
      <c r="A717" s="6" t="s">
        <v>1355</v>
      </c>
      <c r="B717" s="5" t="s">
        <v>1356</v>
      </c>
      <c r="C717" s="3" t="s">
        <v>5</v>
      </c>
    </row>
    <row r="718" spans="1:3" ht="15.75" thickBot="1">
      <c r="A718" s="6" t="s">
        <v>1357</v>
      </c>
      <c r="B718" s="5" t="s">
        <v>1358</v>
      </c>
      <c r="C718" s="3" t="s">
        <v>5</v>
      </c>
    </row>
    <row r="719" spans="1:3" ht="15.75" thickBot="1">
      <c r="A719" s="6" t="s">
        <v>1359</v>
      </c>
      <c r="B719" s="5" t="s">
        <v>1360</v>
      </c>
      <c r="C719" s="3" t="s">
        <v>5</v>
      </c>
    </row>
    <row r="720" spans="1:3">
      <c r="A720" s="1" t="s">
        <v>1361</v>
      </c>
      <c r="B720" s="2" t="s">
        <v>1362</v>
      </c>
      <c r="C720" s="3" t="s">
        <v>5</v>
      </c>
    </row>
    <row r="721" spans="1:3" ht="15.75" thickBot="1">
      <c r="A721" s="4"/>
      <c r="B721" s="5" t="s">
        <v>1363</v>
      </c>
      <c r="C721" s="3" t="s">
        <v>5</v>
      </c>
    </row>
    <row r="722" spans="1:3" ht="15.75" thickBot="1">
      <c r="A722" s="6" t="s">
        <v>1364</v>
      </c>
      <c r="B722" s="5" t="s">
        <v>1365</v>
      </c>
      <c r="C722" s="3" t="s">
        <v>5</v>
      </c>
    </row>
    <row r="723" spans="1:3" ht="15.75" thickBot="1">
      <c r="A723" s="6" t="s">
        <v>1366</v>
      </c>
      <c r="B723" s="5" t="s">
        <v>1367</v>
      </c>
      <c r="C723" s="3" t="s">
        <v>5</v>
      </c>
    </row>
    <row r="724" spans="1:3" ht="15.75" thickBot="1">
      <c r="A724" s="6" t="s">
        <v>1368</v>
      </c>
      <c r="B724" s="5" t="s">
        <v>1369</v>
      </c>
      <c r="C724" s="3" t="s">
        <v>5</v>
      </c>
    </row>
    <row r="725" spans="1:3" ht="15.75" thickBot="1">
      <c r="A725" s="6" t="s">
        <v>1370</v>
      </c>
      <c r="B725" s="5" t="s">
        <v>1371</v>
      </c>
      <c r="C725" s="3" t="s">
        <v>5</v>
      </c>
    </row>
    <row r="726" spans="1:3" ht="15.75" thickBot="1">
      <c r="A726" s="6" t="s">
        <v>1372</v>
      </c>
      <c r="B726" s="5" t="s">
        <v>1373</v>
      </c>
      <c r="C726" s="3" t="s">
        <v>5</v>
      </c>
    </row>
    <row r="727" spans="1:3" ht="15.75" thickBot="1">
      <c r="A727" s="6" t="s">
        <v>1374</v>
      </c>
      <c r="B727" s="5" t="s">
        <v>1375</v>
      </c>
      <c r="C727" s="3" t="s">
        <v>5</v>
      </c>
    </row>
    <row r="728" spans="1:3">
      <c r="A728" s="1" t="s">
        <v>1376</v>
      </c>
      <c r="B728" s="2" t="s">
        <v>1377</v>
      </c>
      <c r="C728" s="3" t="s">
        <v>5</v>
      </c>
    </row>
    <row r="729" spans="1:3" ht="15.75" thickBot="1">
      <c r="A729" s="4"/>
      <c r="B729" s="5" t="s">
        <v>1378</v>
      </c>
      <c r="C729" s="3" t="s">
        <v>5</v>
      </c>
    </row>
    <row r="730" spans="1:3" ht="15.75" thickBot="1">
      <c r="A730" s="6" t="s">
        <v>1379</v>
      </c>
      <c r="B730" s="5" t="s">
        <v>1380</v>
      </c>
      <c r="C730" s="3" t="s">
        <v>5</v>
      </c>
    </row>
    <row r="731" spans="1:3" ht="15.75" thickBot="1">
      <c r="A731" s="6" t="s">
        <v>1381</v>
      </c>
      <c r="B731" s="5" t="s">
        <v>1382</v>
      </c>
      <c r="C731" s="3" t="s">
        <v>5</v>
      </c>
    </row>
    <row r="732" spans="1:3" ht="15.75" thickBot="1">
      <c r="A732" s="6" t="s">
        <v>1383</v>
      </c>
      <c r="B732" s="5" t="s">
        <v>1384</v>
      </c>
      <c r="C732" s="3" t="s">
        <v>5</v>
      </c>
    </row>
    <row r="733" spans="1:3" ht="15.75" thickBot="1">
      <c r="A733" s="6" t="s">
        <v>1385</v>
      </c>
      <c r="B733" s="5" t="s">
        <v>1386</v>
      </c>
      <c r="C733" s="3" t="s">
        <v>5</v>
      </c>
    </row>
    <row r="734" spans="1:3" ht="15.75" thickBot="1">
      <c r="A734" s="6" t="s">
        <v>1387</v>
      </c>
      <c r="B734" s="5" t="s">
        <v>1388</v>
      </c>
      <c r="C734" s="3" t="s">
        <v>5</v>
      </c>
    </row>
    <row r="735" spans="1:3" ht="15.75" thickBot="1">
      <c r="A735" s="6" t="s">
        <v>1389</v>
      </c>
      <c r="B735" s="5" t="s">
        <v>1390</v>
      </c>
      <c r="C735" s="3" t="s">
        <v>5</v>
      </c>
    </row>
    <row r="736" spans="1:3" ht="15.75" thickBot="1">
      <c r="A736" s="6" t="s">
        <v>1391</v>
      </c>
      <c r="B736" s="5" t="s">
        <v>1392</v>
      </c>
      <c r="C736" s="3" t="s">
        <v>5</v>
      </c>
    </row>
    <row r="737" spans="1:3" ht="15.75" thickBot="1">
      <c r="A737" s="6" t="s">
        <v>1393</v>
      </c>
      <c r="B737" s="5" t="s">
        <v>1394</v>
      </c>
      <c r="C737" s="3" t="s">
        <v>5</v>
      </c>
    </row>
    <row r="738" spans="1:3" ht="15.75" thickBot="1">
      <c r="A738" s="6" t="s">
        <v>1395</v>
      </c>
      <c r="B738" s="5" t="s">
        <v>1396</v>
      </c>
      <c r="C738" s="3" t="s">
        <v>5</v>
      </c>
    </row>
    <row r="739" spans="1:3" ht="15.75" thickBot="1">
      <c r="A739" s="6" t="s">
        <v>1397</v>
      </c>
      <c r="B739" s="5" t="s">
        <v>1398</v>
      </c>
      <c r="C739" s="3" t="s">
        <v>5</v>
      </c>
    </row>
    <row r="740" spans="1:3" ht="15.75" thickBot="1">
      <c r="A740" s="6" t="s">
        <v>1399</v>
      </c>
      <c r="B740" s="5" t="s">
        <v>1400</v>
      </c>
      <c r="C740" s="3" t="s">
        <v>5</v>
      </c>
    </row>
    <row r="741" spans="1:3" ht="15.75" thickBot="1">
      <c r="A741" s="6" t="s">
        <v>1401</v>
      </c>
      <c r="B741" s="5" t="s">
        <v>1402</v>
      </c>
      <c r="C741" s="3" t="s">
        <v>5</v>
      </c>
    </row>
    <row r="742" spans="1:3" ht="15.75" thickBot="1">
      <c r="A742" s="6" t="s">
        <v>1403</v>
      </c>
      <c r="B742" s="5" t="s">
        <v>1404</v>
      </c>
      <c r="C742" s="3" t="s">
        <v>5</v>
      </c>
    </row>
    <row r="743" spans="1:3" ht="15.75" thickBot="1">
      <c r="A743" s="6" t="s">
        <v>1405</v>
      </c>
      <c r="B743" s="5" t="s">
        <v>1406</v>
      </c>
      <c r="C743" s="3" t="s">
        <v>5</v>
      </c>
    </row>
    <row r="744" spans="1:3" ht="15.75" thickBot="1">
      <c r="A744" s="6" t="s">
        <v>1407</v>
      </c>
      <c r="B744" s="5" t="s">
        <v>1408</v>
      </c>
      <c r="C744" s="3" t="s">
        <v>5</v>
      </c>
    </row>
    <row r="745" spans="1:3" ht="15.75" thickBot="1">
      <c r="A745" s="6" t="s">
        <v>1409</v>
      </c>
      <c r="B745" s="5" t="s">
        <v>1410</v>
      </c>
      <c r="C745" s="3" t="s">
        <v>5</v>
      </c>
    </row>
    <row r="746" spans="1:3" ht="15.75" thickBot="1">
      <c r="A746" s="6" t="s">
        <v>1411</v>
      </c>
      <c r="B746" s="5" t="s">
        <v>1412</v>
      </c>
      <c r="C746" s="3" t="s">
        <v>5</v>
      </c>
    </row>
    <row r="747" spans="1:3" ht="15.75" thickBot="1">
      <c r="A747" s="6" t="s">
        <v>1413</v>
      </c>
      <c r="B747" s="5" t="s">
        <v>1414</v>
      </c>
      <c r="C747" s="3" t="s">
        <v>5</v>
      </c>
    </row>
    <row r="748" spans="1:3" ht="15.75" thickBot="1">
      <c r="A748" s="6" t="s">
        <v>1415</v>
      </c>
      <c r="B748" s="5" t="s">
        <v>1416</v>
      </c>
      <c r="C748" s="3" t="s">
        <v>5</v>
      </c>
    </row>
    <row r="749" spans="1:3" ht="15.75" thickBot="1">
      <c r="A749" s="6" t="s">
        <v>1417</v>
      </c>
      <c r="B749" s="5" t="s">
        <v>1418</v>
      </c>
      <c r="C749" s="3" t="s">
        <v>5</v>
      </c>
    </row>
    <row r="750" spans="1:3" ht="15.75" thickBot="1">
      <c r="A750" s="6" t="s">
        <v>1419</v>
      </c>
      <c r="B750" s="5" t="s">
        <v>1420</v>
      </c>
      <c r="C750" s="3" t="s">
        <v>5</v>
      </c>
    </row>
    <row r="751" spans="1:3" ht="15.75" thickBot="1">
      <c r="A751" s="6" t="s">
        <v>1421</v>
      </c>
      <c r="B751" s="5" t="s">
        <v>1422</v>
      </c>
      <c r="C751" s="3" t="s">
        <v>5</v>
      </c>
    </row>
    <row r="752" spans="1:3">
      <c r="A752" s="1" t="s">
        <v>1423</v>
      </c>
      <c r="B752" s="2" t="s">
        <v>1424</v>
      </c>
      <c r="C752" s="3" t="s">
        <v>5</v>
      </c>
    </row>
    <row r="753" spans="1:3" ht="15.75" thickBot="1">
      <c r="A753" s="4"/>
      <c r="B753" s="5" t="e">
        <f xml:space="preserve"> Barkhausen oscillator</f>
        <v>#NAME?</v>
      </c>
      <c r="C753" s="3" t="s">
        <v>5</v>
      </c>
    </row>
    <row r="754" spans="1:3" ht="15.75" thickBot="1">
      <c r="A754" s="6" t="s">
        <v>1425</v>
      </c>
      <c r="B754" s="5" t="s">
        <v>1426</v>
      </c>
      <c r="C754" s="3" t="s">
        <v>5</v>
      </c>
    </row>
    <row r="755" spans="1:3" ht="15.75" thickBot="1">
      <c r="A755" s="6" t="s">
        <v>1427</v>
      </c>
      <c r="B755" s="5" t="e">
        <f xml:space="preserve"> ballast resistor</f>
        <v>#NAME?</v>
      </c>
      <c r="C755" s="3" t="s">
        <v>5</v>
      </c>
    </row>
    <row r="756" spans="1:3" ht="15.75" thickBot="1">
      <c r="A756" s="6" t="s">
        <v>1428</v>
      </c>
      <c r="B756" s="5" t="s">
        <v>1429</v>
      </c>
      <c r="C756" s="3" t="s">
        <v>5</v>
      </c>
    </row>
    <row r="757" spans="1:3" ht="15.75" thickBot="1">
      <c r="A757" s="6" t="s">
        <v>1430</v>
      </c>
      <c r="B757" s="5" t="s">
        <v>1431</v>
      </c>
      <c r="C757" s="3" t="s">
        <v>5</v>
      </c>
    </row>
    <row r="758" spans="1:3" ht="15.75" thickBot="1">
      <c r="A758" s="6" t="s">
        <v>1432</v>
      </c>
      <c r="B758" s="5" t="s">
        <v>1433</v>
      </c>
      <c r="C758" s="3" t="s">
        <v>5</v>
      </c>
    </row>
    <row r="759" spans="1:3" ht="15.75" thickBot="1">
      <c r="A759" s="6" t="s">
        <v>1434</v>
      </c>
      <c r="B759" s="5" t="s">
        <v>1435</v>
      </c>
      <c r="C759" s="3" t="s">
        <v>5</v>
      </c>
    </row>
    <row r="760" spans="1:3" ht="15.75" thickBot="1">
      <c r="A760" s="6" t="s">
        <v>1436</v>
      </c>
      <c r="B760" s="5" t="s">
        <v>1437</v>
      </c>
      <c r="C760" s="3" t="s">
        <v>5</v>
      </c>
    </row>
    <row r="761" spans="1:3" ht="15.75" thickBot="1">
      <c r="A761" s="6" t="s">
        <v>1438</v>
      </c>
      <c r="B761" s="5" t="s">
        <v>1439</v>
      </c>
      <c r="C761" s="3" t="s">
        <v>5</v>
      </c>
    </row>
    <row r="762" spans="1:3" ht="15.75" thickBot="1">
      <c r="A762" s="6" t="s">
        <v>1440</v>
      </c>
      <c r="B762" s="5" t="s">
        <v>1441</v>
      </c>
      <c r="C762" s="3" t="s">
        <v>5</v>
      </c>
    </row>
    <row r="763" spans="1:3" ht="15.75" thickBot="1">
      <c r="A763" s="6" t="s">
        <v>1442</v>
      </c>
      <c r="B763" s="5" t="s">
        <v>1443</v>
      </c>
      <c r="C763" s="3" t="s">
        <v>5</v>
      </c>
    </row>
    <row r="764" spans="1:3" ht="15.75" thickBot="1">
      <c r="A764" s="6" t="s">
        <v>1444</v>
      </c>
      <c r="B764" s="5" t="s">
        <v>1445</v>
      </c>
      <c r="C764" s="3" t="s">
        <v>5</v>
      </c>
    </row>
    <row r="765" spans="1:3" ht="15.75" thickBot="1">
      <c r="A765" s="6" t="s">
        <v>1446</v>
      </c>
      <c r="B765" s="5" t="s">
        <v>1447</v>
      </c>
      <c r="C765" s="3" t="s">
        <v>5</v>
      </c>
    </row>
    <row r="766" spans="1:3" ht="15.75" thickBot="1">
      <c r="A766" s="6" t="s">
        <v>1448</v>
      </c>
      <c r="B766" s="5" t="s">
        <v>1449</v>
      </c>
      <c r="C766" s="3" t="s">
        <v>5</v>
      </c>
    </row>
    <row r="767" spans="1:3" ht="15.75" thickBot="1">
      <c r="A767" s="6" t="s">
        <v>1448</v>
      </c>
      <c r="B767" s="5" t="s">
        <v>1449</v>
      </c>
      <c r="C767" s="3" t="s">
        <v>5</v>
      </c>
    </row>
    <row r="768" spans="1:3" ht="15.75" thickBot="1">
      <c r="A768" s="6" t="s">
        <v>1450</v>
      </c>
      <c r="B768" s="5" t="s">
        <v>1451</v>
      </c>
      <c r="C768" s="3" t="s">
        <v>5</v>
      </c>
    </row>
    <row r="769" spans="1:3" ht="15.75" thickBot="1">
      <c r="A769" s="6" t="s">
        <v>1452</v>
      </c>
      <c r="B769" s="5" t="s">
        <v>1453</v>
      </c>
      <c r="C769" s="3" t="s">
        <v>5</v>
      </c>
    </row>
    <row r="770" spans="1:3" ht="15.75" thickBot="1">
      <c r="A770" s="6" t="s">
        <v>1454</v>
      </c>
      <c r="B770" s="5" t="s">
        <v>1455</v>
      </c>
      <c r="C770" s="3" t="s">
        <v>5</v>
      </c>
    </row>
    <row r="771" spans="1:3">
      <c r="A771" s="1" t="s">
        <v>1456</v>
      </c>
      <c r="B771" s="2" t="s">
        <v>1457</v>
      </c>
      <c r="C771" s="3" t="s">
        <v>5</v>
      </c>
    </row>
    <row r="772" spans="1:3" ht="15.75" thickBot="1">
      <c r="A772" s="4"/>
      <c r="B772" s="5" t="s">
        <v>1458</v>
      </c>
      <c r="C772" s="3" t="s">
        <v>5</v>
      </c>
    </row>
    <row r="773" spans="1:3" ht="15.75" thickBot="1">
      <c r="A773" s="6" t="s">
        <v>1459</v>
      </c>
      <c r="B773" s="5" t="s">
        <v>1460</v>
      </c>
      <c r="C773" s="3" t="s">
        <v>5</v>
      </c>
    </row>
    <row r="774" spans="1:3" ht="15.75" thickBot="1">
      <c r="A774" s="6" t="s">
        <v>1461</v>
      </c>
      <c r="B774" s="5" t="s">
        <v>1462</v>
      </c>
      <c r="C774" s="3" t="s">
        <v>5</v>
      </c>
    </row>
    <row r="775" spans="1:3" ht="15.75" thickBot="1">
      <c r="A775" s="6" t="s">
        <v>1463</v>
      </c>
      <c r="B775" s="5" t="s">
        <v>1464</v>
      </c>
      <c r="C775" s="3" t="s">
        <v>5</v>
      </c>
    </row>
    <row r="776" spans="1:3" ht="15.75" thickBot="1">
      <c r="A776" s="6" t="s">
        <v>1465</v>
      </c>
      <c r="B776" s="5" t="s">
        <v>1466</v>
      </c>
      <c r="C776" s="3" t="s">
        <v>5</v>
      </c>
    </row>
    <row r="777" spans="1:3" ht="15.75" thickBot="1">
      <c r="A777" s="6" t="s">
        <v>1467</v>
      </c>
      <c r="B777" s="5" t="s">
        <v>1468</v>
      </c>
      <c r="C777" s="3" t="s">
        <v>5</v>
      </c>
    </row>
    <row r="778" spans="1:3">
      <c r="A778" s="1" t="s">
        <v>1469</v>
      </c>
      <c r="B778" s="2" t="s">
        <v>1470</v>
      </c>
      <c r="C778" s="3" t="s">
        <v>5</v>
      </c>
    </row>
    <row r="779" spans="1:3" ht="15.75" thickBot="1">
      <c r="A779" s="4"/>
      <c r="B779" s="5" t="s">
        <v>1471</v>
      </c>
      <c r="C779" s="3" t="s">
        <v>5</v>
      </c>
    </row>
    <row r="780" spans="1:3" ht="15.75" thickBot="1">
      <c r="A780" s="6" t="s">
        <v>1472</v>
      </c>
      <c r="B780" s="5" t="s">
        <v>1473</v>
      </c>
      <c r="C780" s="3" t="s">
        <v>5</v>
      </c>
    </row>
    <row r="781" spans="1:3" ht="15.75" thickBot="1">
      <c r="A781" s="6" t="s">
        <v>1474</v>
      </c>
      <c r="B781" s="5" t="e">
        <f xml:space="preserve"> basket coil</f>
        <v>#NAME?</v>
      </c>
      <c r="C781" s="3" t="s">
        <v>5</v>
      </c>
    </row>
    <row r="782" spans="1:3" ht="15.75" thickBot="1">
      <c r="A782" s="6" t="s">
        <v>1475</v>
      </c>
      <c r="B782" s="5" t="s">
        <v>1476</v>
      </c>
      <c r="C782" s="3" t="s">
        <v>5</v>
      </c>
    </row>
    <row r="783" spans="1:3" ht="15.75" thickBot="1">
      <c r="A783" s="6" t="s">
        <v>1477</v>
      </c>
      <c r="B783" s="5" t="s">
        <v>1478</v>
      </c>
      <c r="C783" s="3" t="s">
        <v>5</v>
      </c>
    </row>
    <row r="784" spans="1:3" ht="15.75" thickBot="1">
      <c r="A784" s="6" t="s">
        <v>1479</v>
      </c>
      <c r="B784" s="5" t="s">
        <v>1480</v>
      </c>
      <c r="C784" s="3" t="s">
        <v>5</v>
      </c>
    </row>
    <row r="785" spans="1:3" ht="15.75" thickBot="1">
      <c r="A785" s="6" t="s">
        <v>1481</v>
      </c>
      <c r="B785" s="5" t="s">
        <v>1482</v>
      </c>
      <c r="C785" s="3" t="s">
        <v>5</v>
      </c>
    </row>
    <row r="786" spans="1:3" ht="15.75" thickBot="1">
      <c r="A786" s="6" t="s">
        <v>1483</v>
      </c>
      <c r="B786" s="5" t="s">
        <v>1484</v>
      </c>
      <c r="C786" s="3" t="s">
        <v>5</v>
      </c>
    </row>
    <row r="787" spans="1:3" ht="15.75" thickBot="1">
      <c r="A787" s="6" t="s">
        <v>1485</v>
      </c>
      <c r="B787" s="5" t="s">
        <v>1486</v>
      </c>
      <c r="C787" s="3" t="s">
        <v>5</v>
      </c>
    </row>
    <row r="788" spans="1:3" ht="15.75" thickBot="1">
      <c r="A788" s="6" t="s">
        <v>1487</v>
      </c>
      <c r="B788" s="5" t="e">
        <f xml:space="preserve"> short winding</f>
        <v>#NAME?</v>
      </c>
      <c r="C788" s="3" t="s">
        <v>5</v>
      </c>
    </row>
    <row r="789" spans="1:3" ht="15.75" thickBot="1">
      <c r="A789" s="6" t="s">
        <v>1488</v>
      </c>
      <c r="B789" s="5" t="s">
        <v>1489</v>
      </c>
      <c r="C789" s="3" t="s">
        <v>5</v>
      </c>
    </row>
    <row r="790" spans="1:3" ht="15.75" thickBot="1">
      <c r="A790" s="6" t="s">
        <v>1490</v>
      </c>
      <c r="B790" s="5" t="s">
        <v>1491</v>
      </c>
      <c r="C790" s="3" t="s">
        <v>5</v>
      </c>
    </row>
    <row r="791" spans="1:3" ht="15.75" thickBot="1">
      <c r="A791" s="6" t="s">
        <v>1492</v>
      </c>
      <c r="B791" s="5" t="s">
        <v>1493</v>
      </c>
      <c r="C791" s="3" t="s">
        <v>5</v>
      </c>
    </row>
    <row r="792" spans="1:3" ht="15.75" thickBot="1">
      <c r="A792" s="6" t="s">
        <v>1494</v>
      </c>
      <c r="B792" s="5" t="s">
        <v>1495</v>
      </c>
      <c r="C792" s="3" t="s">
        <v>5</v>
      </c>
    </row>
    <row r="793" spans="1:3" ht="15.75" thickBot="1">
      <c r="A793" s="6" t="s">
        <v>1496</v>
      </c>
      <c r="B793" s="5" t="s">
        <v>1497</v>
      </c>
      <c r="C793" s="3" t="s">
        <v>5</v>
      </c>
    </row>
    <row r="794" spans="1:3" ht="15.75" thickBot="1">
      <c r="A794" s="6" t="s">
        <v>1498</v>
      </c>
      <c r="B794" s="5" t="s">
        <v>1499</v>
      </c>
      <c r="C794" s="3" t="s">
        <v>5</v>
      </c>
    </row>
    <row r="795" spans="1:3" ht="15.75" thickBot="1">
      <c r="A795" s="6" t="s">
        <v>1500</v>
      </c>
      <c r="B795" s="5" t="s">
        <v>1501</v>
      </c>
      <c r="C795" s="3" t="s">
        <v>5</v>
      </c>
    </row>
    <row r="796" spans="1:3" ht="15.75" thickBot="1">
      <c r="A796" s="6" t="s">
        <v>1502</v>
      </c>
      <c r="B796" s="5" t="s">
        <v>1503</v>
      </c>
      <c r="C796" s="3" t="s">
        <v>5</v>
      </c>
    </row>
    <row r="797" spans="1:3" ht="15.75" thickBot="1">
      <c r="A797" s="6" t="s">
        <v>1504</v>
      </c>
      <c r="B797" s="5" t="s">
        <v>1505</v>
      </c>
      <c r="C797" s="3" t="s">
        <v>5</v>
      </c>
    </row>
    <row r="798" spans="1:3" ht="15.75" thickBot="1">
      <c r="A798" s="6" t="s">
        <v>1506</v>
      </c>
      <c r="B798" s="5" t="s">
        <v>1507</v>
      </c>
      <c r="C798" s="3" t="s">
        <v>5</v>
      </c>
    </row>
    <row r="799" spans="1:3" ht="15.75" thickBot="1">
      <c r="A799" s="6" t="s">
        <v>1508</v>
      </c>
      <c r="B799" s="5" t="s">
        <v>1509</v>
      </c>
      <c r="C799" s="3" t="s">
        <v>5</v>
      </c>
    </row>
    <row r="800" spans="1:3" ht="15.75" thickBot="1">
      <c r="A800" s="6" t="s">
        <v>1510</v>
      </c>
      <c r="B800" s="5" t="s">
        <v>1511</v>
      </c>
      <c r="C800" s="3" t="s">
        <v>5</v>
      </c>
    </row>
    <row r="801" spans="1:3" ht="15.75" thickBot="1">
      <c r="A801" s="6" t="s">
        <v>1512</v>
      </c>
      <c r="B801" s="5" t="s">
        <v>1513</v>
      </c>
      <c r="C801" s="3" t="s">
        <v>5</v>
      </c>
    </row>
    <row r="802" spans="1:3" ht="15.75" thickBot="1">
      <c r="A802" s="6" t="s">
        <v>1512</v>
      </c>
      <c r="B802" s="5" t="s">
        <v>1513</v>
      </c>
      <c r="C802" s="3" t="s">
        <v>5</v>
      </c>
    </row>
    <row r="803" spans="1:3" ht="15.75" thickBot="1">
      <c r="A803" s="6" t="s">
        <v>1514</v>
      </c>
      <c r="B803" s="5" t="s">
        <v>1515</v>
      </c>
      <c r="C803" s="3" t="s">
        <v>5</v>
      </c>
    </row>
    <row r="804" spans="1:3" ht="15.75" thickBot="1">
      <c r="A804" s="6" t="s">
        <v>1516</v>
      </c>
      <c r="B804" s="5" t="s">
        <v>1517</v>
      </c>
      <c r="C804" s="3" t="s">
        <v>5</v>
      </c>
    </row>
    <row r="805" spans="1:3" ht="15.75" thickBot="1">
      <c r="A805" s="6" t="s">
        <v>1518</v>
      </c>
      <c r="B805" s="5" t="s">
        <v>1519</v>
      </c>
      <c r="C805" s="3" t="s">
        <v>5</v>
      </c>
    </row>
    <row r="806" spans="1:3" ht="15.75" thickBot="1">
      <c r="A806" s="6" t="s">
        <v>1520</v>
      </c>
      <c r="B806" s="5" t="s">
        <v>1521</v>
      </c>
      <c r="C806" s="3" t="s">
        <v>5</v>
      </c>
    </row>
    <row r="807" spans="1:3" ht="15.75" thickBot="1">
      <c r="A807" s="6" t="s">
        <v>1522</v>
      </c>
      <c r="B807" s="5" t="s">
        <v>1523</v>
      </c>
      <c r="C807" s="3" t="s">
        <v>5</v>
      </c>
    </row>
    <row r="808" spans="1:3" ht="15.75" thickBot="1">
      <c r="A808" s="6" t="s">
        <v>1524</v>
      </c>
      <c r="B808" s="5" t="s">
        <v>1525</v>
      </c>
      <c r="C808" s="3" t="s">
        <v>5</v>
      </c>
    </row>
    <row r="809" spans="1:3" ht="15.75" thickBot="1">
      <c r="A809" s="6" t="s">
        <v>1526</v>
      </c>
      <c r="B809" s="5" t="s">
        <v>1527</v>
      </c>
      <c r="C809" s="3" t="s">
        <v>5</v>
      </c>
    </row>
    <row r="810" spans="1:3" ht="15.75" thickBot="1">
      <c r="A810" s="6" t="s">
        <v>1528</v>
      </c>
      <c r="B810" s="5" t="s">
        <v>1529</v>
      </c>
      <c r="C810" s="3" t="s">
        <v>5</v>
      </c>
    </row>
    <row r="811" spans="1:3" ht="15.75" thickBot="1">
      <c r="A811" s="6" t="s">
        <v>1530</v>
      </c>
      <c r="B811" s="5" t="s">
        <v>1531</v>
      </c>
      <c r="C811" s="3" t="s">
        <v>5</v>
      </c>
    </row>
    <row r="812" spans="1:3" ht="15.75" thickBot="1">
      <c r="A812" s="6" t="s">
        <v>1532</v>
      </c>
      <c r="B812" s="5" t="s">
        <v>1533</v>
      </c>
      <c r="C812" s="3" t="s">
        <v>5</v>
      </c>
    </row>
    <row r="813" spans="1:3" ht="15.75" thickBot="1">
      <c r="A813" s="6" t="s">
        <v>1534</v>
      </c>
      <c r="B813" s="5" t="s">
        <v>1535</v>
      </c>
      <c r="C813" s="3" t="s">
        <v>5</v>
      </c>
    </row>
    <row r="814" spans="1:3" ht="15.75" thickBot="1">
      <c r="A814" s="6" t="s">
        <v>1536</v>
      </c>
      <c r="B814" s="5" t="s">
        <v>1537</v>
      </c>
      <c r="C814" s="3" t="s">
        <v>5</v>
      </c>
    </row>
    <row r="815" spans="1:3" ht="15.75" thickBot="1">
      <c r="A815" s="6" t="s">
        <v>1538</v>
      </c>
      <c r="B815" s="5" t="s">
        <v>1539</v>
      </c>
      <c r="C815" s="3" t="s">
        <v>5</v>
      </c>
    </row>
    <row r="816" spans="1:3" ht="15.75" thickBot="1">
      <c r="A816" s="6" t="s">
        <v>1540</v>
      </c>
      <c r="B816" s="5" t="s">
        <v>1541</v>
      </c>
      <c r="C816" s="3" t="s">
        <v>5</v>
      </c>
    </row>
    <row r="817" spans="1:3" ht="15.75" thickBot="1">
      <c r="A817" s="6" t="s">
        <v>1542</v>
      </c>
      <c r="B817" s="5" t="s">
        <v>1543</v>
      </c>
      <c r="C817" s="3" t="s">
        <v>5</v>
      </c>
    </row>
    <row r="818" spans="1:3" ht="15.75" thickBot="1">
      <c r="A818" s="6" t="s">
        <v>1544</v>
      </c>
      <c r="B818" s="5" t="s">
        <v>1545</v>
      </c>
      <c r="C818" s="3" t="s">
        <v>5</v>
      </c>
    </row>
    <row r="819" spans="1:3" ht="15.75" thickBot="1">
      <c r="A819" s="6" t="s">
        <v>1546</v>
      </c>
      <c r="B819" s="5" t="s">
        <v>1547</v>
      </c>
      <c r="C819" s="3" t="s">
        <v>5</v>
      </c>
    </row>
    <row r="820" spans="1:3" ht="15.75" thickBot="1">
      <c r="A820" s="6" t="s">
        <v>1548</v>
      </c>
      <c r="B820" s="5" t="s">
        <v>1549</v>
      </c>
      <c r="C820" s="3" t="s">
        <v>5</v>
      </c>
    </row>
    <row r="821" spans="1:3" ht="15.75" thickBot="1">
      <c r="A821" s="6" t="s">
        <v>1550</v>
      </c>
      <c r="B821" s="5" t="s">
        <v>1551</v>
      </c>
      <c r="C821" s="3" t="s">
        <v>5</v>
      </c>
    </row>
    <row r="822" spans="1:3" ht="15.75" thickBot="1">
      <c r="A822" s="6" t="s">
        <v>1552</v>
      </c>
      <c r="B822" s="5" t="s">
        <v>1553</v>
      </c>
      <c r="C822" s="3" t="s">
        <v>5</v>
      </c>
    </row>
    <row r="823" spans="1:3" ht="15.75" thickBot="1">
      <c r="A823" s="6" t="s">
        <v>1554</v>
      </c>
      <c r="B823" s="5" t="s">
        <v>1555</v>
      </c>
      <c r="C823" s="3" t="s">
        <v>5</v>
      </c>
    </row>
    <row r="824" spans="1:3" ht="15.75" thickBot="1">
      <c r="A824" s="6" t="s">
        <v>1556</v>
      </c>
      <c r="B824" s="5" t="s">
        <v>1557</v>
      </c>
      <c r="C824" s="3" t="s">
        <v>5</v>
      </c>
    </row>
    <row r="825" spans="1:3" ht="15.75" thickBot="1">
      <c r="A825" s="6" t="s">
        <v>1558</v>
      </c>
      <c r="B825" s="5" t="s">
        <v>1559</v>
      </c>
      <c r="C825" s="3" t="s">
        <v>5</v>
      </c>
    </row>
    <row r="826" spans="1:3" ht="15.75" thickBot="1">
      <c r="A826" s="6" t="s">
        <v>1560</v>
      </c>
      <c r="B826" s="5" t="s">
        <v>1561</v>
      </c>
      <c r="C826" s="3" t="s">
        <v>5</v>
      </c>
    </row>
    <row r="827" spans="1:3" ht="15.75" thickBot="1">
      <c r="A827" s="6" t="s">
        <v>1562</v>
      </c>
      <c r="B827" s="5" t="s">
        <v>1563</v>
      </c>
      <c r="C827" s="3" t="s">
        <v>5</v>
      </c>
    </row>
    <row r="828" spans="1:3" ht="15.75" thickBot="1">
      <c r="A828" s="6" t="s">
        <v>1564</v>
      </c>
      <c r="B828" s="5" t="s">
        <v>1565</v>
      </c>
      <c r="C828" s="3" t="s">
        <v>5</v>
      </c>
    </row>
    <row r="829" spans="1:3" ht="15.75" thickBot="1">
      <c r="A829" s="6" t="s">
        <v>1566</v>
      </c>
      <c r="B829" s="5" t="s">
        <v>1567</v>
      </c>
      <c r="C829" s="3" t="s">
        <v>5</v>
      </c>
    </row>
    <row r="830" spans="1:3" ht="15.75" thickBot="1">
      <c r="A830" s="6" t="s">
        <v>1568</v>
      </c>
      <c r="B830" s="5" t="s">
        <v>1569</v>
      </c>
      <c r="C830" s="3" t="s">
        <v>5</v>
      </c>
    </row>
    <row r="831" spans="1:3" ht="15.75" thickBot="1">
      <c r="A831" s="6" t="s">
        <v>1570</v>
      </c>
      <c r="B831" s="5" t="s">
        <v>1571</v>
      </c>
      <c r="C831" s="3" t="s">
        <v>5</v>
      </c>
    </row>
    <row r="832" spans="1:3" ht="15.75" thickBot="1">
      <c r="A832" s="6" t="s">
        <v>1572</v>
      </c>
      <c r="B832" s="5" t="s">
        <v>1573</v>
      </c>
      <c r="C832" s="3" t="s">
        <v>5</v>
      </c>
    </row>
    <row r="833" spans="1:3" ht="15.75" thickBot="1">
      <c r="A833" s="6" t="s">
        <v>1574</v>
      </c>
      <c r="B833" s="5" t="s">
        <v>1575</v>
      </c>
      <c r="C833" s="3" t="s">
        <v>5</v>
      </c>
    </row>
    <row r="834" spans="1:3" ht="15.75" thickBot="1">
      <c r="A834" s="6" t="s">
        <v>1576</v>
      </c>
      <c r="B834" s="5" t="s">
        <v>1577</v>
      </c>
      <c r="C834" s="3" t="s">
        <v>5</v>
      </c>
    </row>
    <row r="835" spans="1:3" ht="15.75" thickBot="1">
      <c r="A835" s="6" t="s">
        <v>1578</v>
      </c>
      <c r="B835" s="5" t="s">
        <v>1579</v>
      </c>
      <c r="C835" s="3" t="s">
        <v>5</v>
      </c>
    </row>
    <row r="836" spans="1:3" ht="15.75" thickBot="1">
      <c r="A836" s="6" t="s">
        <v>1580</v>
      </c>
      <c r="B836" s="5" t="s">
        <v>1581</v>
      </c>
      <c r="C836" s="3" t="s">
        <v>5</v>
      </c>
    </row>
    <row r="837" spans="1:3" ht="15.75" thickBot="1">
      <c r="A837" s="6" t="s">
        <v>1582</v>
      </c>
      <c r="B837" s="5" t="s">
        <v>1583</v>
      </c>
      <c r="C837" s="3" t="s">
        <v>5</v>
      </c>
    </row>
    <row r="838" spans="1:3" ht="15.75" thickBot="1">
      <c r="A838" s="6" t="s">
        <v>1584</v>
      </c>
      <c r="B838" s="5" t="s">
        <v>1585</v>
      </c>
      <c r="C838" s="3" t="s">
        <v>5</v>
      </c>
    </row>
    <row r="839" spans="1:3" ht="15.75" thickBot="1">
      <c r="A839" s="6" t="s">
        <v>1586</v>
      </c>
      <c r="B839" s="5" t="s">
        <v>1587</v>
      </c>
      <c r="C839" s="3" t="s">
        <v>5</v>
      </c>
    </row>
    <row r="840" spans="1:3" ht="15.75" thickBot="1">
      <c r="A840" s="6" t="s">
        <v>1588</v>
      </c>
      <c r="B840" s="5" t="s">
        <v>1589</v>
      </c>
      <c r="C840" s="3" t="s">
        <v>5</v>
      </c>
    </row>
    <row r="841" spans="1:3" ht="15.75" thickBot="1">
      <c r="A841" s="6" t="s">
        <v>1590</v>
      </c>
      <c r="B841" s="5" t="s">
        <v>1591</v>
      </c>
      <c r="C841" s="3" t="s">
        <v>5</v>
      </c>
    </row>
    <row r="842" spans="1:3" ht="15.75" thickBot="1">
      <c r="A842" s="6" t="s">
        <v>1592</v>
      </c>
      <c r="B842" s="5" t="s">
        <v>1593</v>
      </c>
      <c r="C842" s="3" t="s">
        <v>5</v>
      </c>
    </row>
    <row r="843" spans="1:3" ht="15.75" thickBot="1">
      <c r="A843" s="6" t="s">
        <v>1594</v>
      </c>
      <c r="B843" s="5" t="s">
        <v>1595</v>
      </c>
      <c r="C843" s="3" t="s">
        <v>5</v>
      </c>
    </row>
    <row r="844" spans="1:3" ht="15.75" thickBot="1">
      <c r="A844" s="6" t="s">
        <v>1596</v>
      </c>
      <c r="B844" s="5" t="s">
        <v>1597</v>
      </c>
      <c r="C844" s="3" t="s">
        <v>5</v>
      </c>
    </row>
    <row r="845" spans="1:3" ht="15.75" thickBot="1">
      <c r="A845" s="6" t="s">
        <v>1598</v>
      </c>
      <c r="B845" s="5" t="s">
        <v>1599</v>
      </c>
      <c r="C845" s="3" t="s">
        <v>5</v>
      </c>
    </row>
    <row r="846" spans="1:3" ht="26.25" thickBot="1">
      <c r="A846" s="6" t="s">
        <v>1600</v>
      </c>
      <c r="B846" s="5" t="s">
        <v>1601</v>
      </c>
      <c r="C846" s="3" t="s">
        <v>5</v>
      </c>
    </row>
    <row r="847" spans="1:3" ht="15.75" thickBot="1">
      <c r="A847" s="6" t="s">
        <v>1602</v>
      </c>
      <c r="B847" s="5" t="s">
        <v>1603</v>
      </c>
      <c r="C847" s="3" t="s">
        <v>5</v>
      </c>
    </row>
    <row r="848" spans="1:3">
      <c r="A848" s="1" t="s">
        <v>1604</v>
      </c>
      <c r="B848" s="2" t="s">
        <v>1605</v>
      </c>
      <c r="C848" s="3" t="s">
        <v>5</v>
      </c>
    </row>
    <row r="849" spans="1:3" ht="15.75" thickBot="1">
      <c r="A849" s="4"/>
      <c r="B849" s="5" t="e">
        <f xml:space="preserve"> beam power value</f>
        <v>#NAME?</v>
      </c>
      <c r="C849" s="3" t="s">
        <v>5</v>
      </c>
    </row>
    <row r="850" spans="1:3" ht="15.75" thickBot="1">
      <c r="A850" s="6" t="s">
        <v>1606</v>
      </c>
      <c r="B850" s="5" t="s">
        <v>1607</v>
      </c>
      <c r="C850" s="3" t="s">
        <v>5</v>
      </c>
    </row>
    <row r="851" spans="1:3" ht="15.75" thickBot="1">
      <c r="A851" s="6" t="s">
        <v>1608</v>
      </c>
      <c r="B851" s="5" t="s">
        <v>1609</v>
      </c>
      <c r="C851" s="3" t="s">
        <v>5</v>
      </c>
    </row>
    <row r="852" spans="1:3" ht="15.75" thickBot="1">
      <c r="A852" s="6" t="s">
        <v>1610</v>
      </c>
      <c r="B852" s="5" t="s">
        <v>1611</v>
      </c>
      <c r="C852" s="3" t="s">
        <v>5</v>
      </c>
    </row>
    <row r="853" spans="1:3" ht="15.75" thickBot="1">
      <c r="A853" s="6" t="s">
        <v>1612</v>
      </c>
      <c r="B853" s="5" t="s">
        <v>1613</v>
      </c>
      <c r="C853" s="3" t="s">
        <v>5</v>
      </c>
    </row>
    <row r="854" spans="1:3" ht="15.75" thickBot="1">
      <c r="A854" s="6" t="s">
        <v>1614</v>
      </c>
      <c r="B854" s="5" t="s">
        <v>1615</v>
      </c>
      <c r="C854" s="3" t="s">
        <v>5</v>
      </c>
    </row>
    <row r="855" spans="1:3" ht="15.75" thickBot="1">
      <c r="A855" s="6" t="s">
        <v>1616</v>
      </c>
      <c r="B855" s="5" t="s">
        <v>1617</v>
      </c>
      <c r="C855" s="3" t="s">
        <v>5</v>
      </c>
    </row>
    <row r="856" spans="1:3" ht="15.75" thickBot="1">
      <c r="A856" s="6" t="s">
        <v>1618</v>
      </c>
      <c r="B856" s="5" t="s">
        <v>1619</v>
      </c>
      <c r="C856" s="3" t="s">
        <v>5</v>
      </c>
    </row>
    <row r="857" spans="1:3" ht="15.75" thickBot="1">
      <c r="A857" s="6" t="s">
        <v>1620</v>
      </c>
      <c r="B857" s="5" t="s">
        <v>1621</v>
      </c>
      <c r="C857" s="3" t="s">
        <v>5</v>
      </c>
    </row>
    <row r="858" spans="1:3" ht="15.75" thickBot="1">
      <c r="A858" s="6" t="s">
        <v>1622</v>
      </c>
      <c r="B858" s="5" t="e">
        <f xml:space="preserve"> base plate</f>
        <v>#NAME?</v>
      </c>
      <c r="C858" s="3" t="s">
        <v>5</v>
      </c>
    </row>
    <row r="859" spans="1:3" ht="15.75" thickBot="1">
      <c r="A859" s="6" t="s">
        <v>1623</v>
      </c>
      <c r="B859" s="5" t="s">
        <v>1624</v>
      </c>
      <c r="C859" s="3" t="s">
        <v>5</v>
      </c>
    </row>
    <row r="860" spans="1:3" ht="15.75" thickBot="1">
      <c r="A860" s="6" t="s">
        <v>1625</v>
      </c>
      <c r="B860" s="5" t="s">
        <v>1626</v>
      </c>
      <c r="C860" s="3" t="s">
        <v>5</v>
      </c>
    </row>
    <row r="861" spans="1:3" ht="15.75" thickBot="1">
      <c r="A861" s="6" t="s">
        <v>1627</v>
      </c>
      <c r="B861" s="5" t="s">
        <v>1628</v>
      </c>
      <c r="C861" s="3" t="s">
        <v>5</v>
      </c>
    </row>
    <row r="862" spans="1:3" ht="15.75" thickBot="1">
      <c r="A862" s="6" t="s">
        <v>1629</v>
      </c>
      <c r="B862" s="5" t="s">
        <v>1630</v>
      </c>
      <c r="C862" s="3" t="s">
        <v>5</v>
      </c>
    </row>
    <row r="863" spans="1:3" ht="15.75" thickBot="1">
      <c r="A863" s="6" t="s">
        <v>1631</v>
      </c>
      <c r="B863" s="5" t="s">
        <v>1632</v>
      </c>
      <c r="C863" s="3" t="s">
        <v>5</v>
      </c>
    </row>
    <row r="864" spans="1:3">
      <c r="A864" s="1" t="s">
        <v>1633</v>
      </c>
      <c r="B864" s="2" t="s">
        <v>1634</v>
      </c>
      <c r="C864" s="3" t="s">
        <v>5</v>
      </c>
    </row>
    <row r="865" spans="1:3" ht="15.75" thickBot="1">
      <c r="A865" s="4"/>
      <c r="B865" s="5" t="e">
        <f xml:space="preserve"> bell push (button) switch</f>
        <v>#NAME?</v>
      </c>
      <c r="C865" s="3" t="s">
        <v>5</v>
      </c>
    </row>
    <row r="866" spans="1:3" ht="15.75" thickBot="1">
      <c r="A866" s="6" t="s">
        <v>1635</v>
      </c>
      <c r="B866" s="5" t="s">
        <v>1636</v>
      </c>
      <c r="C866" s="3" t="s">
        <v>5</v>
      </c>
    </row>
    <row r="867" spans="1:3" ht="15.75" thickBot="1">
      <c r="A867" s="6" t="s">
        <v>1637</v>
      </c>
      <c r="B867" s="5" t="e">
        <f xml:space="preserve"> bell-ringing transformer</f>
        <v>#NAME?</v>
      </c>
      <c r="C867" s="3" t="s">
        <v>5</v>
      </c>
    </row>
    <row r="868" spans="1:3">
      <c r="A868" s="1" t="s">
        <v>1638</v>
      </c>
      <c r="B868" s="2" t="s">
        <v>1639</v>
      </c>
      <c r="C868" s="3" t="s">
        <v>5</v>
      </c>
    </row>
    <row r="869" spans="1:3" ht="15.75" thickBot="1">
      <c r="A869" s="4"/>
      <c r="B869" s="5" t="s">
        <v>1640</v>
      </c>
      <c r="C869" s="3" t="s">
        <v>5</v>
      </c>
    </row>
    <row r="870" spans="1:3" ht="15.75" thickBot="1">
      <c r="A870" s="6" t="s">
        <v>1641</v>
      </c>
      <c r="B870" s="5" t="s">
        <v>1642</v>
      </c>
      <c r="C870" s="3" t="s">
        <v>5</v>
      </c>
    </row>
    <row r="871" spans="1:3" ht="15.75" thickBot="1">
      <c r="A871" s="6" t="s">
        <v>1643</v>
      </c>
      <c r="B871" s="5" t="s">
        <v>1644</v>
      </c>
      <c r="C871" s="3" t="s">
        <v>5</v>
      </c>
    </row>
    <row r="872" spans="1:3" ht="15.75" thickBot="1">
      <c r="A872" s="6" t="s">
        <v>1645</v>
      </c>
      <c r="B872" s="5" t="s">
        <v>1646</v>
      </c>
      <c r="C872" s="3" t="s">
        <v>5</v>
      </c>
    </row>
    <row r="873" spans="1:3" ht="15.75" thickBot="1">
      <c r="A873" s="6" t="s">
        <v>1647</v>
      </c>
      <c r="B873" s="5" t="s">
        <v>1648</v>
      </c>
      <c r="C873" s="3" t="s">
        <v>5</v>
      </c>
    </row>
    <row r="874" spans="1:3" ht="26.25" thickBot="1">
      <c r="A874" s="6" t="s">
        <v>1649</v>
      </c>
      <c r="B874" s="5" t="s">
        <v>1650</v>
      </c>
      <c r="C874" s="3" t="s">
        <v>5</v>
      </c>
    </row>
    <row r="875" spans="1:3" ht="15.75" thickBot="1">
      <c r="A875" s="6" t="s">
        <v>1651</v>
      </c>
      <c r="B875" s="5" t="s">
        <v>1652</v>
      </c>
      <c r="C875" s="3" t="s">
        <v>5</v>
      </c>
    </row>
    <row r="876" spans="1:3">
      <c r="A876" s="1" t="s">
        <v>1653</v>
      </c>
      <c r="B876" s="2" t="s">
        <v>1654</v>
      </c>
      <c r="C876" s="3" t="s">
        <v>5</v>
      </c>
    </row>
    <row r="877" spans="1:3" ht="15.75" thickBot="1">
      <c r="A877" s="4"/>
      <c r="B877" s="5" t="s">
        <v>1655</v>
      </c>
      <c r="C877" s="3" t="s">
        <v>5</v>
      </c>
    </row>
    <row r="878" spans="1:3" ht="15.75" thickBot="1">
      <c r="A878" s="6" t="s">
        <v>1656</v>
      </c>
      <c r="B878" s="5" t="s">
        <v>1657</v>
      </c>
      <c r="C878" s="3" t="s">
        <v>5</v>
      </c>
    </row>
    <row r="879" spans="1:3" ht="15.75" thickBot="1">
      <c r="A879" s="6" t="s">
        <v>1658</v>
      </c>
      <c r="B879" s="5" t="s">
        <v>1659</v>
      </c>
      <c r="C879" s="3" t="s">
        <v>5</v>
      </c>
    </row>
    <row r="880" spans="1:3" ht="15.75" thickBot="1">
      <c r="A880" s="6" t="s">
        <v>1660</v>
      </c>
      <c r="B880" s="5" t="s">
        <v>1661</v>
      </c>
      <c r="C880" s="3" t="s">
        <v>5</v>
      </c>
    </row>
    <row r="881" spans="1:3" ht="15.75" thickBot="1">
      <c r="A881" s="6" t="s">
        <v>1662</v>
      </c>
      <c r="B881" s="5" t="s">
        <v>1663</v>
      </c>
      <c r="C881" s="3" t="s">
        <v>5</v>
      </c>
    </row>
    <row r="882" spans="1:3" ht="15.75" thickBot="1">
      <c r="A882" s="6" t="s">
        <v>1664</v>
      </c>
      <c r="B882" s="5" t="s">
        <v>1665</v>
      </c>
      <c r="C882" s="3" t="s">
        <v>5</v>
      </c>
    </row>
    <row r="883" spans="1:3" ht="15.75" thickBot="1">
      <c r="A883" s="6" t="s">
        <v>1666</v>
      </c>
      <c r="B883" s="5" t="s">
        <v>1667</v>
      </c>
      <c r="C883" s="3" t="s">
        <v>5</v>
      </c>
    </row>
    <row r="884" spans="1:3" ht="15.75" thickBot="1">
      <c r="A884" s="6" t="s">
        <v>1668</v>
      </c>
      <c r="B884" s="5" t="s">
        <v>1669</v>
      </c>
      <c r="C884" s="3" t="s">
        <v>5</v>
      </c>
    </row>
    <row r="885" spans="1:3" ht="15.75" thickBot="1">
      <c r="A885" s="6" t="s">
        <v>1670</v>
      </c>
      <c r="B885" s="5" t="e">
        <f xml:space="preserve"> biasing resistor</f>
        <v>#NAME?</v>
      </c>
      <c r="C885" s="3" t="s">
        <v>5</v>
      </c>
    </row>
    <row r="886" spans="1:3" ht="15.75" thickBot="1">
      <c r="A886" s="6" t="s">
        <v>1671</v>
      </c>
      <c r="B886" s="5" t="s">
        <v>1672</v>
      </c>
      <c r="C886" s="3" t="s">
        <v>5</v>
      </c>
    </row>
    <row r="887" spans="1:3" ht="15.75" thickBot="1">
      <c r="A887" s="6" t="s">
        <v>1673</v>
      </c>
      <c r="B887" s="5" t="s">
        <v>1674</v>
      </c>
      <c r="C887" s="3" t="s">
        <v>5</v>
      </c>
    </row>
    <row r="888" spans="1:3" ht="15.75" thickBot="1">
      <c r="A888" s="6" t="s">
        <v>1675</v>
      </c>
      <c r="B888" s="5" t="s">
        <v>1676</v>
      </c>
      <c r="C888" s="3" t="s">
        <v>5</v>
      </c>
    </row>
    <row r="889" spans="1:3" ht="15.75" thickBot="1">
      <c r="A889" s="6" t="s">
        <v>1677</v>
      </c>
      <c r="B889" s="5" t="s">
        <v>1678</v>
      </c>
      <c r="C889" s="3" t="s">
        <v>5</v>
      </c>
    </row>
    <row r="890" spans="1:3" ht="15.75" thickBot="1">
      <c r="A890" s="6" t="s">
        <v>1679</v>
      </c>
      <c r="B890" s="5" t="s">
        <v>1680</v>
      </c>
      <c r="C890" s="3" t="s">
        <v>5</v>
      </c>
    </row>
    <row r="891" spans="1:3">
      <c r="A891" s="1" t="s">
        <v>1681</v>
      </c>
      <c r="B891" s="2" t="s">
        <v>1682</v>
      </c>
      <c r="C891" s="3" t="s">
        <v>5</v>
      </c>
    </row>
    <row r="892" spans="1:3" ht="15.75" thickBot="1">
      <c r="A892" s="4"/>
      <c r="B892" s="5" t="s">
        <v>1683</v>
      </c>
      <c r="C892" s="3" t="s">
        <v>5</v>
      </c>
    </row>
    <row r="893" spans="1:3" ht="15.75" thickBot="1">
      <c r="A893" s="6" t="s">
        <v>1684</v>
      </c>
      <c r="B893" s="5" t="s">
        <v>1685</v>
      </c>
      <c r="C893" s="3" t="s">
        <v>5</v>
      </c>
    </row>
    <row r="894" spans="1:3" ht="15.75" thickBot="1">
      <c r="A894" s="6" t="s">
        <v>1686</v>
      </c>
      <c r="B894" s="5" t="s">
        <v>1687</v>
      </c>
      <c r="C894" s="3" t="s">
        <v>5</v>
      </c>
    </row>
    <row r="895" spans="1:3" ht="15.75" thickBot="1">
      <c r="A895" s="6" t="s">
        <v>1688</v>
      </c>
      <c r="B895" s="5" t="s">
        <v>1689</v>
      </c>
      <c r="C895" s="3" t="s">
        <v>5</v>
      </c>
    </row>
    <row r="896" spans="1:3" ht="15.75" thickBot="1">
      <c r="A896" s="6" t="s">
        <v>1690</v>
      </c>
      <c r="B896" s="5" t="s">
        <v>1691</v>
      </c>
      <c r="C896" s="3" t="s">
        <v>5</v>
      </c>
    </row>
    <row r="897" spans="1:3" ht="15.75" thickBot="1">
      <c r="A897" s="6" t="s">
        <v>1692</v>
      </c>
      <c r="B897" s="5" t="s">
        <v>1693</v>
      </c>
      <c r="C897" s="3" t="s">
        <v>5</v>
      </c>
    </row>
    <row r="898" spans="1:3" ht="15.75" thickBot="1">
      <c r="A898" s="6" t="s">
        <v>1694</v>
      </c>
      <c r="B898" s="5" t="s">
        <v>1695</v>
      </c>
      <c r="C898" s="3" t="s">
        <v>5</v>
      </c>
    </row>
    <row r="899" spans="1:3" ht="15.75" thickBot="1">
      <c r="A899" s="6" t="s">
        <v>1696</v>
      </c>
      <c r="B899" s="5" t="s">
        <v>1697</v>
      </c>
      <c r="C899" s="3" t="s">
        <v>5</v>
      </c>
    </row>
    <row r="900" spans="1:3" ht="15.75" thickBot="1">
      <c r="A900" s="6" t="s">
        <v>1698</v>
      </c>
      <c r="B900" s="5" t="s">
        <v>1699</v>
      </c>
      <c r="C900" s="3" t="s">
        <v>5</v>
      </c>
    </row>
    <row r="901" spans="1:3" ht="15.75" thickBot="1">
      <c r="A901" s="6" t="s">
        <v>1700</v>
      </c>
      <c r="B901" s="5" t="s">
        <v>1701</v>
      </c>
      <c r="C901" s="3" t="s">
        <v>5</v>
      </c>
    </row>
    <row r="902" spans="1:3" ht="15.75" thickBot="1">
      <c r="A902" s="6" t="s">
        <v>1702</v>
      </c>
      <c r="B902" s="5" t="s">
        <v>1703</v>
      </c>
      <c r="C902" s="3" t="s">
        <v>5</v>
      </c>
    </row>
    <row r="903" spans="1:3" ht="15.75" thickBot="1">
      <c r="A903" s="6" t="s">
        <v>1704</v>
      </c>
      <c r="B903" s="5" t="s">
        <v>1705</v>
      </c>
      <c r="C903" s="3" t="s">
        <v>5</v>
      </c>
    </row>
    <row r="904" spans="1:3" ht="15.75" thickBot="1">
      <c r="A904" s="6" t="s">
        <v>1706</v>
      </c>
      <c r="B904" s="5" t="s">
        <v>1707</v>
      </c>
      <c r="C904" s="3" t="s">
        <v>5</v>
      </c>
    </row>
    <row r="905" spans="1:3" ht="15.75" thickBot="1">
      <c r="A905" s="6" t="s">
        <v>1708</v>
      </c>
      <c r="B905" s="5" t="s">
        <v>1709</v>
      </c>
      <c r="C905" s="3" t="s">
        <v>5</v>
      </c>
    </row>
    <row r="906" spans="1:3" ht="15.75" thickBot="1">
      <c r="A906" s="6" t="s">
        <v>1710</v>
      </c>
      <c r="B906" s="5" t="s">
        <v>1711</v>
      </c>
      <c r="C906" s="3" t="s">
        <v>5</v>
      </c>
    </row>
    <row r="907" spans="1:3" ht="15.75" thickBot="1">
      <c r="A907" s="6" t="s">
        <v>1712</v>
      </c>
      <c r="B907" s="5" t="s">
        <v>1713</v>
      </c>
      <c r="C907" s="3" t="s">
        <v>5</v>
      </c>
    </row>
    <row r="908" spans="1:3" ht="15.75" thickBot="1">
      <c r="A908" s="6" t="s">
        <v>1714</v>
      </c>
      <c r="B908" s="5" t="s">
        <v>1715</v>
      </c>
      <c r="C908" s="3" t="s">
        <v>5</v>
      </c>
    </row>
    <row r="909" spans="1:3" ht="15.75" thickBot="1">
      <c r="A909" s="6" t="s">
        <v>1716</v>
      </c>
      <c r="B909" s="5" t="s">
        <v>1717</v>
      </c>
      <c r="C909" s="3" t="s">
        <v>5</v>
      </c>
    </row>
    <row r="910" spans="1:3" ht="15.75" thickBot="1">
      <c r="A910" s="6" t="s">
        <v>1718</v>
      </c>
      <c r="B910" s="5" t="s">
        <v>1719</v>
      </c>
      <c r="C910" s="3" t="s">
        <v>5</v>
      </c>
    </row>
    <row r="911" spans="1:3" ht="15.75" thickBot="1">
      <c r="A911" s="6" t="s">
        <v>1720</v>
      </c>
      <c r="B911" s="5" t="s">
        <v>1721</v>
      </c>
      <c r="C911" s="3" t="s">
        <v>5</v>
      </c>
    </row>
    <row r="912" spans="1:3" ht="15.75" thickBot="1">
      <c r="A912" s="6" t="s">
        <v>1722</v>
      </c>
      <c r="B912" s="5" t="s">
        <v>1723</v>
      </c>
      <c r="C912" s="3" t="s">
        <v>5</v>
      </c>
    </row>
    <row r="913" spans="1:3" ht="15.75" thickBot="1">
      <c r="A913" s="6" t="s">
        <v>1724</v>
      </c>
      <c r="B913" s="5" t="s">
        <v>1725</v>
      </c>
      <c r="C913" s="3" t="s">
        <v>5</v>
      </c>
    </row>
    <row r="914" spans="1:3" ht="15.75" thickBot="1">
      <c r="A914" s="6" t="s">
        <v>1726</v>
      </c>
      <c r="B914" s="5" t="s">
        <v>1727</v>
      </c>
      <c r="C914" s="3" t="s">
        <v>5</v>
      </c>
    </row>
    <row r="915" spans="1:3" ht="15.75" thickBot="1">
      <c r="A915" s="6" t="s">
        <v>1728</v>
      </c>
      <c r="B915" s="5" t="s">
        <v>1729</v>
      </c>
      <c r="C915" s="3" t="s">
        <v>5</v>
      </c>
    </row>
    <row r="916" spans="1:3" ht="15.75" thickBot="1">
      <c r="A916" s="6" t="s">
        <v>1730</v>
      </c>
      <c r="B916" s="5" t="s">
        <v>1731</v>
      </c>
      <c r="C916" s="3" t="s">
        <v>5</v>
      </c>
    </row>
    <row r="917" spans="1:3">
      <c r="A917" s="1" t="s">
        <v>1732</v>
      </c>
      <c r="B917" s="2" t="s">
        <v>1733</v>
      </c>
      <c r="C917" s="3" t="s">
        <v>5</v>
      </c>
    </row>
    <row r="918" spans="1:3" ht="15.75" thickBot="1">
      <c r="A918" s="4"/>
      <c r="B918" s="5" t="s">
        <v>1734</v>
      </c>
      <c r="C918" s="3" t="s">
        <v>5</v>
      </c>
    </row>
    <row r="919" spans="1:3" ht="15.75" thickBot="1">
      <c r="A919" s="6" t="s">
        <v>1735</v>
      </c>
      <c r="B919" s="5" t="s">
        <v>1736</v>
      </c>
      <c r="C919" s="3" t="s">
        <v>5</v>
      </c>
    </row>
    <row r="920" spans="1:3">
      <c r="A920" s="1" t="s">
        <v>1737</v>
      </c>
      <c r="B920" s="2" t="s">
        <v>1738</v>
      </c>
      <c r="C920" s="3" t="s">
        <v>5</v>
      </c>
    </row>
    <row r="921" spans="1:3" ht="15.75" thickBot="1">
      <c r="A921" s="4"/>
      <c r="B921" s="5" t="s">
        <v>1739</v>
      </c>
      <c r="C921" s="3" t="s">
        <v>5</v>
      </c>
    </row>
    <row r="922" spans="1:3" ht="15.75" thickBot="1">
      <c r="A922" s="6" t="s">
        <v>1740</v>
      </c>
      <c r="B922" s="5" t="s">
        <v>1741</v>
      </c>
      <c r="C922" s="3" t="s">
        <v>5</v>
      </c>
    </row>
    <row r="923" spans="1:3">
      <c r="A923" s="1" t="s">
        <v>1742</v>
      </c>
      <c r="B923" s="2" t="s">
        <v>1743</v>
      </c>
      <c r="C923" s="3" t="s">
        <v>5</v>
      </c>
    </row>
    <row r="924" spans="1:3" ht="15.75" thickBot="1">
      <c r="A924" s="4"/>
      <c r="B924" s="5" t="s">
        <v>1744</v>
      </c>
      <c r="C924" s="3" t="s">
        <v>5</v>
      </c>
    </row>
    <row r="925" spans="1:3">
      <c r="A925" s="1" t="s">
        <v>1745</v>
      </c>
      <c r="B925" s="2" t="s">
        <v>1746</v>
      </c>
      <c r="C925" s="3" t="s">
        <v>5</v>
      </c>
    </row>
    <row r="926" spans="1:3" ht="15.75" thickBot="1">
      <c r="A926" s="4"/>
      <c r="B926" s="5" t="s">
        <v>1747</v>
      </c>
      <c r="C926" s="3" t="s">
        <v>5</v>
      </c>
    </row>
    <row r="927" spans="1:3">
      <c r="A927" s="1" t="s">
        <v>1745</v>
      </c>
      <c r="B927" s="2" t="s">
        <v>1746</v>
      </c>
      <c r="C927" s="3" t="s">
        <v>5</v>
      </c>
    </row>
    <row r="928" spans="1:3" ht="15.75" thickBot="1">
      <c r="A928" s="4"/>
      <c r="B928" s="5" t="s">
        <v>1747</v>
      </c>
      <c r="C928" s="3" t="s">
        <v>5</v>
      </c>
    </row>
    <row r="929" spans="1:3" ht="15.75" thickBot="1">
      <c r="A929" s="6" t="s">
        <v>1748</v>
      </c>
      <c r="B929" s="5" t="s">
        <v>1749</v>
      </c>
      <c r="C929" s="3" t="s">
        <v>5</v>
      </c>
    </row>
    <row r="930" spans="1:3" ht="15.75" thickBot="1">
      <c r="A930" s="6" t="s">
        <v>1750</v>
      </c>
      <c r="B930" s="5" t="s">
        <v>1751</v>
      </c>
      <c r="C930" s="3" t="s">
        <v>5</v>
      </c>
    </row>
    <row r="931" spans="1:3" ht="15.75" thickBot="1">
      <c r="A931" s="6" t="s">
        <v>1752</v>
      </c>
      <c r="B931" s="5" t="s">
        <v>1753</v>
      </c>
      <c r="C931" s="3" t="s">
        <v>5</v>
      </c>
    </row>
    <row r="932" spans="1:3">
      <c r="A932" s="1" t="s">
        <v>1754</v>
      </c>
      <c r="B932" s="2" t="s">
        <v>1755</v>
      </c>
      <c r="C932" s="3" t="s">
        <v>5</v>
      </c>
    </row>
    <row r="933" spans="1:3" ht="15.75" thickBot="1">
      <c r="A933" s="4"/>
      <c r="B933" s="5" t="s">
        <v>1756</v>
      </c>
      <c r="C933" s="3" t="s">
        <v>5</v>
      </c>
    </row>
    <row r="934" spans="1:3" ht="15.75" thickBot="1">
      <c r="A934" s="6" t="s">
        <v>1757</v>
      </c>
      <c r="B934" s="5" t="s">
        <v>1758</v>
      </c>
      <c r="C934" s="3" t="s">
        <v>5</v>
      </c>
    </row>
    <row r="935" spans="1:3" ht="15.75" thickBot="1">
      <c r="A935" s="6" t="s">
        <v>1759</v>
      </c>
      <c r="B935" s="5" t="s">
        <v>1760</v>
      </c>
      <c r="C935" s="3" t="s">
        <v>5</v>
      </c>
    </row>
    <row r="936" spans="1:3" ht="15.75" thickBot="1">
      <c r="A936" s="6" t="s">
        <v>1761</v>
      </c>
      <c r="B936" s="5" t="s">
        <v>1762</v>
      </c>
      <c r="C936" s="3" t="s">
        <v>5</v>
      </c>
    </row>
    <row r="937" spans="1:3" ht="15.75" thickBot="1">
      <c r="A937" s="6" t="s">
        <v>1763</v>
      </c>
      <c r="B937" s="5" t="s">
        <v>1764</v>
      </c>
      <c r="C937" s="3" t="s">
        <v>5</v>
      </c>
    </row>
    <row r="938" spans="1:3" ht="15.75" thickBot="1">
      <c r="A938" s="6" t="s">
        <v>1765</v>
      </c>
      <c r="B938" s="5" t="s">
        <v>1766</v>
      </c>
      <c r="C938" s="3" t="s">
        <v>5</v>
      </c>
    </row>
    <row r="939" spans="1:3" ht="15.75" thickBot="1">
      <c r="A939" s="6" t="s">
        <v>1767</v>
      </c>
      <c r="B939" s="5" t="s">
        <v>1768</v>
      </c>
      <c r="C939" s="3" t="s">
        <v>5</v>
      </c>
    </row>
    <row r="940" spans="1:3" ht="15.75" thickBot="1">
      <c r="A940" s="6" t="s">
        <v>1769</v>
      </c>
      <c r="B940" s="5" t="s">
        <v>1770</v>
      </c>
      <c r="C940" s="3" t="s">
        <v>5</v>
      </c>
    </row>
    <row r="941" spans="1:3" ht="15.75" thickBot="1">
      <c r="A941" s="6" t="s">
        <v>1771</v>
      </c>
      <c r="B941" s="5" t="s">
        <v>1772</v>
      </c>
      <c r="C941" s="3" t="s">
        <v>5</v>
      </c>
    </row>
    <row r="942" spans="1:3" ht="15.75" thickBot="1">
      <c r="A942" s="6" t="s">
        <v>1773</v>
      </c>
      <c r="B942" s="5" t="s">
        <v>1774</v>
      </c>
      <c r="C942" s="3" t="s">
        <v>5</v>
      </c>
    </row>
    <row r="943" spans="1:3" ht="15.75" thickBot="1">
      <c r="A943" s="6" t="s">
        <v>1775</v>
      </c>
      <c r="B943" s="5" t="s">
        <v>1776</v>
      </c>
      <c r="C943" s="3" t="s">
        <v>5</v>
      </c>
    </row>
    <row r="944" spans="1:3" ht="15.75" thickBot="1">
      <c r="A944" s="6" t="s">
        <v>1777</v>
      </c>
      <c r="B944" s="5" t="s">
        <v>1778</v>
      </c>
      <c r="C944" s="3" t="s">
        <v>5</v>
      </c>
    </row>
    <row r="945" spans="1:3" ht="15.75" thickBot="1">
      <c r="A945" s="6" t="s">
        <v>1779</v>
      </c>
      <c r="B945" s="5" t="s">
        <v>1780</v>
      </c>
      <c r="C945" s="3" t="s">
        <v>5</v>
      </c>
    </row>
    <row r="946" spans="1:3" ht="15.75" thickBot="1">
      <c r="A946" s="6" t="s">
        <v>1781</v>
      </c>
      <c r="B946" s="5" t="s">
        <v>1782</v>
      </c>
      <c r="C946" s="3" t="s">
        <v>5</v>
      </c>
    </row>
    <row r="947" spans="1:3" ht="15.75" thickBot="1">
      <c r="A947" s="6" t="s">
        <v>1783</v>
      </c>
      <c r="B947" s="5" t="s">
        <v>1784</v>
      </c>
      <c r="C947" s="3" t="s">
        <v>5</v>
      </c>
    </row>
    <row r="948" spans="1:3" ht="15.75" thickBot="1">
      <c r="A948" s="6" t="s">
        <v>1785</v>
      </c>
      <c r="B948" s="5" t="s">
        <v>1786</v>
      </c>
      <c r="C948" s="3" t="s">
        <v>5</v>
      </c>
    </row>
    <row r="949" spans="1:3" ht="15.75" thickBot="1">
      <c r="A949" s="6" t="s">
        <v>1787</v>
      </c>
      <c r="B949" s="5" t="s">
        <v>1788</v>
      </c>
      <c r="C949" s="3" t="s">
        <v>5</v>
      </c>
    </row>
    <row r="950" spans="1:3" ht="15.75" thickBot="1">
      <c r="A950" s="6" t="s">
        <v>1789</v>
      </c>
      <c r="B950" s="5" t="s">
        <v>1790</v>
      </c>
      <c r="C950" s="3" t="s">
        <v>5</v>
      </c>
    </row>
    <row r="951" spans="1:3" ht="15.75" thickBot="1">
      <c r="A951" s="6" t="s">
        <v>1791</v>
      </c>
      <c r="B951" s="5" t="s">
        <v>1792</v>
      </c>
      <c r="C951" s="3" t="s">
        <v>5</v>
      </c>
    </row>
    <row r="952" spans="1:3" ht="15.75" thickBot="1">
      <c r="A952" s="6" t="s">
        <v>1793</v>
      </c>
      <c r="B952" s="5" t="s">
        <v>1794</v>
      </c>
      <c r="C952" s="3" t="s">
        <v>5</v>
      </c>
    </row>
    <row r="953" spans="1:3" ht="15.75" thickBot="1">
      <c r="A953" s="6" t="s">
        <v>1795</v>
      </c>
      <c r="B953" s="5" t="s">
        <v>1796</v>
      </c>
      <c r="C953" s="3" t="s">
        <v>5</v>
      </c>
    </row>
    <row r="954" spans="1:3" ht="15.75" thickBot="1">
      <c r="A954" s="6" t="s">
        <v>1797</v>
      </c>
      <c r="B954" s="5" t="s">
        <v>1798</v>
      </c>
      <c r="C954" s="3" t="s">
        <v>5</v>
      </c>
    </row>
    <row r="955" spans="1:3" ht="15.75" thickBot="1">
      <c r="A955" s="6" t="s">
        <v>1799</v>
      </c>
      <c r="B955" s="5" t="s">
        <v>1800</v>
      </c>
      <c r="C955" s="3" t="s">
        <v>5</v>
      </c>
    </row>
    <row r="956" spans="1:3" ht="15.75" thickBot="1">
      <c r="A956" s="6" t="s">
        <v>1801</v>
      </c>
      <c r="B956" s="5" t="s">
        <v>1802</v>
      </c>
      <c r="C956" s="3" t="s">
        <v>5</v>
      </c>
    </row>
    <row r="957" spans="1:3" ht="15.75" thickBot="1">
      <c r="A957" s="6" t="s">
        <v>1803</v>
      </c>
      <c r="B957" s="5" t="s">
        <v>1804</v>
      </c>
      <c r="C957" s="3" t="s">
        <v>5</v>
      </c>
    </row>
    <row r="958" spans="1:3">
      <c r="A958" s="1" t="s">
        <v>1805</v>
      </c>
      <c r="B958" s="2" t="s">
        <v>1806</v>
      </c>
      <c r="C958" s="3" t="s">
        <v>5</v>
      </c>
    </row>
    <row r="959" spans="1:3" ht="26.25" thickBot="1">
      <c r="A959" s="4"/>
      <c r="B959" s="5" t="s">
        <v>1807</v>
      </c>
      <c r="C959" s="3" t="s">
        <v>5</v>
      </c>
    </row>
    <row r="960" spans="1:3" ht="15.75" thickBot="1">
      <c r="A960" s="6" t="s">
        <v>1808</v>
      </c>
      <c r="B960" s="5" t="s">
        <v>1809</v>
      </c>
      <c r="C960" s="3" t="s">
        <v>5</v>
      </c>
    </row>
    <row r="961" spans="1:3" ht="15.75" thickBot="1">
      <c r="A961" s="6" t="s">
        <v>1810</v>
      </c>
      <c r="B961" s="5" t="s">
        <v>1811</v>
      </c>
      <c r="C961" s="3" t="s">
        <v>5</v>
      </c>
    </row>
    <row r="962" spans="1:3" ht="15.75" thickBot="1">
      <c r="A962" s="6" t="s">
        <v>1812</v>
      </c>
      <c r="B962" s="5" t="s">
        <v>1813</v>
      </c>
      <c r="C962" s="3" t="s">
        <v>5</v>
      </c>
    </row>
    <row r="963" spans="1:3" ht="15.75" thickBot="1">
      <c r="A963" s="6" t="s">
        <v>1814</v>
      </c>
      <c r="B963" s="5" t="s">
        <v>1815</v>
      </c>
      <c r="C963" s="3" t="s">
        <v>5</v>
      </c>
    </row>
    <row r="964" spans="1:3" ht="15.75" thickBot="1">
      <c r="A964" s="6" t="s">
        <v>1816</v>
      </c>
      <c r="B964" s="5" t="s">
        <v>1817</v>
      </c>
      <c r="C964" s="3" t="s">
        <v>5</v>
      </c>
    </row>
    <row r="965" spans="1:3" ht="15.75" thickBot="1">
      <c r="A965" s="6" t="s">
        <v>1818</v>
      </c>
      <c r="B965" s="5" t="s">
        <v>1819</v>
      </c>
      <c r="C965" s="3" t="s">
        <v>5</v>
      </c>
    </row>
    <row r="966" spans="1:3">
      <c r="A966" s="1" t="s">
        <v>1820</v>
      </c>
      <c r="B966" s="2" t="s">
        <v>1821</v>
      </c>
      <c r="C966" s="3" t="s">
        <v>5</v>
      </c>
    </row>
    <row r="967" spans="1:3" ht="15.75" thickBot="1">
      <c r="A967" s="4"/>
      <c r="B967" s="5" t="e">
        <f xml:space="preserve"> blocking condenser</f>
        <v>#NAME?</v>
      </c>
      <c r="C967" s="3" t="s">
        <v>5</v>
      </c>
    </row>
    <row r="968" spans="1:3" ht="15.75" thickBot="1">
      <c r="A968" s="6" t="s">
        <v>1822</v>
      </c>
      <c r="B968" s="5" t="s">
        <v>1823</v>
      </c>
      <c r="C968" s="3" t="s">
        <v>5</v>
      </c>
    </row>
    <row r="969" spans="1:3" ht="15.75" thickBot="1">
      <c r="A969" s="6" t="s">
        <v>1824</v>
      </c>
      <c r="B969" s="5" t="s">
        <v>1825</v>
      </c>
      <c r="C969" s="3" t="s">
        <v>5</v>
      </c>
    </row>
    <row r="970" spans="1:3" ht="15.75" thickBot="1">
      <c r="A970" s="6" t="s">
        <v>1826</v>
      </c>
      <c r="B970" s="5" t="s">
        <v>1827</v>
      </c>
      <c r="C970" s="3" t="s">
        <v>5</v>
      </c>
    </row>
    <row r="971" spans="1:3" ht="15.75" thickBot="1">
      <c r="A971" s="6" t="s">
        <v>1828</v>
      </c>
      <c r="B971" s="5" t="s">
        <v>1829</v>
      </c>
      <c r="C971" s="3" t="s">
        <v>5</v>
      </c>
    </row>
    <row r="972" spans="1:3" ht="15.75" thickBot="1">
      <c r="A972" s="6" t="s">
        <v>1830</v>
      </c>
      <c r="B972" s="5" t="s">
        <v>1831</v>
      </c>
      <c r="C972" s="3" t="s">
        <v>5</v>
      </c>
    </row>
    <row r="973" spans="1:3" ht="15.75" thickBot="1">
      <c r="A973" s="6" t="s">
        <v>1832</v>
      </c>
      <c r="B973" s="5" t="s">
        <v>1833</v>
      </c>
      <c r="C973" s="3" t="s">
        <v>5</v>
      </c>
    </row>
    <row r="974" spans="1:3" ht="15.75" thickBot="1">
      <c r="A974" s="6" t="s">
        <v>1834</v>
      </c>
      <c r="B974" s="5" t="s">
        <v>1835</v>
      </c>
      <c r="C974" s="3" t="s">
        <v>5</v>
      </c>
    </row>
    <row r="975" spans="1:3">
      <c r="A975" s="1" t="s">
        <v>1836</v>
      </c>
      <c r="B975" s="2" t="s">
        <v>1837</v>
      </c>
      <c r="C975" s="3" t="s">
        <v>5</v>
      </c>
    </row>
    <row r="976" spans="1:3" ht="15.75" thickBot="1">
      <c r="A976" s="4"/>
      <c r="B976" s="5" t="s">
        <v>1838</v>
      </c>
      <c r="C976" s="3" t="s">
        <v>5</v>
      </c>
    </row>
    <row r="977" spans="1:3" ht="15.75" thickBot="1">
      <c r="A977" s="6" t="s">
        <v>1839</v>
      </c>
      <c r="B977" s="5" t="s">
        <v>1840</v>
      </c>
      <c r="C977" s="3" t="s">
        <v>5</v>
      </c>
    </row>
    <row r="978" spans="1:3" ht="15.75" thickBot="1">
      <c r="A978" s="6" t="s">
        <v>1841</v>
      </c>
      <c r="B978" s="5" t="s">
        <v>1842</v>
      </c>
      <c r="C978" s="3" t="s">
        <v>5</v>
      </c>
    </row>
    <row r="979" spans="1:3" ht="15.75" thickBot="1">
      <c r="A979" s="6" t="s">
        <v>1843</v>
      </c>
      <c r="B979" s="5" t="s">
        <v>1844</v>
      </c>
      <c r="C979" s="3" t="s">
        <v>5</v>
      </c>
    </row>
    <row r="980" spans="1:3" ht="15.75" thickBot="1">
      <c r="A980" s="6" t="s">
        <v>1845</v>
      </c>
      <c r="B980" s="5" t="s">
        <v>1846</v>
      </c>
      <c r="C980" s="3" t="s">
        <v>5</v>
      </c>
    </row>
    <row r="981" spans="1:3" ht="15.75" thickBot="1">
      <c r="A981" s="6" t="s">
        <v>1847</v>
      </c>
      <c r="B981" s="5" t="s">
        <v>1848</v>
      </c>
      <c r="C981" s="3" t="s">
        <v>5</v>
      </c>
    </row>
    <row r="982" spans="1:3" ht="15.75" thickBot="1">
      <c r="A982" s="6" t="s">
        <v>1849</v>
      </c>
      <c r="B982" s="5" t="s">
        <v>1850</v>
      </c>
      <c r="C982" s="3" t="s">
        <v>5</v>
      </c>
    </row>
    <row r="983" spans="1:3" ht="15.75" thickBot="1">
      <c r="A983" s="6" t="s">
        <v>1851</v>
      </c>
      <c r="B983" s="5" t="e">
        <f xml:space="preserve"> bogie truck</f>
        <v>#NAME?</v>
      </c>
      <c r="C983" s="3" t="s">
        <v>5</v>
      </c>
    </row>
    <row r="984" spans="1:3" ht="15.75" thickBot="1">
      <c r="A984" s="6" t="s">
        <v>1851</v>
      </c>
      <c r="B984" s="5" t="s">
        <v>1852</v>
      </c>
      <c r="C984" s="3" t="s">
        <v>5</v>
      </c>
    </row>
    <row r="985" spans="1:3" ht="15.75" thickBot="1">
      <c r="A985" s="6" t="s">
        <v>1853</v>
      </c>
      <c r="B985" s="5" t="s">
        <v>1854</v>
      </c>
      <c r="C985" s="3" t="s">
        <v>5</v>
      </c>
    </row>
    <row r="986" spans="1:3" ht="15.75" thickBot="1">
      <c r="A986" s="6" t="s">
        <v>1855</v>
      </c>
      <c r="B986" s="5" t="s">
        <v>1856</v>
      </c>
      <c r="C986" s="3" t="s">
        <v>5</v>
      </c>
    </row>
    <row r="987" spans="1:3" ht="15.75" thickBot="1">
      <c r="A987" s="6" t="s">
        <v>1857</v>
      </c>
      <c r="B987" s="5" t="s">
        <v>1858</v>
      </c>
      <c r="C987" s="3" t="s">
        <v>5</v>
      </c>
    </row>
    <row r="988" spans="1:3" ht="15.75" thickBot="1">
      <c r="A988" s="6" t="s">
        <v>1859</v>
      </c>
      <c r="B988" s="5" t="s">
        <v>1860</v>
      </c>
      <c r="C988" s="3" t="s">
        <v>5</v>
      </c>
    </row>
    <row r="989" spans="1:3" ht="15.75" thickBot="1">
      <c r="A989" s="6" t="s">
        <v>1861</v>
      </c>
      <c r="B989" s="5" t="s">
        <v>1862</v>
      </c>
      <c r="C989" s="3" t="s">
        <v>5</v>
      </c>
    </row>
    <row r="990" spans="1:3" ht="15.75" thickBot="1">
      <c r="A990" s="6" t="s">
        <v>1863</v>
      </c>
      <c r="B990" s="5" t="s">
        <v>1864</v>
      </c>
      <c r="C990" s="3" t="s">
        <v>5</v>
      </c>
    </row>
    <row r="991" spans="1:3">
      <c r="A991" s="1" t="s">
        <v>1865</v>
      </c>
      <c r="B991" s="2" t="s">
        <v>1866</v>
      </c>
      <c r="C991" s="3" t="s">
        <v>5</v>
      </c>
    </row>
    <row r="992" spans="1:3" ht="15.75" thickBot="1">
      <c r="A992" s="4"/>
      <c r="B992" s="5" t="e">
        <f xml:space="preserve"> book condenser</f>
        <v>#NAME?</v>
      </c>
      <c r="C992" s="3" t="s">
        <v>5</v>
      </c>
    </row>
    <row r="993" spans="1:3" ht="15.75" thickBot="1">
      <c r="A993" s="6" t="s">
        <v>1867</v>
      </c>
      <c r="B993" s="5" t="s">
        <v>1868</v>
      </c>
      <c r="C993" s="3" t="s">
        <v>5</v>
      </c>
    </row>
    <row r="994" spans="1:3" ht="15.75" thickBot="1">
      <c r="A994" s="6" t="s">
        <v>1869</v>
      </c>
      <c r="B994" s="5" t="s">
        <v>1870</v>
      </c>
      <c r="C994" s="3" t="s">
        <v>5</v>
      </c>
    </row>
    <row r="995" spans="1:3" ht="15.75" thickBot="1">
      <c r="A995" s="6" t="s">
        <v>1871</v>
      </c>
      <c r="B995" s="5" t="s">
        <v>1872</v>
      </c>
      <c r="C995" s="3" t="s">
        <v>5</v>
      </c>
    </row>
    <row r="996" spans="1:3" ht="15.75" thickBot="1">
      <c r="A996" s="6" t="s">
        <v>1873</v>
      </c>
      <c r="B996" s="5" t="s">
        <v>1874</v>
      </c>
      <c r="C996" s="3" t="s">
        <v>5</v>
      </c>
    </row>
    <row r="997" spans="1:3" ht="15.75" thickBot="1">
      <c r="A997" s="6" t="s">
        <v>1875</v>
      </c>
      <c r="B997" s="5" t="s">
        <v>1876</v>
      </c>
      <c r="C997" s="3" t="s">
        <v>5</v>
      </c>
    </row>
    <row r="998" spans="1:3" ht="15.75" thickBot="1">
      <c r="A998" s="6" t="s">
        <v>1877</v>
      </c>
      <c r="B998" s="5" t="s">
        <v>1878</v>
      </c>
      <c r="C998" s="3" t="s">
        <v>5</v>
      </c>
    </row>
    <row r="999" spans="1:3" ht="15.75" thickBot="1">
      <c r="A999" s="6" t="s">
        <v>1879</v>
      </c>
      <c r="B999" s="5" t="s">
        <v>1880</v>
      </c>
      <c r="C999" s="3" t="s">
        <v>5</v>
      </c>
    </row>
    <row r="1000" spans="1:3" ht="15.75" thickBot="1">
      <c r="A1000" s="6" t="s">
        <v>1881</v>
      </c>
      <c r="B1000" s="5" t="s">
        <v>1882</v>
      </c>
      <c r="C1000" s="3" t="s">
        <v>5</v>
      </c>
    </row>
    <row r="1001" spans="1:3" ht="15.75" thickBot="1">
      <c r="A1001" s="6" t="s">
        <v>1883</v>
      </c>
      <c r="B1001" s="5" t="s">
        <v>1884</v>
      </c>
      <c r="C1001" s="3" t="s">
        <v>5</v>
      </c>
    </row>
    <row r="1002" spans="1:3" ht="15.75" thickBot="1">
      <c r="A1002" s="6" t="s">
        <v>1885</v>
      </c>
      <c r="B1002" s="5" t="s">
        <v>1886</v>
      </c>
      <c r="C1002" s="3" t="s">
        <v>5</v>
      </c>
    </row>
    <row r="1003" spans="1:3" ht="15.75" thickBot="1">
      <c r="A1003" s="6" t="s">
        <v>1887</v>
      </c>
      <c r="B1003" s="5" t="s">
        <v>1888</v>
      </c>
      <c r="C1003" s="3" t="s">
        <v>5</v>
      </c>
    </row>
    <row r="1004" spans="1:3" ht="15.75" thickBot="1">
      <c r="A1004" s="6" t="s">
        <v>1889</v>
      </c>
      <c r="B1004" s="5" t="s">
        <v>1890</v>
      </c>
      <c r="C1004" s="3" t="s">
        <v>5</v>
      </c>
    </row>
    <row r="1005" spans="1:3" ht="15.75" thickBot="1">
      <c r="A1005" s="6" t="s">
        <v>1891</v>
      </c>
      <c r="B1005" s="5" t="s">
        <v>1892</v>
      </c>
      <c r="C1005" s="3" t="s">
        <v>5</v>
      </c>
    </row>
    <row r="1006" spans="1:3" ht="15.75" thickBot="1">
      <c r="A1006" s="6" t="s">
        <v>1893</v>
      </c>
      <c r="B1006" s="5" t="s">
        <v>1894</v>
      </c>
      <c r="C1006" s="3" t="s">
        <v>5</v>
      </c>
    </row>
    <row r="1007" spans="1:3" ht="15.75" thickBot="1">
      <c r="A1007" s="6" t="s">
        <v>1895</v>
      </c>
      <c r="B1007" s="5" t="s">
        <v>1896</v>
      </c>
      <c r="C1007" s="3" t="s">
        <v>5</v>
      </c>
    </row>
    <row r="1008" spans="1:3" ht="15.75" thickBot="1">
      <c r="A1008" s="6" t="s">
        <v>1897</v>
      </c>
      <c r="B1008" s="5" t="s">
        <v>1898</v>
      </c>
      <c r="C1008" s="3" t="s">
        <v>5</v>
      </c>
    </row>
    <row r="1009" spans="1:3" ht="15.75" thickBot="1">
      <c r="A1009" s="6" t="s">
        <v>1899</v>
      </c>
      <c r="B1009" s="5" t="s">
        <v>1900</v>
      </c>
      <c r="C1009" s="3" t="s">
        <v>5</v>
      </c>
    </row>
    <row r="1010" spans="1:3" ht="15.75" thickBot="1">
      <c r="A1010" s="6" t="s">
        <v>1901</v>
      </c>
      <c r="B1010" s="5" t="s">
        <v>1902</v>
      </c>
      <c r="C1010" s="3" t="s">
        <v>5</v>
      </c>
    </row>
    <row r="1011" spans="1:3" ht="15.75" thickBot="1">
      <c r="A1011" s="6" t="s">
        <v>1903</v>
      </c>
      <c r="B1011" s="5" t="s">
        <v>1904</v>
      </c>
      <c r="C1011" s="3" t="s">
        <v>5</v>
      </c>
    </row>
    <row r="1012" spans="1:3" ht="15.75" thickBot="1">
      <c r="A1012" s="6" t="s">
        <v>1905</v>
      </c>
      <c r="B1012" s="5" t="s">
        <v>1906</v>
      </c>
      <c r="C1012" s="3" t="s">
        <v>5</v>
      </c>
    </row>
    <row r="1013" spans="1:3" ht="15.75" thickBot="1">
      <c r="A1013" s="6" t="s">
        <v>1907</v>
      </c>
      <c r="B1013" s="5" t="s">
        <v>1908</v>
      </c>
      <c r="C1013" s="3" t="s">
        <v>5</v>
      </c>
    </row>
    <row r="1014" spans="1:3" ht="15.75" thickBot="1">
      <c r="A1014" s="6" t="s">
        <v>1909</v>
      </c>
      <c r="B1014" s="5" t="s">
        <v>1910</v>
      </c>
      <c r="C1014" s="3" t="s">
        <v>5</v>
      </c>
    </row>
    <row r="1015" spans="1:3">
      <c r="A1015" s="1" t="s">
        <v>1911</v>
      </c>
      <c r="B1015" s="2" t="s">
        <v>1212</v>
      </c>
      <c r="C1015" s="3" t="s">
        <v>5</v>
      </c>
    </row>
    <row r="1016" spans="1:3" ht="15.75" thickBot="1">
      <c r="A1016" s="4"/>
      <c r="B1016" s="5" t="s">
        <v>1912</v>
      </c>
      <c r="C1016" s="3" t="s">
        <v>5</v>
      </c>
    </row>
    <row r="1017" spans="1:3" ht="15.75" thickBot="1">
      <c r="A1017" s="6" t="s">
        <v>1913</v>
      </c>
      <c r="B1017" s="5" t="s">
        <v>1914</v>
      </c>
      <c r="C1017" s="3" t="s">
        <v>5</v>
      </c>
    </row>
    <row r="1018" spans="1:3" ht="15.75" thickBot="1">
      <c r="A1018" s="6" t="s">
        <v>1915</v>
      </c>
      <c r="B1018" s="5" t="s">
        <v>1916</v>
      </c>
      <c r="C1018" s="3" t="s">
        <v>5</v>
      </c>
    </row>
    <row r="1019" spans="1:3" ht="15.75" thickBot="1">
      <c r="A1019" s="6" t="s">
        <v>1917</v>
      </c>
      <c r="B1019" s="5" t="s">
        <v>1918</v>
      </c>
      <c r="C1019" s="3" t="s">
        <v>5</v>
      </c>
    </row>
    <row r="1020" spans="1:3" ht="15.75" thickBot="1">
      <c r="A1020" s="6" t="s">
        <v>1919</v>
      </c>
      <c r="B1020" s="5" t="s">
        <v>1920</v>
      </c>
      <c r="C1020" s="3" t="s">
        <v>5</v>
      </c>
    </row>
    <row r="1021" spans="1:3" ht="15.75" thickBot="1">
      <c r="A1021" s="6" t="s">
        <v>1921</v>
      </c>
      <c r="B1021" s="5" t="s">
        <v>1922</v>
      </c>
      <c r="C1021" s="3" t="s">
        <v>5</v>
      </c>
    </row>
    <row r="1022" spans="1:3" ht="15.75" thickBot="1">
      <c r="A1022" s="6" t="s">
        <v>1923</v>
      </c>
      <c r="B1022" s="5" t="s">
        <v>1924</v>
      </c>
      <c r="C1022" s="3" t="s">
        <v>5</v>
      </c>
    </row>
    <row r="1023" spans="1:3" ht="15.75" thickBot="1">
      <c r="A1023" s="6" t="s">
        <v>1925</v>
      </c>
      <c r="B1023" s="5" t="s">
        <v>1926</v>
      </c>
      <c r="C1023" s="3" t="s">
        <v>5</v>
      </c>
    </row>
    <row r="1024" spans="1:3" ht="15.75" thickBot="1">
      <c r="A1024" s="6" t="s">
        <v>1927</v>
      </c>
      <c r="B1024" s="5" t="s">
        <v>1928</v>
      </c>
      <c r="C1024" s="3" t="s">
        <v>5</v>
      </c>
    </row>
    <row r="1025" spans="1:3" ht="15.75" thickBot="1">
      <c r="A1025" s="6" t="s">
        <v>1929</v>
      </c>
      <c r="B1025" s="5" t="s">
        <v>1930</v>
      </c>
      <c r="C1025" s="3" t="s">
        <v>5</v>
      </c>
    </row>
    <row r="1026" spans="1:3">
      <c r="A1026" s="1" t="s">
        <v>1931</v>
      </c>
      <c r="B1026" s="2" t="s">
        <v>1932</v>
      </c>
      <c r="C1026" s="3" t="s">
        <v>5</v>
      </c>
    </row>
    <row r="1027" spans="1:3" ht="15.75" thickBot="1">
      <c r="A1027" s="4"/>
      <c r="B1027" s="5" t="s">
        <v>1933</v>
      </c>
      <c r="C1027" s="3" t="s">
        <v>5</v>
      </c>
    </row>
    <row r="1028" spans="1:3" ht="15.75" thickBot="1">
      <c r="A1028" s="6" t="s">
        <v>1934</v>
      </c>
      <c r="B1028" s="5" t="s">
        <v>1935</v>
      </c>
      <c r="C1028" s="3" t="s">
        <v>5</v>
      </c>
    </row>
    <row r="1029" spans="1:3" ht="15.75" thickBot="1">
      <c r="A1029" s="6" t="s">
        <v>1936</v>
      </c>
      <c r="B1029" s="5" t="s">
        <v>1937</v>
      </c>
      <c r="C1029" s="3" t="s">
        <v>5</v>
      </c>
    </row>
    <row r="1030" spans="1:3" ht="15.75" thickBot="1">
      <c r="A1030" s="6" t="s">
        <v>1938</v>
      </c>
      <c r="B1030" s="5" t="s">
        <v>1939</v>
      </c>
      <c r="C1030" s="3" t="s">
        <v>5</v>
      </c>
    </row>
    <row r="1031" spans="1:3" ht="15.75" thickBot="1">
      <c r="A1031" s="6" t="s">
        <v>1940</v>
      </c>
      <c r="B1031" s="5" t="s">
        <v>1941</v>
      </c>
      <c r="C1031" s="3" t="s">
        <v>5</v>
      </c>
    </row>
    <row r="1032" spans="1:3" ht="15.75" thickBot="1">
      <c r="A1032" s="6" t="s">
        <v>1942</v>
      </c>
      <c r="B1032" s="5" t="s">
        <v>1943</v>
      </c>
      <c r="C1032" s="3" t="s">
        <v>5</v>
      </c>
    </row>
    <row r="1033" spans="1:3" ht="15.75" thickBot="1">
      <c r="A1033" s="6" t="s">
        <v>1944</v>
      </c>
      <c r="B1033" s="5" t="s">
        <v>1945</v>
      </c>
      <c r="C1033" s="3" t="s">
        <v>5</v>
      </c>
    </row>
    <row r="1034" spans="1:3" ht="15.75" thickBot="1">
      <c r="A1034" s="6" t="s">
        <v>1946</v>
      </c>
      <c r="B1034" s="5" t="s">
        <v>1947</v>
      </c>
      <c r="C1034" s="3" t="s">
        <v>5</v>
      </c>
    </row>
    <row r="1035" spans="1:3" ht="15.75" thickBot="1">
      <c r="A1035" s="6" t="s">
        <v>1948</v>
      </c>
      <c r="B1035" s="5" t="s">
        <v>1949</v>
      </c>
      <c r="C1035" s="3" t="s">
        <v>5</v>
      </c>
    </row>
    <row r="1036" spans="1:3" ht="15.75" thickBot="1">
      <c r="A1036" s="6" t="s">
        <v>1950</v>
      </c>
      <c r="B1036" s="5" t="s">
        <v>1951</v>
      </c>
      <c r="C1036" s="3" t="s">
        <v>5</v>
      </c>
    </row>
    <row r="1037" spans="1:3" ht="15.75" thickBot="1">
      <c r="A1037" s="6" t="s">
        <v>1952</v>
      </c>
      <c r="B1037" s="5" t="s">
        <v>1953</v>
      </c>
      <c r="C1037" s="3" t="s">
        <v>5</v>
      </c>
    </row>
    <row r="1038" spans="1:3" ht="15.75" thickBot="1">
      <c r="A1038" s="6" t="s">
        <v>1954</v>
      </c>
      <c r="B1038" s="5" t="s">
        <v>1955</v>
      </c>
      <c r="C1038" s="3" t="s">
        <v>5</v>
      </c>
    </row>
    <row r="1039" spans="1:3" ht="15.75" thickBot="1">
      <c r="A1039" s="6" t="s">
        <v>1956</v>
      </c>
      <c r="B1039" s="5" t="s">
        <v>1957</v>
      </c>
      <c r="C1039" s="3" t="s">
        <v>5</v>
      </c>
    </row>
    <row r="1040" spans="1:3">
      <c r="A1040" s="1" t="s">
        <v>1958</v>
      </c>
      <c r="B1040" s="2" t="s">
        <v>1959</v>
      </c>
      <c r="C1040" s="3" t="s">
        <v>5</v>
      </c>
    </row>
    <row r="1041" spans="1:3" ht="15.75" thickBot="1">
      <c r="A1041" s="4"/>
      <c r="B1041" s="5" t="s">
        <v>1960</v>
      </c>
      <c r="C1041" s="3" t="s">
        <v>5</v>
      </c>
    </row>
    <row r="1042" spans="1:3" ht="15.75" thickBot="1">
      <c r="A1042" s="6" t="s">
        <v>1961</v>
      </c>
      <c r="B1042" s="5" t="s">
        <v>1962</v>
      </c>
      <c r="C1042" s="3" t="s">
        <v>5</v>
      </c>
    </row>
    <row r="1043" spans="1:3" ht="15.75" thickBot="1">
      <c r="A1043" s="6" t="s">
        <v>1963</v>
      </c>
      <c r="B1043" s="5" t="s">
        <v>1964</v>
      </c>
      <c r="C1043" s="3" t="s">
        <v>5</v>
      </c>
    </row>
    <row r="1044" spans="1:3" ht="15.75" thickBot="1">
      <c r="A1044" s="6" t="s">
        <v>1965</v>
      </c>
      <c r="B1044" s="5" t="s">
        <v>1966</v>
      </c>
      <c r="C1044" s="3" t="s">
        <v>5</v>
      </c>
    </row>
    <row r="1045" spans="1:3" ht="15.75" thickBot="1">
      <c r="A1045" s="6" t="s">
        <v>1967</v>
      </c>
      <c r="B1045" s="5" t="s">
        <v>1968</v>
      </c>
      <c r="C1045" s="3" t="s">
        <v>5</v>
      </c>
    </row>
    <row r="1046" spans="1:3" ht="15.75" thickBot="1">
      <c r="A1046" s="6" t="s">
        <v>1969</v>
      </c>
      <c r="B1046" s="5" t="s">
        <v>1970</v>
      </c>
      <c r="C1046" s="3" t="s">
        <v>5</v>
      </c>
    </row>
    <row r="1047" spans="1:3" ht="15.75" thickBot="1">
      <c r="A1047" s="6" t="s">
        <v>1971</v>
      </c>
      <c r="B1047" s="5" t="s">
        <v>1972</v>
      </c>
      <c r="C1047" s="3" t="s">
        <v>5</v>
      </c>
    </row>
    <row r="1048" spans="1:3" ht="15.75" thickBot="1">
      <c r="A1048" s="6" t="s">
        <v>1973</v>
      </c>
      <c r="B1048" s="5" t="s">
        <v>1974</v>
      </c>
      <c r="C1048" s="3" t="s">
        <v>5</v>
      </c>
    </row>
    <row r="1049" spans="1:3" ht="15.75" thickBot="1">
      <c r="A1049" s="6" t="s">
        <v>1975</v>
      </c>
      <c r="B1049" s="5" t="s">
        <v>1976</v>
      </c>
      <c r="C1049" s="3" t="s">
        <v>5</v>
      </c>
    </row>
    <row r="1050" spans="1:3" ht="15.75" thickBot="1">
      <c r="A1050" s="6" t="s">
        <v>1977</v>
      </c>
      <c r="B1050" s="5" t="s">
        <v>1978</v>
      </c>
      <c r="C1050" s="3" t="s">
        <v>5</v>
      </c>
    </row>
    <row r="1051" spans="1:3" ht="15.75" thickBot="1">
      <c r="A1051" s="6" t="s">
        <v>1979</v>
      </c>
      <c r="B1051" s="5" t="s">
        <v>1980</v>
      </c>
      <c r="C1051" s="3" t="s">
        <v>5</v>
      </c>
    </row>
    <row r="1052" spans="1:3" ht="15.75" thickBot="1">
      <c r="A1052" s="6" t="s">
        <v>1981</v>
      </c>
      <c r="B1052" s="5" t="s">
        <v>1982</v>
      </c>
      <c r="C1052" s="3" t="s">
        <v>5</v>
      </c>
    </row>
    <row r="1053" spans="1:3" ht="15.75" thickBot="1">
      <c r="A1053" s="6" t="s">
        <v>1983</v>
      </c>
      <c r="B1053" s="5" t="s">
        <v>1984</v>
      </c>
      <c r="C1053" s="3" t="s">
        <v>5</v>
      </c>
    </row>
    <row r="1054" spans="1:3" ht="15.75" thickBot="1">
      <c r="A1054" s="6" t="s">
        <v>1985</v>
      </c>
      <c r="B1054" s="5" t="s">
        <v>1986</v>
      </c>
      <c r="C1054" s="3" t="s">
        <v>5</v>
      </c>
    </row>
    <row r="1055" spans="1:3" ht="15.75" thickBot="1">
      <c r="A1055" s="6" t="s">
        <v>1987</v>
      </c>
      <c r="B1055" s="5" t="s">
        <v>1988</v>
      </c>
      <c r="C1055" s="3" t="s">
        <v>5</v>
      </c>
    </row>
    <row r="1056" spans="1:3" ht="26.25" thickBot="1">
      <c r="A1056" s="6" t="s">
        <v>1989</v>
      </c>
      <c r="B1056" s="5" t="s">
        <v>1990</v>
      </c>
      <c r="C1056" s="3" t="s">
        <v>5</v>
      </c>
    </row>
    <row r="1057" spans="1:3" ht="15.75" thickBot="1">
      <c r="A1057" s="6" t="s">
        <v>1991</v>
      </c>
      <c r="B1057" s="5" t="s">
        <v>1992</v>
      </c>
      <c r="C1057" s="3" t="s">
        <v>5</v>
      </c>
    </row>
    <row r="1058" spans="1:3" ht="15.75" thickBot="1">
      <c r="A1058" s="6" t="s">
        <v>1993</v>
      </c>
      <c r="B1058" s="5" t="s">
        <v>1994</v>
      </c>
      <c r="C1058" s="3" t="s">
        <v>5</v>
      </c>
    </row>
    <row r="1059" spans="1:3">
      <c r="A1059" s="1" t="s">
        <v>1995</v>
      </c>
      <c r="B1059" s="2" t="s">
        <v>1996</v>
      </c>
      <c r="C1059" s="3" t="s">
        <v>5</v>
      </c>
    </row>
    <row r="1060" spans="1:3" ht="15.75" thickBot="1">
      <c r="A1060" s="4"/>
      <c r="B1060" s="5" t="s">
        <v>1997</v>
      </c>
      <c r="C1060" s="3" t="s">
        <v>5</v>
      </c>
    </row>
    <row r="1061" spans="1:3">
      <c r="A1061" s="1" t="s">
        <v>1998</v>
      </c>
      <c r="B1061" s="2" t="s">
        <v>1999</v>
      </c>
      <c r="C1061" s="3" t="s">
        <v>5</v>
      </c>
    </row>
    <row r="1062" spans="1:3" ht="15.75" thickBot="1">
      <c r="A1062" s="4"/>
      <c r="B1062" s="5" t="s">
        <v>2000</v>
      </c>
      <c r="C1062" s="3" t="s">
        <v>5</v>
      </c>
    </row>
    <row r="1063" spans="1:3" ht="15.75" thickBot="1">
      <c r="A1063" s="6" t="s">
        <v>2001</v>
      </c>
      <c r="B1063" s="5" t="s">
        <v>2002</v>
      </c>
      <c r="C1063" s="3" t="s">
        <v>5</v>
      </c>
    </row>
    <row r="1064" spans="1:3" ht="15.75" thickBot="1">
      <c r="A1064" s="6" t="s">
        <v>2003</v>
      </c>
      <c r="B1064" s="5" t="e">
        <f xml:space="preserve"> brightness control</f>
        <v>#NAME?</v>
      </c>
      <c r="C1064" s="3" t="s">
        <v>5</v>
      </c>
    </row>
    <row r="1065" spans="1:3" ht="15.75" thickBot="1">
      <c r="A1065" s="6" t="s">
        <v>2004</v>
      </c>
      <c r="B1065" s="5" t="s">
        <v>2005</v>
      </c>
      <c r="C1065" s="3" t="s">
        <v>5</v>
      </c>
    </row>
    <row r="1066" spans="1:3" ht="15.75" thickBot="1">
      <c r="A1066" s="6" t="s">
        <v>2006</v>
      </c>
      <c r="B1066" s="5" t="s">
        <v>2007</v>
      </c>
      <c r="C1066" s="3" t="s">
        <v>5</v>
      </c>
    </row>
    <row r="1067" spans="1:3" ht="15.75" thickBot="1">
      <c r="A1067" s="6" t="s">
        <v>2008</v>
      </c>
      <c r="B1067" s="5" t="s">
        <v>2009</v>
      </c>
      <c r="C1067" s="3" t="s">
        <v>5</v>
      </c>
    </row>
    <row r="1068" spans="1:3" ht="15.75" thickBot="1">
      <c r="A1068" s="6" t="s">
        <v>2010</v>
      </c>
      <c r="B1068" s="5" t="e">
        <f xml:space="preserve"> flat tuning</f>
        <v>#NAME?</v>
      </c>
      <c r="C1068" s="3" t="s">
        <v>5</v>
      </c>
    </row>
    <row r="1069" spans="1:3" ht="15.75" thickBot="1">
      <c r="A1069" s="6" t="s">
        <v>2011</v>
      </c>
      <c r="B1069" s="5" t="s">
        <v>2012</v>
      </c>
      <c r="C1069" s="3" t="s">
        <v>5</v>
      </c>
    </row>
    <row r="1070" spans="1:3" ht="15.75" thickBot="1">
      <c r="A1070" s="6" t="s">
        <v>2013</v>
      </c>
      <c r="B1070" s="5" t="s">
        <v>2014</v>
      </c>
      <c r="C1070" s="3" t="s">
        <v>5</v>
      </c>
    </row>
    <row r="1071" spans="1:3" ht="15.75" thickBot="1">
      <c r="A1071" s="6" t="s">
        <v>2015</v>
      </c>
      <c r="B1071" s="5" t="s">
        <v>2016</v>
      </c>
      <c r="C1071" s="3" t="s">
        <v>5</v>
      </c>
    </row>
    <row r="1072" spans="1:3" ht="15.75" thickBot="1">
      <c r="A1072" s="6" t="s">
        <v>2017</v>
      </c>
      <c r="B1072" s="5" t="s">
        <v>2018</v>
      </c>
      <c r="C1072" s="3" t="s">
        <v>5</v>
      </c>
    </row>
    <row r="1073" spans="1:3" ht="15.75" thickBot="1">
      <c r="A1073" s="6" t="s">
        <v>2019</v>
      </c>
      <c r="B1073" s="5" t="s">
        <v>2020</v>
      </c>
      <c r="C1073" s="3" t="s">
        <v>5</v>
      </c>
    </row>
    <row r="1074" spans="1:3" ht="15.75" thickBot="1">
      <c r="A1074" s="6" t="s">
        <v>2021</v>
      </c>
      <c r="B1074" s="5" t="s">
        <v>2022</v>
      </c>
      <c r="C1074" s="3" t="s">
        <v>5</v>
      </c>
    </row>
    <row r="1075" spans="1:3" ht="15.75" thickBot="1">
      <c r="A1075" s="6" t="s">
        <v>2023</v>
      </c>
      <c r="B1075" s="5" t="s">
        <v>2024</v>
      </c>
      <c r="C1075" s="3" t="s">
        <v>5</v>
      </c>
    </row>
    <row r="1076" spans="1:3" ht="15.75" thickBot="1">
      <c r="A1076" s="6" t="s">
        <v>2025</v>
      </c>
      <c r="B1076" s="5" t="s">
        <v>2026</v>
      </c>
      <c r="C1076" s="3" t="s">
        <v>5</v>
      </c>
    </row>
    <row r="1077" spans="1:3" ht="15.75" thickBot="1">
      <c r="A1077" s="6" t="s">
        <v>2027</v>
      </c>
      <c r="B1077" s="5" t="s">
        <v>2028</v>
      </c>
      <c r="C1077" s="3" t="s">
        <v>5</v>
      </c>
    </row>
    <row r="1078" spans="1:3" ht="15.75" thickBot="1">
      <c r="A1078" s="6" t="s">
        <v>2029</v>
      </c>
      <c r="B1078" s="5" t="s">
        <v>2024</v>
      </c>
      <c r="C1078" s="3" t="s">
        <v>5</v>
      </c>
    </row>
    <row r="1079" spans="1:3" ht="15.75" thickBot="1">
      <c r="A1079" s="6" t="s">
        <v>2030</v>
      </c>
      <c r="B1079" s="5" t="s">
        <v>2031</v>
      </c>
      <c r="C1079" s="3" t="s">
        <v>5</v>
      </c>
    </row>
    <row r="1080" spans="1:3" ht="15.75" thickBot="1">
      <c r="A1080" s="6" t="s">
        <v>2032</v>
      </c>
      <c r="B1080" s="5" t="s">
        <v>2033</v>
      </c>
      <c r="C1080" s="3" t="s">
        <v>5</v>
      </c>
    </row>
    <row r="1081" spans="1:3" ht="15.75" thickBot="1">
      <c r="A1081" s="6" t="s">
        <v>2034</v>
      </c>
      <c r="B1081" s="5" t="s">
        <v>2035</v>
      </c>
      <c r="C1081" s="3" t="s">
        <v>5</v>
      </c>
    </row>
    <row r="1082" spans="1:3" ht="15.75" thickBot="1">
      <c r="A1082" s="6" t="s">
        <v>2036</v>
      </c>
      <c r="B1082" s="5" t="s">
        <v>2037</v>
      </c>
      <c r="C1082" s="3" t="s">
        <v>5</v>
      </c>
    </row>
    <row r="1083" spans="1:3" ht="15.75" thickBot="1">
      <c r="A1083" s="6" t="s">
        <v>2038</v>
      </c>
      <c r="B1083" s="5" t="s">
        <v>2039</v>
      </c>
      <c r="C1083" s="3" t="s">
        <v>5</v>
      </c>
    </row>
    <row r="1084" spans="1:3" ht="15.75" thickBot="1">
      <c r="A1084" s="6" t="s">
        <v>2040</v>
      </c>
      <c r="B1084" s="5" t="s">
        <v>2041</v>
      </c>
      <c r="C1084" s="3" t="s">
        <v>5</v>
      </c>
    </row>
    <row r="1085" spans="1:3" ht="15.75" thickBot="1">
      <c r="A1085" s="6" t="s">
        <v>2042</v>
      </c>
      <c r="B1085" s="5" t="s">
        <v>2043</v>
      </c>
      <c r="C1085" s="3" t="s">
        <v>5</v>
      </c>
    </row>
    <row r="1086" spans="1:3" ht="15.75" thickBot="1">
      <c r="A1086" s="6" t="s">
        <v>2044</v>
      </c>
      <c r="B1086" s="5" t="s">
        <v>2045</v>
      </c>
      <c r="C1086" s="3" t="s">
        <v>5</v>
      </c>
    </row>
    <row r="1087" spans="1:3" ht="15.75" thickBot="1">
      <c r="A1087" s="6" t="s">
        <v>2046</v>
      </c>
      <c r="B1087" s="5" t="e">
        <f xml:space="preserve"> brush shift</f>
        <v>#NAME?</v>
      </c>
      <c r="C1087" s="3" t="s">
        <v>5</v>
      </c>
    </row>
    <row r="1088" spans="1:3">
      <c r="A1088" s="1" t="s">
        <v>2047</v>
      </c>
      <c r="B1088" s="2" t="s">
        <v>2048</v>
      </c>
      <c r="C1088" s="3" t="s">
        <v>5</v>
      </c>
    </row>
    <row r="1089" spans="1:3" ht="15.75" thickBot="1">
      <c r="A1089" s="4"/>
      <c r="B1089" s="5" t="s">
        <v>2049</v>
      </c>
      <c r="C1089" s="3" t="s">
        <v>5</v>
      </c>
    </row>
    <row r="1090" spans="1:3" ht="15.75" thickBot="1">
      <c r="A1090" s="6" t="s">
        <v>2050</v>
      </c>
      <c r="B1090" s="5" t="s">
        <v>2051</v>
      </c>
      <c r="C1090" s="3" t="s">
        <v>5</v>
      </c>
    </row>
    <row r="1091" spans="1:3" ht="15.75" thickBot="1">
      <c r="A1091" s="6" t="s">
        <v>2052</v>
      </c>
      <c r="B1091" s="5" t="s">
        <v>2053</v>
      </c>
      <c r="C1091" s="3" t="s">
        <v>5</v>
      </c>
    </row>
    <row r="1092" spans="1:3" ht="15.75" thickBot="1">
      <c r="A1092" s="6" t="s">
        <v>2054</v>
      </c>
      <c r="B1092" s="5" t="s">
        <v>2055</v>
      </c>
      <c r="C1092" s="3" t="s">
        <v>5</v>
      </c>
    </row>
    <row r="1093" spans="1:3" ht="15.75" thickBot="1">
      <c r="A1093" s="6" t="s">
        <v>2056</v>
      </c>
      <c r="B1093" s="5" t="s">
        <v>2057</v>
      </c>
      <c r="C1093" s="3" t="s">
        <v>5</v>
      </c>
    </row>
    <row r="1094" spans="1:3">
      <c r="A1094" s="1" t="s">
        <v>2058</v>
      </c>
      <c r="B1094" s="2" t="s">
        <v>2059</v>
      </c>
      <c r="C1094" s="3" t="s">
        <v>5</v>
      </c>
    </row>
    <row r="1095" spans="1:3" ht="15.75" thickBot="1">
      <c r="A1095" s="4"/>
      <c r="B1095" s="5" t="s">
        <v>2060</v>
      </c>
      <c r="C1095" s="3" t="s">
        <v>5</v>
      </c>
    </row>
    <row r="1096" spans="1:3" ht="15.75" thickBot="1">
      <c r="A1096" s="6" t="s">
        <v>2061</v>
      </c>
      <c r="B1096" s="5" t="s">
        <v>2062</v>
      </c>
      <c r="C1096" s="3" t="s">
        <v>5</v>
      </c>
    </row>
    <row r="1097" spans="1:3" ht="15.75" thickBot="1">
      <c r="A1097" s="6" t="s">
        <v>2063</v>
      </c>
      <c r="B1097" s="5" t="s">
        <v>2064</v>
      </c>
      <c r="C1097" s="3" t="s">
        <v>5</v>
      </c>
    </row>
    <row r="1098" spans="1:3" ht="15.75" thickBot="1">
      <c r="A1098" s="6" t="s">
        <v>2065</v>
      </c>
      <c r="B1098" s="5" t="s">
        <v>2066</v>
      </c>
      <c r="C1098" s="3" t="s">
        <v>5</v>
      </c>
    </row>
    <row r="1099" spans="1:3" ht="15.75" thickBot="1">
      <c r="A1099" s="6" t="s">
        <v>2067</v>
      </c>
      <c r="B1099" s="5" t="s">
        <v>2068</v>
      </c>
      <c r="C1099" s="3" t="s">
        <v>5</v>
      </c>
    </row>
    <row r="1100" spans="1:3" ht="15.75" thickBot="1">
      <c r="A1100" s="6" t="s">
        <v>2067</v>
      </c>
      <c r="B1100" s="5" t="s">
        <v>2069</v>
      </c>
      <c r="C1100" s="3" t="s">
        <v>5</v>
      </c>
    </row>
    <row r="1101" spans="1:3" ht="15.75" thickBot="1">
      <c r="A1101" s="6" t="s">
        <v>2070</v>
      </c>
      <c r="B1101" s="5" t="s">
        <v>2071</v>
      </c>
      <c r="C1101" s="3" t="s">
        <v>5</v>
      </c>
    </row>
    <row r="1102" spans="1:3" ht="15.75" thickBot="1">
      <c r="A1102" s="6" t="s">
        <v>2072</v>
      </c>
      <c r="B1102" s="5" t="s">
        <v>2073</v>
      </c>
      <c r="C1102" s="3" t="s">
        <v>5</v>
      </c>
    </row>
    <row r="1103" spans="1:3" ht="15.75" thickBot="1">
      <c r="A1103" s="6" t="s">
        <v>2074</v>
      </c>
      <c r="B1103" s="5" t="s">
        <v>2075</v>
      </c>
      <c r="C1103" s="3" t="s">
        <v>5</v>
      </c>
    </row>
    <row r="1104" spans="1:3" ht="15.75" thickBot="1">
      <c r="A1104" s="6" t="s">
        <v>2076</v>
      </c>
      <c r="B1104" s="5" t="s">
        <v>2077</v>
      </c>
      <c r="C1104" s="3" t="s">
        <v>5</v>
      </c>
    </row>
    <row r="1105" spans="1:3" ht="15.75" thickBot="1">
      <c r="A1105" s="6" t="s">
        <v>2078</v>
      </c>
      <c r="B1105" s="5" t="s">
        <v>2079</v>
      </c>
      <c r="C1105" s="3" t="s">
        <v>5</v>
      </c>
    </row>
    <row r="1106" spans="1:3" ht="15.75" thickBot="1">
      <c r="A1106" s="6" t="s">
        <v>2080</v>
      </c>
      <c r="B1106" s="5" t="s">
        <v>2081</v>
      </c>
      <c r="C1106" s="3" t="s">
        <v>5</v>
      </c>
    </row>
    <row r="1107" spans="1:3" ht="15.75" thickBot="1">
      <c r="A1107" s="6" t="s">
        <v>2082</v>
      </c>
      <c r="B1107" s="5" t="s">
        <v>2083</v>
      </c>
      <c r="C1107" s="3" t="s">
        <v>5</v>
      </c>
    </row>
    <row r="1108" spans="1:3" ht="15.75" thickBot="1">
      <c r="A1108" s="6" t="s">
        <v>2084</v>
      </c>
      <c r="B1108" s="5" t="s">
        <v>2085</v>
      </c>
      <c r="C1108" s="3" t="s">
        <v>5</v>
      </c>
    </row>
    <row r="1109" spans="1:3" ht="15.75" thickBot="1">
      <c r="A1109" s="6" t="s">
        <v>2086</v>
      </c>
      <c r="B1109" s="5" t="s">
        <v>2087</v>
      </c>
      <c r="C1109" s="3" t="s">
        <v>5</v>
      </c>
    </row>
    <row r="1110" spans="1:3" ht="15.75" thickBot="1">
      <c r="A1110" s="6" t="s">
        <v>2088</v>
      </c>
      <c r="B1110" s="5" t="s">
        <v>2089</v>
      </c>
      <c r="C1110" s="3" t="s">
        <v>5</v>
      </c>
    </row>
    <row r="1111" spans="1:3" ht="15.75" thickBot="1">
      <c r="A1111" s="6" t="s">
        <v>2090</v>
      </c>
      <c r="B1111" s="5" t="s">
        <v>2091</v>
      </c>
      <c r="C1111" s="3" t="s">
        <v>5</v>
      </c>
    </row>
    <row r="1112" spans="1:3" ht="15.75" thickBot="1">
      <c r="A1112" s="6" t="s">
        <v>2092</v>
      </c>
      <c r="B1112" s="5" t="s">
        <v>2093</v>
      </c>
      <c r="C1112" s="3" t="s">
        <v>5</v>
      </c>
    </row>
    <row r="1113" spans="1:3" ht="15.75" thickBot="1">
      <c r="A1113" s="6" t="s">
        <v>2094</v>
      </c>
      <c r="B1113" s="5" t="s">
        <v>2095</v>
      </c>
      <c r="C1113" s="3" t="s">
        <v>5</v>
      </c>
    </row>
    <row r="1114" spans="1:3" ht="15.75" thickBot="1">
      <c r="A1114" s="6" t="s">
        <v>2096</v>
      </c>
      <c r="B1114" s="5" t="s">
        <v>2097</v>
      </c>
      <c r="C1114" s="3" t="s">
        <v>5</v>
      </c>
    </row>
    <row r="1115" spans="1:3" ht="15.75" thickBot="1">
      <c r="A1115" s="6" t="s">
        <v>2098</v>
      </c>
      <c r="B1115" s="5" t="s">
        <v>2099</v>
      </c>
      <c r="C1115" s="3" t="s">
        <v>5</v>
      </c>
    </row>
    <row r="1116" spans="1:3" ht="15.75" thickBot="1">
      <c r="A1116" s="6" t="s">
        <v>2100</v>
      </c>
      <c r="B1116" s="5" t="s">
        <v>2101</v>
      </c>
      <c r="C1116" s="3" t="s">
        <v>5</v>
      </c>
    </row>
    <row r="1117" spans="1:3" ht="15.75" thickBot="1">
      <c r="A1117" s="6" t="s">
        <v>2102</v>
      </c>
      <c r="B1117" s="5" t="s">
        <v>2103</v>
      </c>
      <c r="C1117" s="3" t="s">
        <v>5</v>
      </c>
    </row>
    <row r="1118" spans="1:3" ht="15.75" thickBot="1">
      <c r="A1118" s="6" t="s">
        <v>2104</v>
      </c>
      <c r="B1118" s="5" t="s">
        <v>2105</v>
      </c>
      <c r="C1118" s="3" t="s">
        <v>5</v>
      </c>
    </row>
    <row r="1119" spans="1:3" ht="15.75" thickBot="1">
      <c r="A1119" s="6" t="s">
        <v>2106</v>
      </c>
      <c r="B1119" s="5" t="s">
        <v>2107</v>
      </c>
      <c r="C1119" s="3" t="s">
        <v>5</v>
      </c>
    </row>
    <row r="1120" spans="1:3" ht="15.75" thickBot="1">
      <c r="A1120" s="6" t="s">
        <v>2108</v>
      </c>
      <c r="B1120" s="5" t="s">
        <v>2109</v>
      </c>
      <c r="C1120" s="3" t="s">
        <v>5</v>
      </c>
    </row>
    <row r="1121" spans="1:3" ht="15.75" thickBot="1">
      <c r="A1121" s="6" t="s">
        <v>2110</v>
      </c>
      <c r="B1121" s="5" t="s">
        <v>2111</v>
      </c>
      <c r="C1121" s="3" t="s">
        <v>5</v>
      </c>
    </row>
    <row r="1122" spans="1:3" ht="15.75" thickBot="1">
      <c r="A1122" s="6" t="s">
        <v>2112</v>
      </c>
      <c r="B1122" s="5" t="s">
        <v>2113</v>
      </c>
      <c r="C1122" s="3" t="s">
        <v>5</v>
      </c>
    </row>
    <row r="1123" spans="1:3" ht="15.75" thickBot="1">
      <c r="A1123" s="6" t="s">
        <v>2114</v>
      </c>
      <c r="B1123" s="5" t="s">
        <v>2115</v>
      </c>
      <c r="C1123" s="3" t="s">
        <v>5</v>
      </c>
    </row>
    <row r="1124" spans="1:3" ht="15.75" thickBot="1">
      <c r="A1124" s="6" t="s">
        <v>2116</v>
      </c>
      <c r="B1124" s="5" t="s">
        <v>2117</v>
      </c>
      <c r="C1124" s="3" t="s">
        <v>5</v>
      </c>
    </row>
    <row r="1125" spans="1:3" ht="15.75" thickBot="1">
      <c r="A1125" s="6" t="s">
        <v>2118</v>
      </c>
      <c r="B1125" s="5" t="s">
        <v>2119</v>
      </c>
      <c r="C1125" s="3" t="s">
        <v>5</v>
      </c>
    </row>
    <row r="1126" spans="1:3">
      <c r="A1126" s="1" t="s">
        <v>2120</v>
      </c>
      <c r="B1126" s="2" t="s">
        <v>2121</v>
      </c>
      <c r="C1126" s="3" t="s">
        <v>5</v>
      </c>
    </row>
    <row r="1127" spans="1:3" ht="15.75" thickBot="1">
      <c r="A1127" s="4"/>
      <c r="B1127" s="5" t="s">
        <v>2122</v>
      </c>
      <c r="C1127" s="3" t="s">
        <v>5</v>
      </c>
    </row>
    <row r="1128" spans="1:3" ht="15.75" thickBot="1">
      <c r="A1128" s="6" t="s">
        <v>2123</v>
      </c>
      <c r="B1128" s="5" t="s">
        <v>2124</v>
      </c>
      <c r="C1128" s="3" t="s">
        <v>5</v>
      </c>
    </row>
    <row r="1129" spans="1:3" ht="15.75" thickBot="1">
      <c r="A1129" s="6" t="s">
        <v>2125</v>
      </c>
      <c r="B1129" s="5" t="s">
        <v>2126</v>
      </c>
      <c r="C1129" s="3" t="s">
        <v>5</v>
      </c>
    </row>
    <row r="1130" spans="1:3" ht="15.75" thickBot="1">
      <c r="A1130" s="6" t="s">
        <v>2127</v>
      </c>
      <c r="B1130" s="5" t="s">
        <v>2128</v>
      </c>
      <c r="C1130" s="3" t="s">
        <v>5</v>
      </c>
    </row>
    <row r="1131" spans="1:3" ht="15.75" thickBot="1">
      <c r="A1131" s="6" t="s">
        <v>2129</v>
      </c>
      <c r="B1131" s="5" t="s">
        <v>2130</v>
      </c>
      <c r="C1131" s="3" t="s">
        <v>5</v>
      </c>
    </row>
    <row r="1132" spans="1:3" ht="15.75" thickBot="1">
      <c r="A1132" s="6" t="s">
        <v>2131</v>
      </c>
      <c r="B1132" s="5" t="s">
        <v>2132</v>
      </c>
      <c r="C1132" s="3" t="s">
        <v>5</v>
      </c>
    </row>
    <row r="1133" spans="1:3" ht="15.75" thickBot="1">
      <c r="A1133" s="6" t="s">
        <v>2133</v>
      </c>
      <c r="B1133" s="5" t="s">
        <v>2134</v>
      </c>
      <c r="C1133" s="3" t="s">
        <v>5</v>
      </c>
    </row>
    <row r="1134" spans="1:3">
      <c r="A1134" s="1" t="s">
        <v>2135</v>
      </c>
      <c r="B1134" s="2" t="s">
        <v>2136</v>
      </c>
      <c r="C1134" s="3" t="s">
        <v>5</v>
      </c>
    </row>
    <row r="1135" spans="1:3" ht="15.75" thickBot="1">
      <c r="A1135" s="4"/>
      <c r="B1135" s="5" t="s">
        <v>2137</v>
      </c>
      <c r="C1135" s="3" t="s">
        <v>5</v>
      </c>
    </row>
    <row r="1136" spans="1:3" ht="15.75" thickBot="1">
      <c r="A1136" s="6" t="s">
        <v>2138</v>
      </c>
      <c r="B1136" s="5" t="s">
        <v>2139</v>
      </c>
      <c r="C1136" s="3" t="s">
        <v>5</v>
      </c>
    </row>
    <row r="1137" spans="1:3" ht="15.75" thickBot="1">
      <c r="A1137" s="6" t="s">
        <v>2140</v>
      </c>
      <c r="B1137" s="5" t="s">
        <v>2141</v>
      </c>
      <c r="C1137" s="3" t="s">
        <v>5</v>
      </c>
    </row>
    <row r="1138" spans="1:3" ht="15.75" thickBot="1">
      <c r="A1138" s="6" t="s">
        <v>2142</v>
      </c>
      <c r="B1138" s="5" t="s">
        <v>2143</v>
      </c>
      <c r="C1138" s="3" t="s">
        <v>5</v>
      </c>
    </row>
    <row r="1139" spans="1:3" ht="15.75" thickBot="1">
      <c r="A1139" s="6" t="s">
        <v>2144</v>
      </c>
      <c r="B1139" s="5" t="s">
        <v>2145</v>
      </c>
      <c r="C1139" s="3" t="s">
        <v>5</v>
      </c>
    </row>
    <row r="1140" spans="1:3" ht="15.75" thickBot="1">
      <c r="A1140" s="6" t="s">
        <v>2146</v>
      </c>
      <c r="B1140" s="5" t="s">
        <v>2147</v>
      </c>
      <c r="C1140" s="3" t="s">
        <v>5</v>
      </c>
    </row>
    <row r="1141" spans="1:3" ht="15.75" thickBot="1">
      <c r="A1141" s="6" t="s">
        <v>2148</v>
      </c>
      <c r="B1141" s="5" t="s">
        <v>2149</v>
      </c>
      <c r="C1141" s="3" t="s">
        <v>5</v>
      </c>
    </row>
    <row r="1142" spans="1:3" ht="15.75" thickBot="1">
      <c r="A1142" s="6" t="s">
        <v>2150</v>
      </c>
      <c r="B1142" s="5" t="s">
        <v>2151</v>
      </c>
      <c r="C1142" s="3" t="s">
        <v>5</v>
      </c>
    </row>
    <row r="1143" spans="1:3" ht="15.75" thickBot="1">
      <c r="A1143" s="6" t="s">
        <v>2152</v>
      </c>
      <c r="B1143" s="5" t="s">
        <v>2153</v>
      </c>
      <c r="C1143" s="3" t="s">
        <v>5</v>
      </c>
    </row>
    <row r="1144" spans="1:3" ht="15.75" thickBot="1">
      <c r="A1144" s="6" t="s">
        <v>2154</v>
      </c>
      <c r="B1144" s="5" t="s">
        <v>2155</v>
      </c>
      <c r="C1144" s="3" t="s">
        <v>5</v>
      </c>
    </row>
    <row r="1145" spans="1:3" ht="15.75" thickBot="1">
      <c r="A1145" s="6" t="s">
        <v>2156</v>
      </c>
      <c r="B1145" s="5" t="s">
        <v>2157</v>
      </c>
      <c r="C1145" s="3" t="s">
        <v>5</v>
      </c>
    </row>
    <row r="1146" spans="1:3" ht="15.75" thickBot="1">
      <c r="A1146" s="6" t="s">
        <v>2158</v>
      </c>
      <c r="B1146" s="5" t="s">
        <v>2159</v>
      </c>
      <c r="C1146" s="3" t="s">
        <v>5</v>
      </c>
    </row>
    <row r="1147" spans="1:3" ht="15.75" thickBot="1">
      <c r="A1147" s="6" t="s">
        <v>2160</v>
      </c>
      <c r="B1147" s="5" t="s">
        <v>2161</v>
      </c>
      <c r="C1147" s="3" t="s">
        <v>5</v>
      </c>
    </row>
    <row r="1148" spans="1:3" ht="15.75" thickBot="1">
      <c r="A1148" s="6" t="s">
        <v>2162</v>
      </c>
      <c r="B1148" s="5" t="s">
        <v>2163</v>
      </c>
      <c r="C1148" s="3" t="s">
        <v>5</v>
      </c>
    </row>
    <row r="1149" spans="1:3" ht="15.75" thickBot="1">
      <c r="A1149" s="6" t="s">
        <v>2164</v>
      </c>
      <c r="B1149" s="5" t="s">
        <v>2165</v>
      </c>
      <c r="C1149" s="3" t="s">
        <v>5</v>
      </c>
    </row>
    <row r="1150" spans="1:3" ht="15.75" thickBot="1">
      <c r="A1150" s="6" t="s">
        <v>2166</v>
      </c>
      <c r="B1150" s="5" t="s">
        <v>2167</v>
      </c>
      <c r="C1150" s="3" t="s">
        <v>5</v>
      </c>
    </row>
    <row r="1151" spans="1:3" ht="15.75" thickBot="1">
      <c r="A1151" s="6" t="s">
        <v>2168</v>
      </c>
      <c r="B1151" s="5" t="s">
        <v>2169</v>
      </c>
      <c r="C1151" s="3" t="s">
        <v>5</v>
      </c>
    </row>
    <row r="1152" spans="1:3">
      <c r="A1152" s="1" t="s">
        <v>2170</v>
      </c>
      <c r="B1152" s="2" t="s">
        <v>2171</v>
      </c>
      <c r="C1152" s="3" t="s">
        <v>5</v>
      </c>
    </row>
    <row r="1153" spans="1:3" ht="15.75" thickBot="1">
      <c r="A1153" s="4"/>
      <c r="B1153" s="5" t="s">
        <v>2172</v>
      </c>
      <c r="C1153" s="3" t="s">
        <v>5</v>
      </c>
    </row>
    <row r="1154" spans="1:3" ht="15.75" thickBot="1">
      <c r="A1154" s="6" t="s">
        <v>2173</v>
      </c>
      <c r="B1154" s="5" t="s">
        <v>2174</v>
      </c>
      <c r="C1154" s="3" t="s">
        <v>5</v>
      </c>
    </row>
    <row r="1155" spans="1:3" ht="15.75" thickBot="1">
      <c r="A1155" s="6" t="s">
        <v>2175</v>
      </c>
      <c r="B1155" s="5" t="s">
        <v>2176</v>
      </c>
      <c r="C1155" s="3" t="s">
        <v>5</v>
      </c>
    </row>
    <row r="1156" spans="1:3" ht="15.75" thickBot="1">
      <c r="A1156" s="6" t="s">
        <v>2177</v>
      </c>
      <c r="B1156" s="5" t="s">
        <v>2178</v>
      </c>
      <c r="C1156" s="3" t="s">
        <v>5</v>
      </c>
    </row>
    <row r="1157" spans="1:3" ht="15.75" thickBot="1">
      <c r="A1157" s="6" t="s">
        <v>2179</v>
      </c>
      <c r="B1157" s="5" t="s">
        <v>2180</v>
      </c>
      <c r="C1157" s="3" t="s">
        <v>5</v>
      </c>
    </row>
    <row r="1158" spans="1:3" ht="15.75" thickBot="1">
      <c r="A1158" s="6" t="s">
        <v>2181</v>
      </c>
      <c r="B1158" s="5" t="s">
        <v>2182</v>
      </c>
      <c r="C1158" s="3" t="s">
        <v>5</v>
      </c>
    </row>
    <row r="1159" spans="1:3" ht="15.75" thickBot="1">
      <c r="A1159" s="6" t="s">
        <v>2183</v>
      </c>
      <c r="B1159" s="5" t="s">
        <v>2184</v>
      </c>
      <c r="C1159" s="3" t="s">
        <v>5</v>
      </c>
    </row>
    <row r="1160" spans="1:3" ht="15.75" thickBot="1">
      <c r="A1160" s="6" t="s">
        <v>2185</v>
      </c>
      <c r="B1160" s="5" t="s">
        <v>2186</v>
      </c>
      <c r="C1160" s="3" t="s">
        <v>5</v>
      </c>
    </row>
    <row r="1161" spans="1:3" ht="15.75" thickBot="1">
      <c r="A1161" s="6" t="s">
        <v>2187</v>
      </c>
      <c r="B1161" s="5" t="s">
        <v>2188</v>
      </c>
      <c r="C1161" s="3" t="s">
        <v>5</v>
      </c>
    </row>
    <row r="1162" spans="1:3" ht="15.75" thickBot="1">
      <c r="A1162" s="6" t="s">
        <v>2189</v>
      </c>
      <c r="B1162" s="5" t="s">
        <v>2190</v>
      </c>
      <c r="C1162" s="3" t="s">
        <v>5</v>
      </c>
    </row>
    <row r="1163" spans="1:3" ht="15.75" thickBot="1">
      <c r="A1163" s="6" t="s">
        <v>2191</v>
      </c>
      <c r="B1163" s="5" t="s">
        <v>2192</v>
      </c>
      <c r="C1163" s="3" t="s">
        <v>5</v>
      </c>
    </row>
    <row r="1164" spans="1:3" ht="15.75" thickBot="1">
      <c r="A1164" s="6" t="s">
        <v>2193</v>
      </c>
      <c r="B1164" s="5" t="s">
        <v>2194</v>
      </c>
      <c r="C1164" s="3" t="s">
        <v>5</v>
      </c>
    </row>
    <row r="1165" spans="1:3" ht="15.75" thickBot="1">
      <c r="A1165" s="6" t="s">
        <v>2195</v>
      </c>
      <c r="B1165" s="5" t="s">
        <v>2186</v>
      </c>
      <c r="C1165" s="3" t="s">
        <v>5</v>
      </c>
    </row>
    <row r="1166" spans="1:3" ht="15.75" thickBot="1">
      <c r="A1166" s="6" t="s">
        <v>2196</v>
      </c>
      <c r="B1166" s="5" t="s">
        <v>2197</v>
      </c>
      <c r="C1166" s="3" t="s">
        <v>5</v>
      </c>
    </row>
    <row r="1167" spans="1:3" ht="15.75" thickBot="1">
      <c r="A1167" s="6" t="s">
        <v>2198</v>
      </c>
      <c r="B1167" s="5" t="s">
        <v>2199</v>
      </c>
      <c r="C1167" s="3" t="s">
        <v>5</v>
      </c>
    </row>
    <row r="1168" spans="1:3" ht="15.75" thickBot="1">
      <c r="A1168" s="6" t="s">
        <v>2200</v>
      </c>
      <c r="B1168" s="5" t="s">
        <v>2201</v>
      </c>
      <c r="C1168" s="3" t="s">
        <v>5</v>
      </c>
    </row>
    <row r="1169" spans="1:3" ht="15.75" thickBot="1">
      <c r="A1169" s="6" t="s">
        <v>2202</v>
      </c>
      <c r="B1169" s="5" t="s">
        <v>2203</v>
      </c>
      <c r="C1169" s="3" t="s">
        <v>5</v>
      </c>
    </row>
    <row r="1170" spans="1:3" ht="15.75" thickBot="1">
      <c r="A1170" s="6" t="s">
        <v>2204</v>
      </c>
      <c r="B1170" s="5" t="s">
        <v>2205</v>
      </c>
      <c r="C1170" s="3" t="s">
        <v>5</v>
      </c>
    </row>
    <row r="1171" spans="1:3" ht="15.75" thickBot="1">
      <c r="A1171" s="6" t="s">
        <v>2206</v>
      </c>
      <c r="B1171" s="5" t="s">
        <v>2207</v>
      </c>
      <c r="C1171" s="3" t="s">
        <v>5</v>
      </c>
    </row>
    <row r="1172" spans="1:3" ht="15.75" thickBot="1">
      <c r="A1172" s="6" t="s">
        <v>2208</v>
      </c>
      <c r="B1172" s="5" t="s">
        <v>2209</v>
      </c>
      <c r="C1172" s="3" t="s">
        <v>5</v>
      </c>
    </row>
    <row r="1173" spans="1:3" ht="15.75" thickBot="1">
      <c r="A1173" s="6" t="s">
        <v>2210</v>
      </c>
      <c r="B1173" s="5" t="s">
        <v>2211</v>
      </c>
      <c r="C1173" s="3" t="s">
        <v>5</v>
      </c>
    </row>
    <row r="1174" spans="1:3" ht="15.75" thickBot="1">
      <c r="A1174" s="6" t="s">
        <v>2212</v>
      </c>
      <c r="B1174" s="5" t="s">
        <v>2213</v>
      </c>
      <c r="C1174" s="3" t="s">
        <v>5</v>
      </c>
    </row>
    <row r="1175" spans="1:3" ht="15.75" thickBot="1">
      <c r="A1175" s="6" t="s">
        <v>2214</v>
      </c>
      <c r="B1175" s="5" t="s">
        <v>2215</v>
      </c>
      <c r="C1175" s="3" t="s">
        <v>5</v>
      </c>
    </row>
    <row r="1176" spans="1:3" ht="15.75" thickBot="1">
      <c r="A1176" s="6" t="s">
        <v>2216</v>
      </c>
      <c r="B1176" s="5" t="s">
        <v>2217</v>
      </c>
      <c r="C1176" s="3" t="s">
        <v>5</v>
      </c>
    </row>
    <row r="1177" spans="1:3" ht="15.75" thickBot="1">
      <c r="A1177" s="6" t="s">
        <v>2218</v>
      </c>
      <c r="B1177" s="5" t="s">
        <v>2219</v>
      </c>
      <c r="C1177" s="3" t="s">
        <v>5</v>
      </c>
    </row>
    <row r="1178" spans="1:3" ht="15.75" thickBot="1">
      <c r="A1178" s="6" t="s">
        <v>2220</v>
      </c>
      <c r="B1178" s="5" t="s">
        <v>2221</v>
      </c>
      <c r="C1178" s="3" t="s">
        <v>5</v>
      </c>
    </row>
    <row r="1179" spans="1:3" ht="15.75" thickBot="1">
      <c r="A1179" s="6" t="s">
        <v>2222</v>
      </c>
      <c r="B1179" s="5" t="s">
        <v>2223</v>
      </c>
      <c r="C1179" s="3" t="s">
        <v>5</v>
      </c>
    </row>
    <row r="1180" spans="1:3" ht="15.75" thickBot="1">
      <c r="A1180" s="6" t="s">
        <v>2224</v>
      </c>
      <c r="B1180" s="5" t="s">
        <v>2225</v>
      </c>
      <c r="C1180" s="3" t="s">
        <v>5</v>
      </c>
    </row>
    <row r="1181" spans="1:3" ht="15.75" thickBot="1">
      <c r="A1181" s="6" t="s">
        <v>2226</v>
      </c>
      <c r="B1181" s="5" t="s">
        <v>2227</v>
      </c>
      <c r="C1181" s="3" t="s">
        <v>5</v>
      </c>
    </row>
    <row r="1182" spans="1:3" ht="15.75" thickBot="1">
      <c r="A1182" s="6" t="s">
        <v>2228</v>
      </c>
      <c r="B1182" s="5" t="s">
        <v>2229</v>
      </c>
      <c r="C1182" s="3" t="s">
        <v>5</v>
      </c>
    </row>
    <row r="1183" spans="1:3" ht="15.75" thickBot="1">
      <c r="A1183" s="6" t="s">
        <v>2230</v>
      </c>
      <c r="B1183" s="5" t="s">
        <v>2231</v>
      </c>
      <c r="C1183" s="3" t="s">
        <v>5</v>
      </c>
    </row>
    <row r="1184" spans="1:3" ht="15.75" thickBot="1">
      <c r="A1184" s="6" t="s">
        <v>2232</v>
      </c>
      <c r="B1184" s="5" t="s">
        <v>2233</v>
      </c>
      <c r="C1184" s="3" t="s">
        <v>5</v>
      </c>
    </row>
    <row r="1185" spans="1:3" ht="15.75" thickBot="1">
      <c r="A1185" s="6" t="s">
        <v>2234</v>
      </c>
      <c r="B1185" s="5" t="s">
        <v>2235</v>
      </c>
      <c r="C1185" s="3" t="s">
        <v>5</v>
      </c>
    </row>
    <row r="1186" spans="1:3" ht="15.75" thickBot="1">
      <c r="A1186" s="6" t="s">
        <v>2236</v>
      </c>
      <c r="B1186" s="5" t="s">
        <v>2237</v>
      </c>
      <c r="C1186" s="3" t="s">
        <v>5</v>
      </c>
    </row>
    <row r="1187" spans="1:3" ht="15.75" thickBot="1">
      <c r="A1187" s="6" t="s">
        <v>2238</v>
      </c>
      <c r="B1187" s="5" t="s">
        <v>2239</v>
      </c>
      <c r="C1187" s="3" t="s">
        <v>5</v>
      </c>
    </row>
    <row r="1188" spans="1:3" ht="15.75" thickBot="1">
      <c r="A1188" s="6" t="s">
        <v>2240</v>
      </c>
      <c r="B1188" s="5" t="s">
        <v>2241</v>
      </c>
      <c r="C1188" s="3" t="s">
        <v>5</v>
      </c>
    </row>
    <row r="1189" spans="1:3" ht="15.75" thickBot="1">
      <c r="A1189" s="6" t="s">
        <v>2242</v>
      </c>
      <c r="B1189" s="5" t="s">
        <v>2243</v>
      </c>
      <c r="C1189" s="3" t="s">
        <v>5</v>
      </c>
    </row>
    <row r="1190" spans="1:3" ht="15.75" thickBot="1">
      <c r="A1190" s="6" t="s">
        <v>2244</v>
      </c>
      <c r="B1190" s="5" t="s">
        <v>2245</v>
      </c>
      <c r="C1190" s="3" t="s">
        <v>5</v>
      </c>
    </row>
    <row r="1191" spans="1:3" ht="15.75" thickBot="1">
      <c r="A1191" s="6" t="s">
        <v>2246</v>
      </c>
      <c r="B1191" s="5" t="s">
        <v>2247</v>
      </c>
      <c r="C1191" s="3" t="s">
        <v>5</v>
      </c>
    </row>
    <row r="1192" spans="1:3">
      <c r="A1192" s="1" t="s">
        <v>2248</v>
      </c>
      <c r="B1192" s="2" t="s">
        <v>2249</v>
      </c>
      <c r="C1192" s="3" t="s">
        <v>5</v>
      </c>
    </row>
    <row r="1193" spans="1:3" ht="153.75" thickBot="1">
      <c r="A1193" s="4"/>
      <c r="B1193" s="5" t="s">
        <v>2250</v>
      </c>
      <c r="C1193" s="3" t="s">
        <v>5</v>
      </c>
    </row>
    <row r="1194" spans="1:3" ht="15.75" thickBot="1">
      <c r="A1194" s="6" t="s">
        <v>2251</v>
      </c>
      <c r="B1194" s="5" t="s">
        <v>2252</v>
      </c>
      <c r="C1194" s="3" t="s">
        <v>5</v>
      </c>
    </row>
    <row r="1195" spans="1:3" ht="15.75" thickBot="1">
      <c r="A1195" s="6" t="s">
        <v>2253</v>
      </c>
      <c r="B1195" s="5" t="s">
        <v>2254</v>
      </c>
      <c r="C1195" s="3" t="s">
        <v>5</v>
      </c>
    </row>
    <row r="1196" spans="1:3" ht="15.75" thickBot="1">
      <c r="A1196" s="6" t="s">
        <v>2255</v>
      </c>
      <c r="B1196" s="5" t="s">
        <v>2256</v>
      </c>
      <c r="C1196" s="3" t="s">
        <v>5</v>
      </c>
    </row>
    <row r="1197" spans="1:3" ht="15.75" thickBot="1">
      <c r="A1197" s="6" t="s">
        <v>2257</v>
      </c>
      <c r="B1197" s="5" t="s">
        <v>2258</v>
      </c>
      <c r="C1197" s="3" t="s">
        <v>5</v>
      </c>
    </row>
    <row r="1198" spans="1:3" ht="15.75" thickBot="1">
      <c r="A1198" s="6" t="s">
        <v>2259</v>
      </c>
      <c r="B1198" s="5" t="s">
        <v>2260</v>
      </c>
      <c r="C1198" s="3" t="s">
        <v>5</v>
      </c>
    </row>
    <row r="1199" spans="1:3" ht="15.75" thickBot="1">
      <c r="A1199" s="6" t="s">
        <v>2261</v>
      </c>
      <c r="B1199" s="5" t="s">
        <v>2262</v>
      </c>
      <c r="C1199" s="3" t="s">
        <v>5</v>
      </c>
    </row>
    <row r="1200" spans="1:3" ht="15.75" thickBot="1">
      <c r="A1200" s="6" t="s">
        <v>2263</v>
      </c>
      <c r="B1200" s="5" t="s">
        <v>2264</v>
      </c>
      <c r="C1200" s="3" t="s">
        <v>5</v>
      </c>
    </row>
    <row r="1201" spans="1:3" ht="15.75" thickBot="1">
      <c r="A1201" s="6" t="s">
        <v>2265</v>
      </c>
      <c r="B1201" s="5" t="s">
        <v>2266</v>
      </c>
      <c r="C1201" s="3" t="s">
        <v>5</v>
      </c>
    </row>
    <row r="1202" spans="1:3" ht="15.75" thickBot="1">
      <c r="A1202" s="6" t="s">
        <v>2267</v>
      </c>
      <c r="B1202" s="5" t="s">
        <v>2268</v>
      </c>
      <c r="C1202" s="3" t="s">
        <v>5</v>
      </c>
    </row>
    <row r="1203" spans="1:3" ht="15.75" thickBot="1">
      <c r="A1203" s="6" t="s">
        <v>2269</v>
      </c>
      <c r="B1203" s="5" t="s">
        <v>2270</v>
      </c>
      <c r="C1203" s="3" t="s">
        <v>5</v>
      </c>
    </row>
    <row r="1204" spans="1:3" ht="15.75" thickBot="1">
      <c r="A1204" s="6" t="s">
        <v>2271</v>
      </c>
      <c r="B1204" s="5" t="s">
        <v>2272</v>
      </c>
      <c r="C1204" s="3" t="s">
        <v>5</v>
      </c>
    </row>
    <row r="1205" spans="1:3" ht="15.75" thickBot="1">
      <c r="A1205" s="6" t="s">
        <v>2273</v>
      </c>
      <c r="B1205" s="5" t="s">
        <v>2274</v>
      </c>
      <c r="C1205" s="3" t="s">
        <v>5</v>
      </c>
    </row>
    <row r="1206" spans="1:3" ht="15.75" thickBot="1">
      <c r="A1206" s="6" t="s">
        <v>2275</v>
      </c>
      <c r="B1206" s="5" t="s">
        <v>2276</v>
      </c>
      <c r="C1206" s="3" t="s">
        <v>5</v>
      </c>
    </row>
    <row r="1207" spans="1:3" ht="15.75" thickBot="1">
      <c r="A1207" s="6" t="s">
        <v>2277</v>
      </c>
      <c r="B1207" s="5" t="s">
        <v>2278</v>
      </c>
      <c r="C1207" s="3" t="s">
        <v>5</v>
      </c>
    </row>
    <row r="1208" spans="1:3" ht="15.75" thickBot="1">
      <c r="A1208" s="6" t="s">
        <v>2279</v>
      </c>
      <c r="B1208" s="5" t="s">
        <v>2280</v>
      </c>
      <c r="C1208" s="3" t="s">
        <v>5</v>
      </c>
    </row>
    <row r="1209" spans="1:3" ht="15.75" thickBot="1">
      <c r="A1209" s="6" t="s">
        <v>2281</v>
      </c>
      <c r="B1209" s="5" t="s">
        <v>2282</v>
      </c>
      <c r="C1209" s="3" t="s">
        <v>5</v>
      </c>
    </row>
    <row r="1210" spans="1:3" ht="15.75" thickBot="1">
      <c r="A1210" s="6" t="s">
        <v>2283</v>
      </c>
      <c r="B1210" s="5" t="s">
        <v>2284</v>
      </c>
      <c r="C1210" s="3" t="s">
        <v>5</v>
      </c>
    </row>
    <row r="1211" spans="1:3" ht="15.75" thickBot="1">
      <c r="A1211" s="6" t="s">
        <v>2285</v>
      </c>
      <c r="B1211" s="5" t="s">
        <v>2286</v>
      </c>
      <c r="C1211" s="3" t="s">
        <v>5</v>
      </c>
    </row>
    <row r="1212" spans="1:3" ht="15.75" thickBot="1">
      <c r="A1212" s="6" t="s">
        <v>2287</v>
      </c>
      <c r="B1212" s="5" t="s">
        <v>2288</v>
      </c>
      <c r="C1212" s="3" t="s">
        <v>5</v>
      </c>
    </row>
    <row r="1213" spans="1:3" ht="15.75" thickBot="1">
      <c r="A1213" s="6" t="s">
        <v>2289</v>
      </c>
      <c r="B1213" s="5" t="s">
        <v>2290</v>
      </c>
      <c r="C1213" s="3" t="s">
        <v>5</v>
      </c>
    </row>
    <row r="1214" spans="1:3" ht="15.75" thickBot="1">
      <c r="A1214" s="6" t="s">
        <v>2291</v>
      </c>
      <c r="B1214" s="5" t="s">
        <v>2292</v>
      </c>
      <c r="C1214" s="3" t="s">
        <v>5</v>
      </c>
    </row>
    <row r="1215" spans="1:3" ht="15.75" thickBot="1">
      <c r="A1215" s="6" t="s">
        <v>2293</v>
      </c>
      <c r="B1215" s="5" t="s">
        <v>2294</v>
      </c>
      <c r="C1215" s="3" t="s">
        <v>5</v>
      </c>
    </row>
    <row r="1216" spans="1:3" ht="15.75" thickBot="1">
      <c r="A1216" s="6" t="s">
        <v>2295</v>
      </c>
      <c r="B1216" s="5" t="s">
        <v>2296</v>
      </c>
      <c r="C1216" s="3" t="s">
        <v>5</v>
      </c>
    </row>
    <row r="1217" spans="1:3" ht="15.75" thickBot="1">
      <c r="A1217" s="6" t="s">
        <v>2297</v>
      </c>
      <c r="B1217" s="5" t="s">
        <v>2298</v>
      </c>
      <c r="C1217" s="3" t="s">
        <v>5</v>
      </c>
    </row>
    <row r="1218" spans="1:3" ht="15.75" thickBot="1">
      <c r="A1218" s="6" t="s">
        <v>2299</v>
      </c>
      <c r="B1218" s="5" t="s">
        <v>2300</v>
      </c>
      <c r="C1218" s="3" t="s">
        <v>5</v>
      </c>
    </row>
    <row r="1219" spans="1:3" ht="15.75" thickBot="1">
      <c r="A1219" s="6" t="s">
        <v>2301</v>
      </c>
      <c r="B1219" s="5" t="s">
        <v>2302</v>
      </c>
      <c r="C1219" s="3" t="s">
        <v>5</v>
      </c>
    </row>
    <row r="1220" spans="1:3" ht="15.75" thickBot="1">
      <c r="A1220" s="6" t="s">
        <v>2303</v>
      </c>
      <c r="B1220" s="5" t="s">
        <v>2304</v>
      </c>
      <c r="C1220" s="3" t="s">
        <v>5</v>
      </c>
    </row>
    <row r="1221" spans="1:3" ht="15.75" thickBot="1">
      <c r="A1221" s="6" t="s">
        <v>2305</v>
      </c>
      <c r="B1221" s="5" t="s">
        <v>2306</v>
      </c>
      <c r="C1221" s="3" t="s">
        <v>5</v>
      </c>
    </row>
    <row r="1222" spans="1:3" ht="15.75" thickBot="1">
      <c r="A1222" s="6" t="s">
        <v>2307</v>
      </c>
      <c r="B1222" s="5" t="s">
        <v>2308</v>
      </c>
      <c r="C1222" s="3" t="s">
        <v>5</v>
      </c>
    </row>
    <row r="1223" spans="1:3" ht="15.75" thickBot="1">
      <c r="A1223" s="6" t="s">
        <v>2309</v>
      </c>
      <c r="B1223" s="5" t="s">
        <v>2310</v>
      </c>
      <c r="C1223" s="3" t="s">
        <v>5</v>
      </c>
    </row>
    <row r="1224" spans="1:3" ht="15.75" thickBot="1">
      <c r="A1224" s="6" t="s">
        <v>2311</v>
      </c>
      <c r="B1224" s="5" t="s">
        <v>2312</v>
      </c>
      <c r="C1224" s="3" t="s">
        <v>5</v>
      </c>
    </row>
    <row r="1225" spans="1:3" ht="15.75" thickBot="1">
      <c r="A1225" s="6" t="s">
        <v>2313</v>
      </c>
      <c r="B1225" s="5" t="s">
        <v>2314</v>
      </c>
      <c r="C1225" s="3" t="s">
        <v>5</v>
      </c>
    </row>
    <row r="1226" spans="1:3" ht="15.75" thickBot="1">
      <c r="A1226" s="6" t="s">
        <v>2315</v>
      </c>
      <c r="B1226" s="5" t="s">
        <v>2316</v>
      </c>
      <c r="C1226" s="3" t="s">
        <v>5</v>
      </c>
    </row>
    <row r="1227" spans="1:3" ht="15.75" thickBot="1">
      <c r="A1227" s="6" t="s">
        <v>2317</v>
      </c>
      <c r="B1227" s="5" t="s">
        <v>2318</v>
      </c>
      <c r="C1227" s="3" t="s">
        <v>5</v>
      </c>
    </row>
    <row r="1228" spans="1:3" ht="15.75" thickBot="1">
      <c r="A1228" s="6" t="s">
        <v>2319</v>
      </c>
      <c r="B1228" s="5" t="s">
        <v>2320</v>
      </c>
      <c r="C1228" s="3" t="s">
        <v>5</v>
      </c>
    </row>
    <row r="1229" spans="1:3" ht="15.75" thickBot="1">
      <c r="A1229" s="6" t="s">
        <v>2321</v>
      </c>
      <c r="B1229" s="5" t="s">
        <v>2322</v>
      </c>
      <c r="C1229" s="3" t="s">
        <v>5</v>
      </c>
    </row>
    <row r="1230" spans="1:3" ht="15.75" thickBot="1">
      <c r="A1230" s="6" t="s">
        <v>2323</v>
      </c>
      <c r="B1230" s="5" t="e">
        <f xml:space="preserve"> carbon-filament lamp</f>
        <v>#NAME?</v>
      </c>
      <c r="C1230" s="3" t="s">
        <v>5</v>
      </c>
    </row>
    <row r="1231" spans="1:3" ht="15.75" thickBot="1">
      <c r="A1231" s="6" t="s">
        <v>2324</v>
      </c>
      <c r="B1231" s="5" t="s">
        <v>2325</v>
      </c>
      <c r="C1231" s="3" t="s">
        <v>5</v>
      </c>
    </row>
    <row r="1232" spans="1:3" ht="15.75" thickBot="1">
      <c r="A1232" s="6" t="s">
        <v>2326</v>
      </c>
      <c r="B1232" s="5" t="s">
        <v>2327</v>
      </c>
      <c r="C1232" s="3" t="s">
        <v>5</v>
      </c>
    </row>
    <row r="1233" spans="1:3" ht="15.75" thickBot="1">
      <c r="A1233" s="6" t="s">
        <v>2328</v>
      </c>
      <c r="B1233" s="5" t="s">
        <v>2329</v>
      </c>
      <c r="C1233" s="3" t="s">
        <v>5</v>
      </c>
    </row>
    <row r="1234" spans="1:3" ht="15.75" thickBot="1">
      <c r="A1234" s="6" t="s">
        <v>2330</v>
      </c>
      <c r="B1234" s="5" t="s">
        <v>2331</v>
      </c>
      <c r="C1234" s="3" t="s">
        <v>5</v>
      </c>
    </row>
    <row r="1235" spans="1:3">
      <c r="A1235" s="1" t="s">
        <v>2332</v>
      </c>
      <c r="B1235" s="2" t="s">
        <v>2333</v>
      </c>
      <c r="C1235" s="3" t="s">
        <v>5</v>
      </c>
    </row>
    <row r="1236" spans="1:3" ht="15.75" thickBot="1">
      <c r="A1236" s="4"/>
      <c r="B1236" s="5" t="s">
        <v>2334</v>
      </c>
      <c r="C1236" s="3" t="s">
        <v>5</v>
      </c>
    </row>
    <row r="1237" spans="1:3" ht="15.75" thickBot="1">
      <c r="A1237" s="6" t="s">
        <v>2335</v>
      </c>
      <c r="B1237" s="5" t="s">
        <v>2336</v>
      </c>
      <c r="C1237" s="3" t="s">
        <v>5</v>
      </c>
    </row>
    <row r="1238" spans="1:3" ht="15.75" thickBot="1">
      <c r="A1238" s="6" t="s">
        <v>2337</v>
      </c>
      <c r="B1238" s="5" t="s">
        <v>2338</v>
      </c>
      <c r="C1238" s="3" t="s">
        <v>5</v>
      </c>
    </row>
    <row r="1239" spans="1:3" ht="15.75" thickBot="1">
      <c r="A1239" s="6" t="s">
        <v>2339</v>
      </c>
      <c r="B1239" s="5" t="s">
        <v>2340</v>
      </c>
      <c r="C1239" s="3" t="s">
        <v>5</v>
      </c>
    </row>
    <row r="1240" spans="1:3" ht="15.75" thickBot="1">
      <c r="A1240" s="6" t="s">
        <v>2341</v>
      </c>
      <c r="B1240" s="5" t="s">
        <v>2342</v>
      </c>
      <c r="C1240" s="3" t="s">
        <v>5</v>
      </c>
    </row>
    <row r="1241" spans="1:3">
      <c r="A1241" s="1" t="s">
        <v>2343</v>
      </c>
      <c r="B1241" s="2" t="s">
        <v>2344</v>
      </c>
      <c r="C1241" s="3" t="s">
        <v>5</v>
      </c>
    </row>
    <row r="1242" spans="1:3" ht="15.75" thickBot="1">
      <c r="A1242" s="4"/>
      <c r="B1242" s="5" t="s">
        <v>2345</v>
      </c>
      <c r="C1242" s="3" t="s">
        <v>5</v>
      </c>
    </row>
    <row r="1243" spans="1:3" ht="15.75" thickBot="1">
      <c r="A1243" s="6" t="s">
        <v>2346</v>
      </c>
      <c r="B1243" s="5" t="s">
        <v>2347</v>
      </c>
      <c r="C1243" s="3" t="s">
        <v>5</v>
      </c>
    </row>
    <row r="1244" spans="1:3" ht="15.75" thickBot="1">
      <c r="A1244" s="6" t="s">
        <v>2348</v>
      </c>
      <c r="B1244" s="5" t="s">
        <v>2349</v>
      </c>
      <c r="C1244" s="3" t="s">
        <v>5</v>
      </c>
    </row>
    <row r="1245" spans="1:3" ht="15.75" thickBot="1">
      <c r="A1245" s="6" t="s">
        <v>2350</v>
      </c>
      <c r="B1245" s="5" t="s">
        <v>2351</v>
      </c>
      <c r="C1245" s="3" t="s">
        <v>5</v>
      </c>
    </row>
    <row r="1246" spans="1:3" ht="15.75" thickBot="1">
      <c r="A1246" s="6" t="s">
        <v>2352</v>
      </c>
      <c r="B1246" s="5" t="s">
        <v>2347</v>
      </c>
      <c r="C1246" s="3" t="s">
        <v>5</v>
      </c>
    </row>
    <row r="1247" spans="1:3" ht="15.75" thickBot="1">
      <c r="A1247" s="6" t="s">
        <v>2353</v>
      </c>
      <c r="B1247" s="5" t="s">
        <v>2354</v>
      </c>
      <c r="C1247" s="3" t="s">
        <v>5</v>
      </c>
    </row>
    <row r="1248" spans="1:3" ht="15.75" thickBot="1">
      <c r="A1248" s="6" t="s">
        <v>2355</v>
      </c>
      <c r="B1248" s="5" t="s">
        <v>2356</v>
      </c>
      <c r="C1248" s="3" t="s">
        <v>5</v>
      </c>
    </row>
    <row r="1249" spans="1:3" ht="15.75" thickBot="1">
      <c r="A1249" s="6" t="s">
        <v>2357</v>
      </c>
      <c r="B1249" s="5" t="s">
        <v>2358</v>
      </c>
      <c r="C1249" s="3" t="s">
        <v>5</v>
      </c>
    </row>
    <row r="1250" spans="1:3" ht="15.75" thickBot="1">
      <c r="A1250" s="6" t="s">
        <v>2359</v>
      </c>
      <c r="B1250" s="5" t="s">
        <v>2360</v>
      </c>
      <c r="C1250" s="3" t="s">
        <v>5</v>
      </c>
    </row>
    <row r="1251" spans="1:3" ht="15.75" thickBot="1">
      <c r="A1251" s="6" t="s">
        <v>2361</v>
      </c>
      <c r="B1251" s="5" t="s">
        <v>2362</v>
      </c>
      <c r="C1251" s="3" t="s">
        <v>5</v>
      </c>
    </row>
    <row r="1252" spans="1:3" ht="15.75" thickBot="1">
      <c r="A1252" s="6" t="s">
        <v>2363</v>
      </c>
      <c r="B1252" s="5" t="s">
        <v>2364</v>
      </c>
      <c r="C1252" s="3" t="s">
        <v>5</v>
      </c>
    </row>
    <row r="1253" spans="1:3" ht="15.75" thickBot="1">
      <c r="A1253" s="6" t="s">
        <v>2365</v>
      </c>
      <c r="B1253" s="5" t="s">
        <v>2366</v>
      </c>
      <c r="C1253" s="3" t="s">
        <v>5</v>
      </c>
    </row>
    <row r="1254" spans="1:3" ht="15.75" thickBot="1">
      <c r="A1254" s="6" t="s">
        <v>2367</v>
      </c>
      <c r="B1254" s="5" t="s">
        <v>2368</v>
      </c>
      <c r="C1254" s="3" t="s">
        <v>5</v>
      </c>
    </row>
    <row r="1255" spans="1:3" ht="15.75" thickBot="1">
      <c r="A1255" s="6" t="s">
        <v>2369</v>
      </c>
      <c r="B1255" s="5" t="s">
        <v>2370</v>
      </c>
      <c r="C1255" s="3" t="s">
        <v>5</v>
      </c>
    </row>
    <row r="1256" spans="1:3" ht="15.75" thickBot="1">
      <c r="A1256" s="6" t="s">
        <v>2371</v>
      </c>
      <c r="B1256" s="5" t="s">
        <v>2372</v>
      </c>
      <c r="C1256" s="3" t="s">
        <v>5</v>
      </c>
    </row>
    <row r="1257" spans="1:3" ht="15.75" thickBot="1">
      <c r="A1257" s="6" t="s">
        <v>2373</v>
      </c>
      <c r="B1257" s="5" t="s">
        <v>2374</v>
      </c>
      <c r="C1257" s="3" t="s">
        <v>5</v>
      </c>
    </row>
    <row r="1258" spans="1:3" ht="15.75" thickBot="1">
      <c r="A1258" s="6" t="s">
        <v>2375</v>
      </c>
      <c r="B1258" s="5" t="s">
        <v>2376</v>
      </c>
      <c r="C1258" s="3" t="s">
        <v>5</v>
      </c>
    </row>
    <row r="1259" spans="1:3" ht="15.75" thickBot="1">
      <c r="A1259" s="6" t="s">
        <v>2377</v>
      </c>
      <c r="B1259" s="5" t="s">
        <v>2378</v>
      </c>
      <c r="C1259" s="3" t="s">
        <v>5</v>
      </c>
    </row>
    <row r="1260" spans="1:3" ht="15.75" thickBot="1">
      <c r="A1260" s="6" t="s">
        <v>2379</v>
      </c>
      <c r="B1260" s="5" t="s">
        <v>2380</v>
      </c>
      <c r="C1260" s="3" t="s">
        <v>5</v>
      </c>
    </row>
    <row r="1261" spans="1:3" ht="15.75" thickBot="1">
      <c r="A1261" s="6" t="s">
        <v>2381</v>
      </c>
      <c r="B1261" s="5" t="s">
        <v>2382</v>
      </c>
      <c r="C1261" s="3" t="s">
        <v>5</v>
      </c>
    </row>
    <row r="1262" spans="1:3" ht="15.75" thickBot="1">
      <c r="A1262" s="6" t="s">
        <v>2383</v>
      </c>
      <c r="B1262" s="5" t="s">
        <v>2384</v>
      </c>
      <c r="C1262" s="3" t="s">
        <v>5</v>
      </c>
    </row>
    <row r="1263" spans="1:3" ht="15.75" thickBot="1">
      <c r="A1263" s="6" t="s">
        <v>2385</v>
      </c>
      <c r="B1263" s="5" t="s">
        <v>2386</v>
      </c>
      <c r="C1263" s="3" t="s">
        <v>5</v>
      </c>
    </row>
    <row r="1264" spans="1:3" ht="15.75" thickBot="1">
      <c r="A1264" s="6" t="s">
        <v>2387</v>
      </c>
      <c r="B1264" s="5" t="s">
        <v>2388</v>
      </c>
      <c r="C1264" s="3" t="s">
        <v>5</v>
      </c>
    </row>
    <row r="1265" spans="1:3" ht="15.75" thickBot="1">
      <c r="A1265" s="6" t="s">
        <v>2389</v>
      </c>
      <c r="B1265" s="5" t="s">
        <v>2390</v>
      </c>
      <c r="C1265" s="3" t="s">
        <v>5</v>
      </c>
    </row>
    <row r="1266" spans="1:3" ht="15.75" thickBot="1">
      <c r="A1266" s="6" t="s">
        <v>2391</v>
      </c>
      <c r="B1266" s="5" t="s">
        <v>2392</v>
      </c>
      <c r="C1266" s="3" t="s">
        <v>5</v>
      </c>
    </row>
    <row r="1267" spans="1:3" ht="15.75" thickBot="1">
      <c r="A1267" s="6" t="s">
        <v>2393</v>
      </c>
      <c r="B1267" s="5" t="s">
        <v>2394</v>
      </c>
      <c r="C1267" s="3" t="s">
        <v>5</v>
      </c>
    </row>
    <row r="1268" spans="1:3" ht="15.75" thickBot="1">
      <c r="A1268" s="6" t="s">
        <v>2395</v>
      </c>
      <c r="B1268" s="5" t="s">
        <v>2396</v>
      </c>
      <c r="C1268" s="3" t="s">
        <v>5</v>
      </c>
    </row>
    <row r="1269" spans="1:3" ht="15.75" thickBot="1">
      <c r="A1269" s="6" t="s">
        <v>2397</v>
      </c>
      <c r="B1269" s="5" t="s">
        <v>2398</v>
      </c>
      <c r="C1269" s="3" t="s">
        <v>5</v>
      </c>
    </row>
    <row r="1270" spans="1:3" ht="15.75" thickBot="1">
      <c r="A1270" s="6" t="s">
        <v>2399</v>
      </c>
      <c r="B1270" s="5" t="s">
        <v>2400</v>
      </c>
      <c r="C1270" s="3" t="s">
        <v>5</v>
      </c>
    </row>
    <row r="1271" spans="1:3" ht="15.75" thickBot="1">
      <c r="A1271" s="6" t="s">
        <v>2401</v>
      </c>
      <c r="B1271" s="5" t="s">
        <v>2402</v>
      </c>
      <c r="C1271" s="3" t="s">
        <v>5</v>
      </c>
    </row>
    <row r="1272" spans="1:3" ht="15.75" thickBot="1">
      <c r="A1272" s="6" t="s">
        <v>2403</v>
      </c>
      <c r="B1272" s="5" t="s">
        <v>2404</v>
      </c>
      <c r="C1272" s="3" t="s">
        <v>5</v>
      </c>
    </row>
    <row r="1273" spans="1:3" ht="15.75" thickBot="1">
      <c r="A1273" s="6" t="s">
        <v>2405</v>
      </c>
      <c r="B1273" s="5" t="s">
        <v>2406</v>
      </c>
      <c r="C1273" s="3" t="s">
        <v>5</v>
      </c>
    </row>
    <row r="1274" spans="1:3" ht="15.75" thickBot="1">
      <c r="A1274" s="6" t="s">
        <v>2407</v>
      </c>
      <c r="B1274" s="5" t="s">
        <v>2408</v>
      </c>
      <c r="C1274" s="3" t="s">
        <v>5</v>
      </c>
    </row>
    <row r="1275" spans="1:3" ht="15.75" thickBot="1">
      <c r="A1275" s="6" t="s">
        <v>2409</v>
      </c>
      <c r="B1275" s="5" t="s">
        <v>2410</v>
      </c>
      <c r="C1275" s="3" t="s">
        <v>5</v>
      </c>
    </row>
    <row r="1276" spans="1:3" ht="15.75" thickBot="1">
      <c r="A1276" s="6" t="s">
        <v>2411</v>
      </c>
      <c r="B1276" s="5" t="s">
        <v>2412</v>
      </c>
      <c r="C1276" s="3" t="s">
        <v>5</v>
      </c>
    </row>
    <row r="1277" spans="1:3" ht="15.75" thickBot="1">
      <c r="A1277" s="6" t="s">
        <v>2413</v>
      </c>
      <c r="B1277" s="5" t="s">
        <v>2414</v>
      </c>
      <c r="C1277" s="3" t="s">
        <v>5</v>
      </c>
    </row>
    <row r="1278" spans="1:3" ht="15.75" thickBot="1">
      <c r="A1278" s="6" t="s">
        <v>2415</v>
      </c>
      <c r="B1278" s="5" t="s">
        <v>2416</v>
      </c>
      <c r="C1278" s="3" t="s">
        <v>5</v>
      </c>
    </row>
    <row r="1279" spans="1:3" ht="15.75" thickBot="1">
      <c r="A1279" s="6" t="s">
        <v>2417</v>
      </c>
      <c r="B1279" s="5" t="s">
        <v>2418</v>
      </c>
      <c r="C1279" s="3" t="s">
        <v>5</v>
      </c>
    </row>
    <row r="1280" spans="1:3" ht="15.75" thickBot="1">
      <c r="A1280" s="6" t="s">
        <v>2419</v>
      </c>
      <c r="B1280" s="5" t="s">
        <v>2420</v>
      </c>
      <c r="C1280" s="3" t="s">
        <v>5</v>
      </c>
    </row>
    <row r="1281" spans="1:3" ht="15.75" thickBot="1">
      <c r="A1281" s="6" t="s">
        <v>2421</v>
      </c>
      <c r="B1281" s="5" t="s">
        <v>2422</v>
      </c>
      <c r="C1281" s="3" t="s">
        <v>5</v>
      </c>
    </row>
    <row r="1282" spans="1:3" ht="15.75" thickBot="1">
      <c r="A1282" s="6" t="s">
        <v>2423</v>
      </c>
      <c r="B1282" s="5" t="s">
        <v>2424</v>
      </c>
      <c r="C1282" s="3" t="s">
        <v>5</v>
      </c>
    </row>
    <row r="1283" spans="1:3" ht="15.75" thickBot="1">
      <c r="A1283" s="6" t="s">
        <v>2425</v>
      </c>
      <c r="B1283" s="5" t="s">
        <v>2426</v>
      </c>
      <c r="C1283" s="3" t="s">
        <v>5</v>
      </c>
    </row>
    <row r="1284" spans="1:3" ht="15.75" thickBot="1">
      <c r="A1284" s="6" t="s">
        <v>2425</v>
      </c>
      <c r="B1284" s="5" t="s">
        <v>2427</v>
      </c>
      <c r="C1284" s="3" t="s">
        <v>5</v>
      </c>
    </row>
    <row r="1285" spans="1:3" ht="15.75" thickBot="1">
      <c r="A1285" s="6" t="s">
        <v>2428</v>
      </c>
      <c r="B1285" s="5" t="s">
        <v>2429</v>
      </c>
      <c r="C1285" s="3" t="s">
        <v>5</v>
      </c>
    </row>
    <row r="1286" spans="1:3" ht="15.75" thickBot="1">
      <c r="A1286" s="6" t="s">
        <v>2430</v>
      </c>
      <c r="B1286" s="5" t="s">
        <v>2431</v>
      </c>
      <c r="C1286" s="3" t="s">
        <v>5</v>
      </c>
    </row>
    <row r="1287" spans="1:3" ht="15.75" thickBot="1">
      <c r="A1287" s="6" t="s">
        <v>2432</v>
      </c>
      <c r="B1287" s="5" t="s">
        <v>2433</v>
      </c>
      <c r="C1287" s="3" t="s">
        <v>5</v>
      </c>
    </row>
    <row r="1288" spans="1:3" ht="15.75" thickBot="1">
      <c r="A1288" s="6" t="s">
        <v>2434</v>
      </c>
      <c r="B1288" s="5" t="s">
        <v>2435</v>
      </c>
      <c r="C1288" s="3" t="s">
        <v>5</v>
      </c>
    </row>
    <row r="1289" spans="1:3" ht="15.75" thickBot="1">
      <c r="A1289" s="6" t="s">
        <v>2436</v>
      </c>
      <c r="B1289" s="5" t="s">
        <v>2437</v>
      </c>
      <c r="C1289" s="3" t="s">
        <v>5</v>
      </c>
    </row>
    <row r="1290" spans="1:3" ht="15.75" thickBot="1">
      <c r="A1290" s="6" t="s">
        <v>2438</v>
      </c>
      <c r="B1290" s="5" t="s">
        <v>2439</v>
      </c>
      <c r="C1290" s="3" t="s">
        <v>5</v>
      </c>
    </row>
    <row r="1291" spans="1:3" ht="15.75" thickBot="1">
      <c r="A1291" s="6" t="s">
        <v>2440</v>
      </c>
      <c r="B1291" s="5" t="s">
        <v>2441</v>
      </c>
      <c r="C1291" s="3" t="s">
        <v>5</v>
      </c>
    </row>
    <row r="1292" spans="1:3" ht="15.75" thickBot="1">
      <c r="A1292" s="6" t="s">
        <v>2442</v>
      </c>
      <c r="B1292" s="5" t="s">
        <v>2443</v>
      </c>
      <c r="C1292" s="3" t="s">
        <v>5</v>
      </c>
    </row>
    <row r="1293" spans="1:3" ht="15.75" thickBot="1">
      <c r="A1293" s="6" t="s">
        <v>2444</v>
      </c>
      <c r="B1293" s="5" t="s">
        <v>2445</v>
      </c>
      <c r="C1293" s="3" t="s">
        <v>5</v>
      </c>
    </row>
    <row r="1294" spans="1:3" ht="15.75" thickBot="1">
      <c r="A1294" s="6" t="s">
        <v>2446</v>
      </c>
      <c r="B1294" s="5" t="s">
        <v>2447</v>
      </c>
      <c r="C1294" s="3" t="s">
        <v>5</v>
      </c>
    </row>
    <row r="1295" spans="1:3" ht="15.75" thickBot="1">
      <c r="A1295" s="6" t="s">
        <v>2448</v>
      </c>
      <c r="B1295" s="5" t="s">
        <v>2449</v>
      </c>
      <c r="C1295" s="3" t="s">
        <v>5</v>
      </c>
    </row>
    <row r="1296" spans="1:3" ht="15.75" thickBot="1">
      <c r="A1296" s="6" t="s">
        <v>2450</v>
      </c>
      <c r="B1296" s="5" t="s">
        <v>2451</v>
      </c>
      <c r="C1296" s="3" t="s">
        <v>5</v>
      </c>
    </row>
    <row r="1297" spans="1:3" ht="15.75" thickBot="1">
      <c r="A1297" s="6" t="s">
        <v>2452</v>
      </c>
      <c r="B1297" s="5" t="s">
        <v>2453</v>
      </c>
      <c r="C1297" s="3" t="s">
        <v>5</v>
      </c>
    </row>
    <row r="1298" spans="1:3">
      <c r="A1298" s="1" t="s">
        <v>2454</v>
      </c>
      <c r="B1298" s="2" t="s">
        <v>2455</v>
      </c>
      <c r="C1298" s="3" t="s">
        <v>5</v>
      </c>
    </row>
    <row r="1299" spans="1:3" ht="15.75" thickBot="1">
      <c r="A1299" s="4"/>
      <c r="B1299" s="5" t="s">
        <v>2456</v>
      </c>
      <c r="C1299" s="3" t="s">
        <v>5</v>
      </c>
    </row>
    <row r="1300" spans="1:3" ht="15.75" thickBot="1">
      <c r="A1300" s="6" t="s">
        <v>2457</v>
      </c>
      <c r="B1300" s="5" t="s">
        <v>2458</v>
      </c>
      <c r="C1300" s="3" t="s">
        <v>5</v>
      </c>
    </row>
    <row r="1301" spans="1:3" ht="15.75" thickBot="1">
      <c r="A1301" s="6" t="s">
        <v>2459</v>
      </c>
      <c r="B1301" s="5" t="s">
        <v>2460</v>
      </c>
      <c r="C1301" s="3" t="s">
        <v>5</v>
      </c>
    </row>
    <row r="1302" spans="1:3" ht="15.75" thickBot="1">
      <c r="A1302" s="6" t="s">
        <v>2461</v>
      </c>
      <c r="B1302" s="5" t="s">
        <v>2462</v>
      </c>
      <c r="C1302" s="3" t="s">
        <v>5</v>
      </c>
    </row>
    <row r="1303" spans="1:3" ht="15.75" thickBot="1">
      <c r="A1303" s="6" t="s">
        <v>2463</v>
      </c>
      <c r="B1303" s="5" t="s">
        <v>2464</v>
      </c>
      <c r="C1303" s="3" t="s">
        <v>5</v>
      </c>
    </row>
    <row r="1304" spans="1:3" ht="15.75" thickBot="1">
      <c r="A1304" s="6" t="s">
        <v>2465</v>
      </c>
      <c r="B1304" s="5" t="s">
        <v>2466</v>
      </c>
      <c r="C1304" s="3" t="s">
        <v>5</v>
      </c>
    </row>
    <row r="1305" spans="1:3" ht="15.75" thickBot="1">
      <c r="A1305" s="6" t="s">
        <v>2467</v>
      </c>
      <c r="B1305" s="5" t="s">
        <v>2468</v>
      </c>
      <c r="C1305" s="3" t="s">
        <v>5</v>
      </c>
    </row>
    <row r="1306" spans="1:3" ht="15.75" thickBot="1">
      <c r="A1306" s="6" t="s">
        <v>2469</v>
      </c>
      <c r="B1306" s="5" t="s">
        <v>2470</v>
      </c>
      <c r="C1306" s="3" t="s">
        <v>5</v>
      </c>
    </row>
    <row r="1307" spans="1:3" ht="15.75" thickBot="1">
      <c r="A1307" s="6" t="s">
        <v>2471</v>
      </c>
      <c r="B1307" s="5" t="s">
        <v>2472</v>
      </c>
      <c r="C1307" s="3" t="s">
        <v>5</v>
      </c>
    </row>
    <row r="1308" spans="1:3" ht="15.75" thickBot="1">
      <c r="A1308" s="6" t="s">
        <v>2473</v>
      </c>
      <c r="B1308" s="5" t="s">
        <v>2474</v>
      </c>
      <c r="C1308" s="3" t="s">
        <v>5</v>
      </c>
    </row>
    <row r="1309" spans="1:3" ht="15.75" thickBot="1">
      <c r="A1309" s="6" t="s">
        <v>2475</v>
      </c>
      <c r="B1309" s="5" t="s">
        <v>2476</v>
      </c>
      <c r="C1309" s="3" t="s">
        <v>5</v>
      </c>
    </row>
    <row r="1310" spans="1:3" ht="15.75" thickBot="1">
      <c r="A1310" s="6" t="s">
        <v>2477</v>
      </c>
      <c r="B1310" s="5" t="s">
        <v>2478</v>
      </c>
      <c r="C1310" s="3" t="s">
        <v>5</v>
      </c>
    </row>
    <row r="1311" spans="1:3" ht="15.75" thickBot="1">
      <c r="A1311" s="6" t="s">
        <v>2479</v>
      </c>
      <c r="B1311" s="5" t="s">
        <v>2480</v>
      </c>
      <c r="C1311" s="3" t="s">
        <v>5</v>
      </c>
    </row>
    <row r="1312" spans="1:3" ht="15.75" thickBot="1">
      <c r="A1312" s="6" t="s">
        <v>2481</v>
      </c>
      <c r="B1312" s="5" t="s">
        <v>2482</v>
      </c>
      <c r="C1312" s="3" t="s">
        <v>5</v>
      </c>
    </row>
    <row r="1313" spans="1:3" ht="15.75" thickBot="1">
      <c r="A1313" s="6" t="s">
        <v>2483</v>
      </c>
      <c r="B1313" s="5" t="s">
        <v>2484</v>
      </c>
      <c r="C1313" s="3" t="s">
        <v>5</v>
      </c>
    </row>
    <row r="1314" spans="1:3" ht="15.75" thickBot="1">
      <c r="A1314" s="6" t="s">
        <v>2485</v>
      </c>
      <c r="B1314" s="5" t="s">
        <v>2486</v>
      </c>
      <c r="C1314" s="3" t="s">
        <v>5</v>
      </c>
    </row>
    <row r="1315" spans="1:3" ht="15.75" thickBot="1">
      <c r="A1315" s="6" t="s">
        <v>2487</v>
      </c>
      <c r="B1315" s="5" t="s">
        <v>2488</v>
      </c>
      <c r="C1315" s="3" t="s">
        <v>5</v>
      </c>
    </row>
    <row r="1316" spans="1:3" ht="15.75" thickBot="1">
      <c r="A1316" s="6" t="s">
        <v>2489</v>
      </c>
      <c r="B1316" s="5" t="s">
        <v>2490</v>
      </c>
      <c r="C1316" s="3" t="s">
        <v>5</v>
      </c>
    </row>
    <row r="1317" spans="1:3" ht="15.75" thickBot="1">
      <c r="A1317" s="6" t="s">
        <v>2491</v>
      </c>
      <c r="B1317" s="5" t="s">
        <v>2492</v>
      </c>
      <c r="C1317" s="3" t="s">
        <v>5</v>
      </c>
    </row>
    <row r="1318" spans="1:3" ht="15.75" thickBot="1">
      <c r="A1318" s="6" t="s">
        <v>2493</v>
      </c>
      <c r="B1318" s="5" t="s">
        <v>2494</v>
      </c>
      <c r="C1318" s="3" t="s">
        <v>5</v>
      </c>
    </row>
    <row r="1319" spans="1:3" ht="15.75" thickBot="1">
      <c r="A1319" s="6" t="s">
        <v>2495</v>
      </c>
      <c r="B1319" s="5" t="s">
        <v>2496</v>
      </c>
      <c r="C1319" s="3" t="s">
        <v>5</v>
      </c>
    </row>
    <row r="1320" spans="1:3" ht="15.75" thickBot="1">
      <c r="A1320" s="6" t="s">
        <v>2497</v>
      </c>
      <c r="B1320" s="5" t="s">
        <v>2498</v>
      </c>
      <c r="C1320" s="3" t="s">
        <v>5</v>
      </c>
    </row>
    <row r="1321" spans="1:3" ht="15.75" thickBot="1">
      <c r="A1321" s="6" t="s">
        <v>2499</v>
      </c>
      <c r="B1321" s="5" t="s">
        <v>2500</v>
      </c>
      <c r="C1321" s="3" t="s">
        <v>5</v>
      </c>
    </row>
    <row r="1322" spans="1:3" ht="15.75" thickBot="1">
      <c r="A1322" s="6" t="s">
        <v>2501</v>
      </c>
      <c r="B1322" s="5" t="s">
        <v>2502</v>
      </c>
      <c r="C1322" s="3" t="s">
        <v>5</v>
      </c>
    </row>
    <row r="1323" spans="1:3" ht="15.75" thickBot="1">
      <c r="A1323" s="6" t="s">
        <v>2503</v>
      </c>
      <c r="B1323" s="5" t="s">
        <v>2504</v>
      </c>
      <c r="C1323" s="3" t="s">
        <v>5</v>
      </c>
    </row>
    <row r="1324" spans="1:3" ht="15.75" thickBot="1">
      <c r="A1324" s="6" t="s">
        <v>2505</v>
      </c>
      <c r="B1324" s="5" t="s">
        <v>2506</v>
      </c>
      <c r="C1324" s="3" t="s">
        <v>5</v>
      </c>
    </row>
    <row r="1325" spans="1:3" ht="15.75" thickBot="1">
      <c r="A1325" s="6" t="s">
        <v>2507</v>
      </c>
      <c r="B1325" s="5" t="s">
        <v>2508</v>
      </c>
      <c r="C1325" s="3" t="s">
        <v>5</v>
      </c>
    </row>
    <row r="1326" spans="1:3" ht="15.75" thickBot="1">
      <c r="A1326" s="6" t="s">
        <v>2509</v>
      </c>
      <c r="B1326" s="5" t="s">
        <v>2510</v>
      </c>
      <c r="C1326" s="3" t="s">
        <v>5</v>
      </c>
    </row>
    <row r="1327" spans="1:3" ht="15.75" thickBot="1">
      <c r="A1327" s="6" t="s">
        <v>2511</v>
      </c>
      <c r="B1327" s="5" t="s">
        <v>2512</v>
      </c>
      <c r="C1327" s="3" t="s">
        <v>5</v>
      </c>
    </row>
    <row r="1328" spans="1:3" ht="15.75" thickBot="1">
      <c r="A1328" s="6" t="s">
        <v>2513</v>
      </c>
      <c r="B1328" s="5" t="s">
        <v>2514</v>
      </c>
      <c r="C1328" s="3" t="s">
        <v>5</v>
      </c>
    </row>
    <row r="1329" spans="1:3" ht="15.75" thickBot="1">
      <c r="A1329" s="6" t="s">
        <v>2515</v>
      </c>
      <c r="B1329" s="5" t="s">
        <v>2516</v>
      </c>
      <c r="C1329" s="3" t="s">
        <v>5</v>
      </c>
    </row>
    <row r="1330" spans="1:3" ht="15.75" thickBot="1">
      <c r="A1330" s="6" t="s">
        <v>2517</v>
      </c>
      <c r="B1330" s="5" t="s">
        <v>2518</v>
      </c>
      <c r="C1330" s="3" t="s">
        <v>5</v>
      </c>
    </row>
    <row r="1331" spans="1:3" ht="15.75" thickBot="1">
      <c r="A1331" s="6" t="s">
        <v>2519</v>
      </c>
      <c r="B1331" s="5" t="s">
        <v>2520</v>
      </c>
      <c r="C1331" s="3" t="s">
        <v>5</v>
      </c>
    </row>
    <row r="1332" spans="1:3" ht="15.75" thickBot="1">
      <c r="A1332" s="6" t="s">
        <v>2521</v>
      </c>
      <c r="B1332" s="5" t="s">
        <v>2522</v>
      </c>
      <c r="C1332" s="3" t="s">
        <v>5</v>
      </c>
    </row>
    <row r="1333" spans="1:3" ht="15.75" thickBot="1">
      <c r="A1333" s="6" t="s">
        <v>2523</v>
      </c>
      <c r="B1333" s="5" t="s">
        <v>2524</v>
      </c>
      <c r="C1333" s="3" t="s">
        <v>5</v>
      </c>
    </row>
    <row r="1334" spans="1:3" ht="15.75" thickBot="1">
      <c r="A1334" s="6" t="s">
        <v>2525</v>
      </c>
      <c r="B1334" s="5" t="s">
        <v>2526</v>
      </c>
      <c r="C1334" s="3" t="s">
        <v>5</v>
      </c>
    </row>
    <row r="1335" spans="1:3" ht="15.75" thickBot="1">
      <c r="A1335" s="6" t="s">
        <v>2527</v>
      </c>
      <c r="B1335" s="5" t="s">
        <v>2528</v>
      </c>
      <c r="C1335" s="3" t="s">
        <v>5</v>
      </c>
    </row>
    <row r="1336" spans="1:3" ht="15.75" thickBot="1">
      <c r="A1336" s="6" t="s">
        <v>2529</v>
      </c>
      <c r="B1336" s="5" t="s">
        <v>2530</v>
      </c>
      <c r="C1336" s="3" t="s">
        <v>5</v>
      </c>
    </row>
    <row r="1337" spans="1:3" ht="15.75" thickBot="1">
      <c r="A1337" s="6" t="s">
        <v>2531</v>
      </c>
      <c r="B1337" s="5" t="s">
        <v>2532</v>
      </c>
      <c r="C1337" s="3" t="s">
        <v>5</v>
      </c>
    </row>
    <row r="1338" spans="1:3" ht="15.75" thickBot="1">
      <c r="A1338" s="6" t="s">
        <v>2533</v>
      </c>
      <c r="B1338" s="5" t="s">
        <v>2534</v>
      </c>
      <c r="C1338" s="3" t="s">
        <v>5</v>
      </c>
    </row>
    <row r="1339" spans="1:3" ht="15.75" thickBot="1">
      <c r="A1339" s="6" t="s">
        <v>2535</v>
      </c>
      <c r="B1339" s="5" t="s">
        <v>2536</v>
      </c>
      <c r="C1339" s="3" t="s">
        <v>5</v>
      </c>
    </row>
    <row r="1340" spans="1:3" ht="15.75" thickBot="1">
      <c r="A1340" s="6" t="s">
        <v>2537</v>
      </c>
      <c r="B1340" s="5" t="s">
        <v>2538</v>
      </c>
      <c r="C1340" s="3" t="s">
        <v>5</v>
      </c>
    </row>
    <row r="1341" spans="1:3" ht="15.75" thickBot="1">
      <c r="A1341" s="6" t="s">
        <v>2539</v>
      </c>
      <c r="B1341" s="5" t="s">
        <v>2540</v>
      </c>
      <c r="C1341" s="3" t="s">
        <v>5</v>
      </c>
    </row>
    <row r="1342" spans="1:3" ht="15.75" thickBot="1">
      <c r="A1342" s="6" t="s">
        <v>2541</v>
      </c>
      <c r="B1342" s="5" t="s">
        <v>2542</v>
      </c>
      <c r="C1342" s="3" t="s">
        <v>5</v>
      </c>
    </row>
    <row r="1343" spans="1:3" ht="15.75" thickBot="1">
      <c r="A1343" s="6" t="s">
        <v>2543</v>
      </c>
      <c r="B1343" s="5" t="s">
        <v>2544</v>
      </c>
      <c r="C1343" s="3" t="s">
        <v>5</v>
      </c>
    </row>
    <row r="1344" spans="1:3" ht="15.75" thickBot="1">
      <c r="A1344" s="6" t="s">
        <v>2545</v>
      </c>
      <c r="B1344" s="5" t="s">
        <v>2546</v>
      </c>
      <c r="C1344" s="3" t="s">
        <v>5</v>
      </c>
    </row>
    <row r="1345" spans="1:3" ht="15.75" thickBot="1">
      <c r="A1345" s="6" t="s">
        <v>2547</v>
      </c>
      <c r="B1345" s="5" t="s">
        <v>2548</v>
      </c>
      <c r="C1345" s="3" t="s">
        <v>5</v>
      </c>
    </row>
    <row r="1346" spans="1:3" ht="15.75" thickBot="1">
      <c r="A1346" s="6" t="s">
        <v>2549</v>
      </c>
      <c r="B1346" s="5" t="s">
        <v>2550</v>
      </c>
      <c r="C1346" s="3" t="s">
        <v>5</v>
      </c>
    </row>
    <row r="1347" spans="1:3" ht="15.75" thickBot="1">
      <c r="A1347" s="6" t="s">
        <v>2551</v>
      </c>
      <c r="B1347" s="5" t="s">
        <v>2552</v>
      </c>
      <c r="C1347" s="3" t="s">
        <v>5</v>
      </c>
    </row>
    <row r="1348" spans="1:3" ht="15.75" thickBot="1">
      <c r="A1348" s="6" t="s">
        <v>2553</v>
      </c>
      <c r="B1348" s="5" t="s">
        <v>2554</v>
      </c>
      <c r="C1348" s="3" t="s">
        <v>5</v>
      </c>
    </row>
    <row r="1349" spans="1:3" ht="15.75" thickBot="1">
      <c r="A1349" s="6" t="s">
        <v>2555</v>
      </c>
      <c r="B1349" s="5" t="s">
        <v>2556</v>
      </c>
      <c r="C1349" s="3" t="s">
        <v>5</v>
      </c>
    </row>
    <row r="1350" spans="1:3" ht="15.75" thickBot="1">
      <c r="A1350" s="6" t="s">
        <v>2557</v>
      </c>
      <c r="B1350" s="5" t="s">
        <v>2558</v>
      </c>
      <c r="C1350" s="3" t="s">
        <v>5</v>
      </c>
    </row>
    <row r="1351" spans="1:3" ht="15.75" thickBot="1">
      <c r="A1351" s="6" t="s">
        <v>2559</v>
      </c>
      <c r="B1351" s="5" t="s">
        <v>2560</v>
      </c>
      <c r="C1351" s="3" t="s">
        <v>5</v>
      </c>
    </row>
    <row r="1352" spans="1:3" ht="15.75" thickBot="1">
      <c r="A1352" s="6" t="s">
        <v>2561</v>
      </c>
      <c r="B1352" s="5" t="s">
        <v>2562</v>
      </c>
      <c r="C1352" s="3" t="s">
        <v>5</v>
      </c>
    </row>
    <row r="1353" spans="1:3" ht="15.75" thickBot="1">
      <c r="A1353" s="6" t="s">
        <v>2563</v>
      </c>
      <c r="B1353" s="5" t="s">
        <v>2564</v>
      </c>
      <c r="C1353" s="3" t="s">
        <v>5</v>
      </c>
    </row>
    <row r="1354" spans="1:3" ht="15.75" thickBot="1">
      <c r="A1354" s="6" t="s">
        <v>2565</v>
      </c>
      <c r="B1354" s="5" t="s">
        <v>2566</v>
      </c>
      <c r="C1354" s="3" t="s">
        <v>5</v>
      </c>
    </row>
    <row r="1355" spans="1:3" ht="15.75" thickBot="1">
      <c r="A1355" s="6" t="s">
        <v>2567</v>
      </c>
      <c r="B1355" s="5" t="s">
        <v>2568</v>
      </c>
      <c r="C1355" s="3" t="s">
        <v>5</v>
      </c>
    </row>
    <row r="1356" spans="1:3" ht="15.75" thickBot="1">
      <c r="A1356" s="6" t="s">
        <v>2569</v>
      </c>
      <c r="B1356" s="5" t="e">
        <f xml:space="preserve"> centre</f>
        <v>#NAME?</v>
      </c>
      <c r="C1356" s="3" t="s">
        <v>5</v>
      </c>
    </row>
    <row r="1357" spans="1:3">
      <c r="A1357" s="1" t="s">
        <v>2570</v>
      </c>
      <c r="B1357" s="2" t="s">
        <v>2571</v>
      </c>
      <c r="C1357" s="3" t="s">
        <v>5</v>
      </c>
    </row>
    <row r="1358" spans="1:3" ht="15.75" thickBot="1">
      <c r="A1358" s="4"/>
      <c r="B1358" s="5" t="s">
        <v>2572</v>
      </c>
      <c r="C1358" s="3" t="s">
        <v>5</v>
      </c>
    </row>
    <row r="1359" spans="1:3" ht="15.75" thickBot="1">
      <c r="A1359" s="6" t="s">
        <v>2573</v>
      </c>
      <c r="B1359" s="5" t="s">
        <v>2574</v>
      </c>
      <c r="C1359" s="3" t="s">
        <v>5</v>
      </c>
    </row>
    <row r="1360" spans="1:3" ht="15.75" thickBot="1">
      <c r="A1360" s="6" t="s">
        <v>2575</v>
      </c>
      <c r="B1360" s="5" t="s">
        <v>2576</v>
      </c>
      <c r="C1360" s="3" t="s">
        <v>5</v>
      </c>
    </row>
    <row r="1361" spans="1:3" ht="15.75" thickBot="1">
      <c r="A1361" s="6" t="s">
        <v>2577</v>
      </c>
      <c r="B1361" s="5" t="s">
        <v>2578</v>
      </c>
      <c r="C1361" s="3" t="s">
        <v>5</v>
      </c>
    </row>
    <row r="1362" spans="1:3" ht="15.75" thickBot="1">
      <c r="A1362" s="6" t="s">
        <v>2579</v>
      </c>
      <c r="B1362" s="5" t="s">
        <v>2580</v>
      </c>
      <c r="C1362" s="3" t="s">
        <v>5</v>
      </c>
    </row>
    <row r="1363" spans="1:3" ht="15.75" thickBot="1">
      <c r="A1363" s="6" t="s">
        <v>2581</v>
      </c>
      <c r="B1363" s="5" t="s">
        <v>2582</v>
      </c>
      <c r="C1363" s="3" t="s">
        <v>5</v>
      </c>
    </row>
    <row r="1364" spans="1:3" ht="15.75" thickBot="1">
      <c r="A1364" s="6" t="s">
        <v>2583</v>
      </c>
      <c r="B1364" s="5" t="s">
        <v>2584</v>
      </c>
      <c r="C1364" s="3" t="s">
        <v>5</v>
      </c>
    </row>
    <row r="1365" spans="1:3" ht="15.75" thickBot="1">
      <c r="A1365" s="6" t="s">
        <v>2585</v>
      </c>
      <c r="B1365" s="5" t="s">
        <v>2586</v>
      </c>
      <c r="C1365" s="3" t="s">
        <v>5</v>
      </c>
    </row>
    <row r="1366" spans="1:3">
      <c r="A1366" s="1" t="s">
        <v>2587</v>
      </c>
      <c r="B1366" s="2" t="s">
        <v>2588</v>
      </c>
      <c r="C1366" s="3" t="s">
        <v>5</v>
      </c>
    </row>
    <row r="1367" spans="1:3" ht="15.75" thickBot="1">
      <c r="A1367" s="4"/>
      <c r="B1367" s="5" t="s">
        <v>2589</v>
      </c>
      <c r="C1367" s="3" t="s">
        <v>5</v>
      </c>
    </row>
    <row r="1368" spans="1:3" ht="15.75" thickBot="1">
      <c r="A1368" s="6" t="s">
        <v>2590</v>
      </c>
      <c r="B1368" s="5" t="s">
        <v>2591</v>
      </c>
      <c r="C1368" s="3" t="s">
        <v>5</v>
      </c>
    </row>
    <row r="1369" spans="1:3" ht="15.75" thickBot="1">
      <c r="A1369" s="6" t="s">
        <v>2592</v>
      </c>
      <c r="B1369" s="5" t="s">
        <v>2593</v>
      </c>
      <c r="C1369" s="3" t="s">
        <v>5</v>
      </c>
    </row>
    <row r="1370" spans="1:3" ht="15.75" thickBot="1">
      <c r="A1370" s="6" t="s">
        <v>2594</v>
      </c>
      <c r="B1370" s="5" t="s">
        <v>2595</v>
      </c>
      <c r="C1370" s="3" t="s">
        <v>5</v>
      </c>
    </row>
    <row r="1371" spans="1:3" ht="15.75" thickBot="1">
      <c r="A1371" s="6" t="s">
        <v>2596</v>
      </c>
      <c r="B1371" s="5" t="s">
        <v>2597</v>
      </c>
      <c r="C1371" s="3" t="s">
        <v>5</v>
      </c>
    </row>
    <row r="1372" spans="1:3" ht="15.75" thickBot="1">
      <c r="A1372" s="6" t="s">
        <v>2598</v>
      </c>
      <c r="B1372" s="5" t="s">
        <v>2599</v>
      </c>
      <c r="C1372" s="3" t="s">
        <v>5</v>
      </c>
    </row>
    <row r="1373" spans="1:3" ht="15.75" thickBot="1">
      <c r="A1373" s="6" t="s">
        <v>2600</v>
      </c>
      <c r="B1373" s="5" t="s">
        <v>2601</v>
      </c>
      <c r="C1373" s="3" t="s">
        <v>5</v>
      </c>
    </row>
    <row r="1374" spans="1:3" ht="15.75" thickBot="1">
      <c r="A1374" s="6" t="s">
        <v>2602</v>
      </c>
      <c r="B1374" s="5" t="s">
        <v>2603</v>
      </c>
      <c r="C1374" s="3" t="s">
        <v>5</v>
      </c>
    </row>
    <row r="1375" spans="1:3" ht="15.75" thickBot="1">
      <c r="A1375" s="6" t="s">
        <v>2604</v>
      </c>
      <c r="B1375" s="5" t="s">
        <v>2605</v>
      </c>
      <c r="C1375" s="3" t="s">
        <v>5</v>
      </c>
    </row>
    <row r="1376" spans="1:3">
      <c r="A1376" s="1" t="s">
        <v>2606</v>
      </c>
      <c r="B1376" s="2" t="s">
        <v>2607</v>
      </c>
      <c r="C1376" s="3" t="s">
        <v>5</v>
      </c>
    </row>
    <row r="1377" spans="1:3" ht="15.75" thickBot="1">
      <c r="A1377" s="4"/>
      <c r="B1377" s="5" t="s">
        <v>2608</v>
      </c>
      <c r="C1377" s="3" t="s">
        <v>5</v>
      </c>
    </row>
    <row r="1378" spans="1:3" ht="15.75" thickBot="1">
      <c r="A1378" s="6" t="s">
        <v>2609</v>
      </c>
      <c r="B1378" s="5" t="s">
        <v>2610</v>
      </c>
      <c r="C1378" s="3" t="s">
        <v>5</v>
      </c>
    </row>
    <row r="1379" spans="1:3" ht="15.75" thickBot="1">
      <c r="A1379" s="6" t="s">
        <v>2611</v>
      </c>
      <c r="B1379" s="5" t="s">
        <v>2612</v>
      </c>
      <c r="C1379" s="3" t="s">
        <v>5</v>
      </c>
    </row>
    <row r="1380" spans="1:3" ht="15.75" thickBot="1">
      <c r="A1380" s="6" t="s">
        <v>2613</v>
      </c>
      <c r="B1380" s="5" t="s">
        <v>2614</v>
      </c>
      <c r="C1380" s="3" t="s">
        <v>5</v>
      </c>
    </row>
    <row r="1381" spans="1:3" ht="15.75" thickBot="1">
      <c r="A1381" s="6" t="s">
        <v>2615</v>
      </c>
      <c r="B1381" s="5" t="s">
        <v>2616</v>
      </c>
      <c r="C1381" s="3" t="s">
        <v>5</v>
      </c>
    </row>
    <row r="1382" spans="1:3" ht="15.75" thickBot="1">
      <c r="A1382" s="6" t="s">
        <v>2617</v>
      </c>
      <c r="B1382" s="5" t="s">
        <v>2618</v>
      </c>
      <c r="C1382" s="3" t="s">
        <v>5</v>
      </c>
    </row>
    <row r="1383" spans="1:3" ht="15.75" thickBot="1">
      <c r="A1383" s="6" t="s">
        <v>2619</v>
      </c>
      <c r="B1383" s="5" t="s">
        <v>2620</v>
      </c>
      <c r="C1383" s="3" t="s">
        <v>5</v>
      </c>
    </row>
    <row r="1384" spans="1:3" ht="15.75" thickBot="1">
      <c r="A1384" s="6" t="s">
        <v>2621</v>
      </c>
      <c r="B1384" s="5" t="s">
        <v>2622</v>
      </c>
      <c r="C1384" s="3" t="s">
        <v>5</v>
      </c>
    </row>
    <row r="1385" spans="1:3" ht="15.75" thickBot="1">
      <c r="A1385" s="6" t="s">
        <v>2623</v>
      </c>
      <c r="B1385" s="5" t="s">
        <v>2624</v>
      </c>
      <c r="C1385" s="3" t="s">
        <v>5</v>
      </c>
    </row>
    <row r="1386" spans="1:3" ht="15.75" thickBot="1">
      <c r="A1386" s="6" t="s">
        <v>2625</v>
      </c>
      <c r="B1386" s="5" t="s">
        <v>2626</v>
      </c>
      <c r="C1386" s="3" t="s">
        <v>5</v>
      </c>
    </row>
    <row r="1387" spans="1:3" ht="15.75" thickBot="1">
      <c r="A1387" s="6" t="s">
        <v>2627</v>
      </c>
      <c r="B1387" s="5" t="s">
        <v>2628</v>
      </c>
      <c r="C1387" s="3" t="s">
        <v>5</v>
      </c>
    </row>
    <row r="1388" spans="1:3" ht="15.75" thickBot="1">
      <c r="A1388" s="6" t="s">
        <v>2629</v>
      </c>
      <c r="B1388" s="5" t="s">
        <v>2630</v>
      </c>
      <c r="C1388" s="3" t="s">
        <v>5</v>
      </c>
    </row>
    <row r="1389" spans="1:3" ht="15.75" thickBot="1">
      <c r="A1389" s="6" t="s">
        <v>2631</v>
      </c>
      <c r="B1389" s="5" t="s">
        <v>2632</v>
      </c>
      <c r="C1389" s="3" t="s">
        <v>5</v>
      </c>
    </row>
    <row r="1390" spans="1:3" ht="15.75" thickBot="1">
      <c r="A1390" s="6" t="s">
        <v>2633</v>
      </c>
      <c r="B1390" s="5" t="s">
        <v>2634</v>
      </c>
      <c r="C1390" s="3" t="s">
        <v>5</v>
      </c>
    </row>
    <row r="1391" spans="1:3" ht="15.75" thickBot="1">
      <c r="A1391" s="6" t="s">
        <v>2635</v>
      </c>
      <c r="B1391" s="5" t="s">
        <v>2636</v>
      </c>
      <c r="C1391" s="3" t="s">
        <v>5</v>
      </c>
    </row>
    <row r="1392" spans="1:3">
      <c r="A1392" s="1" t="s">
        <v>2637</v>
      </c>
      <c r="B1392" s="2" t="s">
        <v>2638</v>
      </c>
      <c r="C1392" s="3" t="s">
        <v>5</v>
      </c>
    </row>
    <row r="1393" spans="1:3" ht="15.75" thickBot="1">
      <c r="A1393" s="4"/>
      <c r="B1393" s="5" t="s">
        <v>2639</v>
      </c>
      <c r="C1393" s="3" t="s">
        <v>5</v>
      </c>
    </row>
    <row r="1394" spans="1:3">
      <c r="A1394" s="1" t="s">
        <v>2640</v>
      </c>
      <c r="B1394" s="2" t="s">
        <v>2641</v>
      </c>
      <c r="C1394" s="3" t="s">
        <v>5</v>
      </c>
    </row>
    <row r="1395" spans="1:3" ht="26.25" thickBot="1">
      <c r="A1395" s="4"/>
      <c r="B1395" s="5" t="s">
        <v>2642</v>
      </c>
      <c r="C1395" s="3" t="s">
        <v>5</v>
      </c>
    </row>
    <row r="1396" spans="1:3" ht="15.75" thickBot="1">
      <c r="A1396" s="6" t="s">
        <v>2643</v>
      </c>
      <c r="B1396" s="5" t="s">
        <v>2644</v>
      </c>
      <c r="C1396" s="3" t="s">
        <v>5</v>
      </c>
    </row>
    <row r="1397" spans="1:3" ht="15.75" thickBot="1">
      <c r="A1397" s="6" t="s">
        <v>2645</v>
      </c>
      <c r="B1397" s="5" t="s">
        <v>2646</v>
      </c>
      <c r="C1397" s="3" t="s">
        <v>5</v>
      </c>
    </row>
    <row r="1398" spans="1:3" ht="15.75" thickBot="1">
      <c r="A1398" s="6" t="s">
        <v>2647</v>
      </c>
      <c r="B1398" s="5" t="s">
        <v>2648</v>
      </c>
      <c r="C1398" s="3" t="s">
        <v>5</v>
      </c>
    </row>
    <row r="1399" spans="1:3" ht="15.75" thickBot="1">
      <c r="A1399" s="6" t="s">
        <v>2649</v>
      </c>
      <c r="B1399" s="5" t="s">
        <v>2650</v>
      </c>
      <c r="C1399" s="3" t="s">
        <v>5</v>
      </c>
    </row>
    <row r="1400" spans="1:3" ht="15.75" thickBot="1">
      <c r="A1400" s="6" t="s">
        <v>2651</v>
      </c>
      <c r="B1400" s="5" t="s">
        <v>2652</v>
      </c>
      <c r="C1400" s="3" t="s">
        <v>5</v>
      </c>
    </row>
    <row r="1401" spans="1:3" ht="15.75" thickBot="1">
      <c r="A1401" s="6" t="s">
        <v>2653</v>
      </c>
      <c r="B1401" s="5" t="s">
        <v>2654</v>
      </c>
      <c r="C1401" s="3" t="s">
        <v>5</v>
      </c>
    </row>
    <row r="1402" spans="1:3" ht="15.75" thickBot="1">
      <c r="A1402" s="6" t="s">
        <v>2655</v>
      </c>
      <c r="B1402" s="5" t="s">
        <v>2656</v>
      </c>
      <c r="C1402" s="3" t="s">
        <v>5</v>
      </c>
    </row>
    <row r="1403" spans="1:3" ht="15.75" thickBot="1">
      <c r="A1403" s="6" t="s">
        <v>2657</v>
      </c>
      <c r="B1403" s="5" t="s">
        <v>2658</v>
      </c>
      <c r="C1403" s="3" t="s">
        <v>5</v>
      </c>
    </row>
    <row r="1404" spans="1:3" ht="15.75" thickBot="1">
      <c r="A1404" s="6" t="s">
        <v>2659</v>
      </c>
      <c r="B1404" s="5" t="s">
        <v>2660</v>
      </c>
      <c r="C1404" s="3" t="s">
        <v>5</v>
      </c>
    </row>
    <row r="1405" spans="1:3" ht="15.75" thickBot="1">
      <c r="A1405" s="6" t="s">
        <v>2661</v>
      </c>
      <c r="B1405" s="5" t="s">
        <v>2662</v>
      </c>
      <c r="C1405" s="3" t="s">
        <v>5</v>
      </c>
    </row>
    <row r="1406" spans="1:3" ht="15.75" thickBot="1">
      <c r="A1406" s="6" t="s">
        <v>2663</v>
      </c>
      <c r="B1406" s="5" t="s">
        <v>2664</v>
      </c>
      <c r="C1406" s="3" t="s">
        <v>5</v>
      </c>
    </row>
    <row r="1407" spans="1:3" ht="15.75" thickBot="1">
      <c r="A1407" s="6" t="s">
        <v>2665</v>
      </c>
      <c r="B1407" s="5" t="s">
        <v>2666</v>
      </c>
      <c r="C1407" s="3" t="s">
        <v>5</v>
      </c>
    </row>
    <row r="1408" spans="1:3" ht="15.75" thickBot="1">
      <c r="A1408" s="6" t="s">
        <v>2667</v>
      </c>
      <c r="B1408" s="5" t="s">
        <v>2668</v>
      </c>
      <c r="C1408" s="3" t="s">
        <v>5</v>
      </c>
    </row>
    <row r="1409" spans="1:3" ht="15.75" thickBot="1">
      <c r="A1409" s="6" t="s">
        <v>2669</v>
      </c>
      <c r="B1409" s="5" t="s">
        <v>2670</v>
      </c>
      <c r="C1409" s="3" t="s">
        <v>5</v>
      </c>
    </row>
    <row r="1410" spans="1:3" ht="15.75" thickBot="1">
      <c r="A1410" s="6" t="s">
        <v>2671</v>
      </c>
      <c r="B1410" s="5" t="s">
        <v>2672</v>
      </c>
      <c r="C1410" s="3" t="s">
        <v>5</v>
      </c>
    </row>
    <row r="1411" spans="1:3" ht="15.75" thickBot="1">
      <c r="A1411" s="6" t="s">
        <v>2673</v>
      </c>
      <c r="B1411" s="5" t="s">
        <v>2674</v>
      </c>
      <c r="C1411" s="3" t="s">
        <v>5</v>
      </c>
    </row>
    <row r="1412" spans="1:3" ht="15.75" thickBot="1">
      <c r="A1412" s="6" t="s">
        <v>2675</v>
      </c>
      <c r="B1412" s="5" t="s">
        <v>2676</v>
      </c>
      <c r="C1412" s="3" t="s">
        <v>5</v>
      </c>
    </row>
    <row r="1413" spans="1:3" ht="26.25" thickBot="1">
      <c r="A1413" s="6" t="s">
        <v>2677</v>
      </c>
      <c r="B1413" s="5" t="s">
        <v>2678</v>
      </c>
      <c r="C1413" s="3" t="s">
        <v>5</v>
      </c>
    </row>
    <row r="1414" spans="1:3" ht="15.75" thickBot="1">
      <c r="A1414" s="6" t="s">
        <v>2679</v>
      </c>
      <c r="B1414" s="5" t="s">
        <v>2680</v>
      </c>
      <c r="C1414" s="3" t="s">
        <v>5</v>
      </c>
    </row>
    <row r="1415" spans="1:3" ht="15.75" thickBot="1">
      <c r="A1415" s="6" t="s">
        <v>2681</v>
      </c>
      <c r="B1415" s="5" t="s">
        <v>2682</v>
      </c>
      <c r="C1415" s="3" t="s">
        <v>5</v>
      </c>
    </row>
    <row r="1416" spans="1:3" ht="15.75" thickBot="1">
      <c r="A1416" s="6" t="s">
        <v>2681</v>
      </c>
      <c r="B1416" s="5" t="s">
        <v>2682</v>
      </c>
      <c r="C1416" s="3" t="s">
        <v>5</v>
      </c>
    </row>
    <row r="1417" spans="1:3" ht="15.75" thickBot="1">
      <c r="A1417" s="6" t="s">
        <v>2683</v>
      </c>
      <c r="B1417" s="5" t="s">
        <v>2684</v>
      </c>
      <c r="C1417" s="3" t="s">
        <v>5</v>
      </c>
    </row>
    <row r="1418" spans="1:3" ht="15.75" thickBot="1">
      <c r="A1418" s="6" t="s">
        <v>2685</v>
      </c>
      <c r="B1418" s="5" t="s">
        <v>2686</v>
      </c>
      <c r="C1418" s="3" t="s">
        <v>5</v>
      </c>
    </row>
    <row r="1419" spans="1:3" ht="15.75" thickBot="1">
      <c r="A1419" s="6" t="s">
        <v>2687</v>
      </c>
      <c r="B1419" s="5" t="s">
        <v>2688</v>
      </c>
      <c r="C1419" s="3" t="s">
        <v>5</v>
      </c>
    </row>
    <row r="1420" spans="1:3" ht="15.75" thickBot="1">
      <c r="A1420" s="6" t="s">
        <v>2689</v>
      </c>
      <c r="B1420" s="5" t="s">
        <v>2690</v>
      </c>
      <c r="C1420" s="3" t="s">
        <v>5</v>
      </c>
    </row>
    <row r="1421" spans="1:3" ht="15.75" thickBot="1">
      <c r="A1421" s="6" t="s">
        <v>2691</v>
      </c>
      <c r="B1421" s="5" t="s">
        <v>2692</v>
      </c>
      <c r="C1421" s="3" t="s">
        <v>5</v>
      </c>
    </row>
    <row r="1422" spans="1:3" ht="15.75" thickBot="1">
      <c r="A1422" s="6" t="s">
        <v>2693</v>
      </c>
      <c r="B1422" s="5" t="s">
        <v>2694</v>
      </c>
      <c r="C1422" s="3" t="s">
        <v>5</v>
      </c>
    </row>
    <row r="1423" spans="1:3" ht="15.75" thickBot="1">
      <c r="A1423" s="6" t="s">
        <v>2695</v>
      </c>
      <c r="B1423" s="5" t="s">
        <v>2696</v>
      </c>
      <c r="C1423" s="3" t="s">
        <v>5</v>
      </c>
    </row>
    <row r="1424" spans="1:3" ht="15.75" thickBot="1">
      <c r="A1424" s="6" t="s">
        <v>2697</v>
      </c>
      <c r="B1424" s="5" t="s">
        <v>2698</v>
      </c>
      <c r="C1424" s="3" t="s">
        <v>5</v>
      </c>
    </row>
    <row r="1425" spans="1:3" ht="15.75" thickBot="1">
      <c r="A1425" s="6" t="s">
        <v>2699</v>
      </c>
      <c r="B1425" s="5" t="s">
        <v>2700</v>
      </c>
      <c r="C1425" s="3" t="s">
        <v>5</v>
      </c>
    </row>
    <row r="1426" spans="1:3" ht="15.75" thickBot="1">
      <c r="A1426" s="6" t="s">
        <v>2701</v>
      </c>
      <c r="B1426" s="5" t="s">
        <v>2702</v>
      </c>
      <c r="C1426" s="3" t="s">
        <v>5</v>
      </c>
    </row>
    <row r="1427" spans="1:3" ht="15.75" thickBot="1">
      <c r="A1427" s="6" t="s">
        <v>2703</v>
      </c>
      <c r="B1427" s="5" t="s">
        <v>2704</v>
      </c>
      <c r="C1427" s="3" t="s">
        <v>5</v>
      </c>
    </row>
    <row r="1428" spans="1:3" ht="15.75" thickBot="1">
      <c r="A1428" s="6" t="s">
        <v>2705</v>
      </c>
      <c r="B1428" s="5" t="s">
        <v>2706</v>
      </c>
      <c r="C1428" s="3" t="s">
        <v>5</v>
      </c>
    </row>
    <row r="1429" spans="1:3" ht="15.75" thickBot="1">
      <c r="A1429" s="6" t="s">
        <v>2707</v>
      </c>
      <c r="B1429" s="5" t="s">
        <v>2708</v>
      </c>
      <c r="C1429" s="3" t="s">
        <v>5</v>
      </c>
    </row>
    <row r="1430" spans="1:3" ht="15.75" thickBot="1">
      <c r="A1430" s="6" t="s">
        <v>2709</v>
      </c>
      <c r="B1430" s="5" t="s">
        <v>2710</v>
      </c>
      <c r="C1430" s="3" t="s">
        <v>5</v>
      </c>
    </row>
    <row r="1431" spans="1:3" ht="15.75" thickBot="1">
      <c r="A1431" s="6" t="s">
        <v>2711</v>
      </c>
      <c r="B1431" s="5" t="s">
        <v>2712</v>
      </c>
      <c r="C1431" s="3" t="s">
        <v>5</v>
      </c>
    </row>
    <row r="1432" spans="1:3" ht="15.75" thickBot="1">
      <c r="A1432" s="6" t="s">
        <v>2713</v>
      </c>
      <c r="B1432" s="5" t="s">
        <v>2714</v>
      </c>
      <c r="C1432" s="3" t="s">
        <v>5</v>
      </c>
    </row>
    <row r="1433" spans="1:3" ht="15.75" thickBot="1">
      <c r="A1433" s="6" t="s">
        <v>2715</v>
      </c>
      <c r="B1433" s="5" t="s">
        <v>2716</v>
      </c>
      <c r="C1433" s="3" t="s">
        <v>5</v>
      </c>
    </row>
    <row r="1434" spans="1:3" ht="15.75" thickBot="1">
      <c r="A1434" s="6" t="s">
        <v>2717</v>
      </c>
      <c r="B1434" s="5" t="s">
        <v>2718</v>
      </c>
      <c r="C1434" s="3" t="s">
        <v>5</v>
      </c>
    </row>
    <row r="1435" spans="1:3" ht="15.75" thickBot="1">
      <c r="A1435" s="6" t="s">
        <v>2719</v>
      </c>
      <c r="B1435" s="5" t="s">
        <v>2720</v>
      </c>
      <c r="C1435" s="3" t="s">
        <v>5</v>
      </c>
    </row>
    <row r="1436" spans="1:3" ht="15.75" thickBot="1">
      <c r="A1436" s="6" t="s">
        <v>2721</v>
      </c>
      <c r="B1436" s="5" t="s">
        <v>2722</v>
      </c>
      <c r="C1436" s="3" t="s">
        <v>5</v>
      </c>
    </row>
    <row r="1437" spans="1:3" ht="15.75" thickBot="1">
      <c r="A1437" s="6" t="s">
        <v>2723</v>
      </c>
      <c r="B1437" s="5" t="s">
        <v>2724</v>
      </c>
      <c r="C1437" s="3" t="s">
        <v>5</v>
      </c>
    </row>
    <row r="1438" spans="1:3" ht="15.75" thickBot="1">
      <c r="A1438" s="6" t="s">
        <v>2725</v>
      </c>
      <c r="B1438" s="5" t="s">
        <v>2726</v>
      </c>
      <c r="C1438" s="3" t="s">
        <v>5</v>
      </c>
    </row>
    <row r="1439" spans="1:3" ht="15.75" thickBot="1">
      <c r="A1439" s="6" t="s">
        <v>2727</v>
      </c>
      <c r="B1439" s="5" t="s">
        <v>2728</v>
      </c>
      <c r="C1439" s="3" t="s">
        <v>5</v>
      </c>
    </row>
    <row r="1440" spans="1:3" ht="15.75" thickBot="1">
      <c r="A1440" s="6" t="s">
        <v>2727</v>
      </c>
      <c r="B1440" s="5" t="s">
        <v>2729</v>
      </c>
      <c r="C1440" s="3" t="s">
        <v>5</v>
      </c>
    </row>
    <row r="1441" spans="1:3" ht="15.75" thickBot="1">
      <c r="A1441" s="6" t="s">
        <v>2730</v>
      </c>
      <c r="B1441" s="5" t="s">
        <v>2731</v>
      </c>
      <c r="C1441" s="3" t="s">
        <v>5</v>
      </c>
    </row>
    <row r="1442" spans="1:3" ht="15.75" thickBot="1">
      <c r="A1442" s="6" t="s">
        <v>2732</v>
      </c>
      <c r="B1442" s="5" t="s">
        <v>2733</v>
      </c>
      <c r="C1442" s="3" t="s">
        <v>5</v>
      </c>
    </row>
    <row r="1443" spans="1:3" ht="15.75" thickBot="1">
      <c r="A1443" s="6" t="s">
        <v>2734</v>
      </c>
      <c r="B1443" s="5" t="s">
        <v>2735</v>
      </c>
      <c r="C1443" s="3" t="s">
        <v>5</v>
      </c>
    </row>
    <row r="1444" spans="1:3" ht="15.75" thickBot="1">
      <c r="A1444" s="6" t="s">
        <v>2736</v>
      </c>
      <c r="B1444" s="5" t="s">
        <v>2737</v>
      </c>
      <c r="C1444" s="3" t="s">
        <v>5</v>
      </c>
    </row>
    <row r="1445" spans="1:3" ht="15.75" thickBot="1">
      <c r="A1445" s="6" t="s">
        <v>2738</v>
      </c>
      <c r="B1445" s="5" t="s">
        <v>2739</v>
      </c>
      <c r="C1445" s="3" t="s">
        <v>5</v>
      </c>
    </row>
    <row r="1446" spans="1:3" ht="15.75" thickBot="1">
      <c r="A1446" s="6" t="s">
        <v>2740</v>
      </c>
      <c r="B1446" s="5" t="s">
        <v>2741</v>
      </c>
      <c r="C1446" s="3" t="s">
        <v>5</v>
      </c>
    </row>
    <row r="1447" spans="1:3" ht="15.75" thickBot="1">
      <c r="A1447" s="6" t="s">
        <v>2742</v>
      </c>
      <c r="B1447" s="5" t="s">
        <v>2743</v>
      </c>
      <c r="C1447" s="3" t="s">
        <v>5</v>
      </c>
    </row>
    <row r="1448" spans="1:3" ht="15.75" thickBot="1">
      <c r="A1448" s="6" t="s">
        <v>2742</v>
      </c>
      <c r="B1448" s="5" t="s">
        <v>2743</v>
      </c>
      <c r="C1448" s="3" t="s">
        <v>5</v>
      </c>
    </row>
    <row r="1449" spans="1:3" ht="15.75" thickBot="1">
      <c r="A1449" s="6" t="s">
        <v>2744</v>
      </c>
      <c r="B1449" s="5" t="s">
        <v>2745</v>
      </c>
      <c r="C1449" s="3" t="s">
        <v>5</v>
      </c>
    </row>
    <row r="1450" spans="1:3" ht="15.75" thickBot="1">
      <c r="A1450" s="6" t="s">
        <v>2746</v>
      </c>
      <c r="B1450" s="5" t="s">
        <v>2747</v>
      </c>
      <c r="C1450" s="3" t="s">
        <v>5</v>
      </c>
    </row>
    <row r="1451" spans="1:3" ht="15.75" thickBot="1">
      <c r="A1451" s="6" t="s">
        <v>2748</v>
      </c>
      <c r="B1451" s="5" t="s">
        <v>2749</v>
      </c>
      <c r="C1451" s="3" t="s">
        <v>5</v>
      </c>
    </row>
    <row r="1452" spans="1:3" ht="15.75" thickBot="1">
      <c r="A1452" s="6" t="s">
        <v>2750</v>
      </c>
      <c r="B1452" s="5" t="s">
        <v>2751</v>
      </c>
      <c r="C1452" s="3" t="s">
        <v>5</v>
      </c>
    </row>
    <row r="1453" spans="1:3" ht="15.75" thickBot="1">
      <c r="A1453" s="6" t="s">
        <v>2752</v>
      </c>
      <c r="B1453" s="5" t="s">
        <v>2753</v>
      </c>
      <c r="C1453" s="3" t="s">
        <v>5</v>
      </c>
    </row>
    <row r="1454" spans="1:3" ht="15.75" thickBot="1">
      <c r="A1454" s="6" t="s">
        <v>2754</v>
      </c>
      <c r="B1454" s="5" t="s">
        <v>2755</v>
      </c>
      <c r="C1454" s="3" t="s">
        <v>5</v>
      </c>
    </row>
    <row r="1455" spans="1:3" ht="15.75" thickBot="1">
      <c r="A1455" s="6" t="s">
        <v>2756</v>
      </c>
      <c r="B1455" s="5" t="s">
        <v>2757</v>
      </c>
      <c r="C1455" s="3" t="s">
        <v>5</v>
      </c>
    </row>
    <row r="1456" spans="1:3" ht="15.75" thickBot="1">
      <c r="A1456" s="6" t="s">
        <v>2758</v>
      </c>
      <c r="B1456" s="5" t="s">
        <v>2759</v>
      </c>
      <c r="C1456" s="3" t="s">
        <v>5</v>
      </c>
    </row>
    <row r="1457" spans="1:3" ht="15.75" thickBot="1">
      <c r="A1457" s="6" t="s">
        <v>2760</v>
      </c>
      <c r="B1457" s="5" t="s">
        <v>2761</v>
      </c>
      <c r="C1457" s="3" t="s">
        <v>5</v>
      </c>
    </row>
    <row r="1458" spans="1:3" ht="15.75" thickBot="1">
      <c r="A1458" s="6" t="s">
        <v>2762</v>
      </c>
      <c r="B1458" s="5" t="s">
        <v>2763</v>
      </c>
      <c r="C1458" s="3" t="s">
        <v>5</v>
      </c>
    </row>
    <row r="1459" spans="1:3" ht="15.75" thickBot="1">
      <c r="A1459" s="6" t="s">
        <v>2764</v>
      </c>
      <c r="B1459" s="5" t="s">
        <v>2765</v>
      </c>
      <c r="C1459" s="3" t="s">
        <v>5</v>
      </c>
    </row>
    <row r="1460" spans="1:3" ht="15.75" thickBot="1">
      <c r="A1460" s="6" t="s">
        <v>2766</v>
      </c>
      <c r="B1460" s="5" t="s">
        <v>2767</v>
      </c>
      <c r="C1460" s="3" t="s">
        <v>5</v>
      </c>
    </row>
    <row r="1461" spans="1:3" ht="15.75" thickBot="1">
      <c r="A1461" s="6" t="s">
        <v>2768</v>
      </c>
      <c r="B1461" s="5" t="s">
        <v>2769</v>
      </c>
      <c r="C1461" s="3" t="s">
        <v>5</v>
      </c>
    </row>
    <row r="1462" spans="1:3" ht="15.75" thickBot="1">
      <c r="A1462" s="6" t="s">
        <v>2770</v>
      </c>
      <c r="B1462" s="5" t="s">
        <v>2771</v>
      </c>
      <c r="C1462" s="3" t="s">
        <v>5</v>
      </c>
    </row>
    <row r="1463" spans="1:3" ht="15.75" thickBot="1">
      <c r="A1463" s="6" t="s">
        <v>2772</v>
      </c>
      <c r="B1463" s="5" t="s">
        <v>2773</v>
      </c>
      <c r="C1463" s="3" t="s">
        <v>5</v>
      </c>
    </row>
    <row r="1464" spans="1:3" ht="15.75" thickBot="1">
      <c r="A1464" s="6" t="s">
        <v>2774</v>
      </c>
      <c r="B1464" s="5" t="s">
        <v>2775</v>
      </c>
      <c r="C1464" s="3" t="s">
        <v>5</v>
      </c>
    </row>
    <row r="1465" spans="1:3" ht="15.75" thickBot="1">
      <c r="A1465" s="6" t="s">
        <v>2776</v>
      </c>
      <c r="B1465" s="5" t="s">
        <v>2777</v>
      </c>
      <c r="C1465" s="3" t="s">
        <v>5</v>
      </c>
    </row>
    <row r="1466" spans="1:3" ht="15.75" thickBot="1">
      <c r="A1466" s="6" t="s">
        <v>2778</v>
      </c>
      <c r="B1466" s="5" t="s">
        <v>2779</v>
      </c>
      <c r="C1466" s="3" t="s">
        <v>5</v>
      </c>
    </row>
    <row r="1467" spans="1:3" ht="15.75" thickBot="1">
      <c r="A1467" s="6" t="s">
        <v>2780</v>
      </c>
      <c r="B1467" s="5" t="s">
        <v>2781</v>
      </c>
      <c r="C1467" s="3" t="s">
        <v>5</v>
      </c>
    </row>
    <row r="1468" spans="1:3" ht="15.75" thickBot="1">
      <c r="A1468" s="6" t="s">
        <v>2782</v>
      </c>
      <c r="B1468" s="5" t="s">
        <v>2783</v>
      </c>
      <c r="C1468" s="3" t="s">
        <v>5</v>
      </c>
    </row>
    <row r="1469" spans="1:3" ht="15.75" thickBot="1">
      <c r="A1469" s="6" t="s">
        <v>2784</v>
      </c>
      <c r="B1469" s="5" t="s">
        <v>2785</v>
      </c>
      <c r="C1469" s="3" t="s">
        <v>5</v>
      </c>
    </row>
    <row r="1470" spans="1:3" ht="15.75" thickBot="1">
      <c r="A1470" s="6" t="s">
        <v>2786</v>
      </c>
      <c r="B1470" s="5" t="s">
        <v>2787</v>
      </c>
      <c r="C1470" s="3" t="s">
        <v>5</v>
      </c>
    </row>
    <row r="1471" spans="1:3" ht="15.75" thickBot="1">
      <c r="A1471" s="6" t="s">
        <v>2788</v>
      </c>
      <c r="B1471" s="5" t="s">
        <v>2789</v>
      </c>
      <c r="C1471" s="3" t="s">
        <v>5</v>
      </c>
    </row>
    <row r="1472" spans="1:3" ht="15.75" thickBot="1">
      <c r="A1472" s="6" t="s">
        <v>2788</v>
      </c>
      <c r="B1472" s="5" t="s">
        <v>2789</v>
      </c>
      <c r="C1472" s="3" t="s">
        <v>5</v>
      </c>
    </row>
    <row r="1473" spans="1:3" ht="15.75" thickBot="1">
      <c r="A1473" s="6" t="s">
        <v>2790</v>
      </c>
      <c r="B1473" s="5" t="s">
        <v>2791</v>
      </c>
      <c r="C1473" s="3" t="s">
        <v>5</v>
      </c>
    </row>
    <row r="1474" spans="1:3" ht="15.75" thickBot="1">
      <c r="A1474" s="6" t="s">
        <v>2792</v>
      </c>
      <c r="B1474" s="5" t="s">
        <v>2793</v>
      </c>
      <c r="C1474" s="3" t="s">
        <v>5</v>
      </c>
    </row>
    <row r="1475" spans="1:3" ht="15.75" thickBot="1">
      <c r="A1475" s="6" t="s">
        <v>2794</v>
      </c>
      <c r="B1475" s="5" t="s">
        <v>2795</v>
      </c>
      <c r="C1475" s="3" t="s">
        <v>5</v>
      </c>
    </row>
    <row r="1476" spans="1:3" ht="15.75" thickBot="1">
      <c r="A1476" s="6" t="s">
        <v>2796</v>
      </c>
      <c r="B1476" s="5" t="s">
        <v>2797</v>
      </c>
      <c r="C1476" s="3" t="s">
        <v>5</v>
      </c>
    </row>
    <row r="1477" spans="1:3" ht="15.75" thickBot="1">
      <c r="A1477" s="6" t="s">
        <v>2798</v>
      </c>
      <c r="B1477" s="5" t="s">
        <v>2799</v>
      </c>
      <c r="C1477" s="3" t="s">
        <v>5</v>
      </c>
    </row>
    <row r="1478" spans="1:3" ht="15.75" thickBot="1">
      <c r="A1478" s="6" t="s">
        <v>2800</v>
      </c>
      <c r="B1478" s="5" t="s">
        <v>2801</v>
      </c>
      <c r="C1478" s="3" t="s">
        <v>5</v>
      </c>
    </row>
    <row r="1479" spans="1:3" ht="15.75" thickBot="1">
      <c r="A1479" s="6" t="s">
        <v>2802</v>
      </c>
      <c r="B1479" s="5" t="s">
        <v>2803</v>
      </c>
      <c r="C1479" s="3" t="s">
        <v>5</v>
      </c>
    </row>
    <row r="1480" spans="1:3" ht="15.75" thickBot="1">
      <c r="A1480" s="6" t="s">
        <v>2804</v>
      </c>
      <c r="B1480" s="5" t="s">
        <v>2805</v>
      </c>
      <c r="C1480" s="3" t="s">
        <v>5</v>
      </c>
    </row>
    <row r="1481" spans="1:3" ht="15.75" thickBot="1">
      <c r="A1481" s="6" t="s">
        <v>2806</v>
      </c>
      <c r="B1481" s="5" t="s">
        <v>2807</v>
      </c>
      <c r="C1481" s="3" t="s">
        <v>5</v>
      </c>
    </row>
    <row r="1482" spans="1:3" ht="15.75" thickBot="1">
      <c r="A1482" s="6" t="s">
        <v>2808</v>
      </c>
      <c r="B1482" s="5" t="s">
        <v>2809</v>
      </c>
      <c r="C1482" s="3" t="s">
        <v>5</v>
      </c>
    </row>
    <row r="1483" spans="1:3" ht="15.75" thickBot="1">
      <c r="A1483" s="6" t="s">
        <v>2810</v>
      </c>
      <c r="B1483" s="5" t="s">
        <v>2811</v>
      </c>
      <c r="C1483" s="3" t="s">
        <v>5</v>
      </c>
    </row>
    <row r="1484" spans="1:3" ht="15.75" thickBot="1">
      <c r="A1484" s="6" t="s">
        <v>2812</v>
      </c>
      <c r="B1484" s="5" t="s">
        <v>2813</v>
      </c>
      <c r="C1484" s="3" t="s">
        <v>5</v>
      </c>
    </row>
    <row r="1485" spans="1:3" ht="15.75" thickBot="1">
      <c r="A1485" s="6" t="s">
        <v>2814</v>
      </c>
      <c r="B1485" s="5" t="s">
        <v>2815</v>
      </c>
      <c r="C1485" s="3" t="s">
        <v>5</v>
      </c>
    </row>
    <row r="1486" spans="1:3" ht="15.75" thickBot="1">
      <c r="A1486" s="6" t="s">
        <v>2816</v>
      </c>
      <c r="B1486" s="5" t="s">
        <v>2817</v>
      </c>
      <c r="C1486" s="3" t="s">
        <v>5</v>
      </c>
    </row>
    <row r="1487" spans="1:3" ht="15.75" thickBot="1">
      <c r="A1487" s="6" t="s">
        <v>2818</v>
      </c>
      <c r="B1487" s="5" t="s">
        <v>2819</v>
      </c>
      <c r="C1487" s="3" t="s">
        <v>5</v>
      </c>
    </row>
    <row r="1488" spans="1:3" ht="15.75" thickBot="1">
      <c r="A1488" s="6" t="s">
        <v>2820</v>
      </c>
      <c r="B1488" s="5" t="s">
        <v>2821</v>
      </c>
      <c r="C1488" s="3" t="s">
        <v>5</v>
      </c>
    </row>
    <row r="1489" spans="1:3" ht="15.75" thickBot="1">
      <c r="A1489" s="6" t="s">
        <v>2822</v>
      </c>
      <c r="B1489" s="5" t="s">
        <v>2823</v>
      </c>
      <c r="C1489" s="3" t="s">
        <v>5</v>
      </c>
    </row>
    <row r="1490" spans="1:3" ht="15.75" thickBot="1">
      <c r="A1490" s="6" t="s">
        <v>2824</v>
      </c>
      <c r="B1490" s="5" t="s">
        <v>2825</v>
      </c>
      <c r="C1490" s="3" t="s">
        <v>5</v>
      </c>
    </row>
    <row r="1491" spans="1:3" ht="15.75" thickBot="1">
      <c r="A1491" s="6" t="s">
        <v>2826</v>
      </c>
      <c r="B1491" s="5" t="s">
        <v>2827</v>
      </c>
      <c r="C1491" s="3" t="s">
        <v>5</v>
      </c>
    </row>
    <row r="1492" spans="1:3" ht="15.75" thickBot="1">
      <c r="A1492" s="6" t="s">
        <v>2828</v>
      </c>
      <c r="B1492" s="5" t="s">
        <v>2829</v>
      </c>
      <c r="C1492" s="3" t="s">
        <v>5</v>
      </c>
    </row>
    <row r="1493" spans="1:3" ht="15.75" thickBot="1">
      <c r="A1493" s="6" t="s">
        <v>2830</v>
      </c>
      <c r="B1493" s="5" t="s">
        <v>2831</v>
      </c>
      <c r="C1493" s="3" t="s">
        <v>5</v>
      </c>
    </row>
    <row r="1494" spans="1:3" ht="15.75" thickBot="1">
      <c r="A1494" s="6" t="s">
        <v>2832</v>
      </c>
      <c r="B1494" s="5" t="s">
        <v>2833</v>
      </c>
      <c r="C1494" s="3" t="s">
        <v>5</v>
      </c>
    </row>
    <row r="1495" spans="1:3" ht="15.75" thickBot="1">
      <c r="A1495" s="6" t="s">
        <v>2834</v>
      </c>
      <c r="B1495" s="5" t="s">
        <v>2835</v>
      </c>
      <c r="C1495" s="3" t="s">
        <v>5</v>
      </c>
    </row>
    <row r="1496" spans="1:3" ht="15.75" thickBot="1">
      <c r="A1496" s="6" t="s">
        <v>2836</v>
      </c>
      <c r="B1496" s="5" t="s">
        <v>2837</v>
      </c>
      <c r="C1496" s="3" t="s">
        <v>5</v>
      </c>
    </row>
    <row r="1497" spans="1:3" ht="15.75" thickBot="1">
      <c r="A1497" s="6" t="s">
        <v>2838</v>
      </c>
      <c r="B1497" s="5" t="e">
        <f xml:space="preserve"> catching diode</f>
        <v>#NAME?</v>
      </c>
      <c r="C1497" s="3" t="s">
        <v>5</v>
      </c>
    </row>
    <row r="1498" spans="1:3" ht="15.75" thickBot="1">
      <c r="A1498" s="6" t="s">
        <v>2839</v>
      </c>
      <c r="B1498" s="5" t="s">
        <v>2840</v>
      </c>
      <c r="C1498" s="3" t="s">
        <v>5</v>
      </c>
    </row>
    <row r="1499" spans="1:3" ht="15.75" thickBot="1">
      <c r="A1499" s="6" t="s">
        <v>2841</v>
      </c>
      <c r="B1499" s="5" t="s">
        <v>2842</v>
      </c>
      <c r="C1499" s="3" t="s">
        <v>5</v>
      </c>
    </row>
    <row r="1500" spans="1:3" ht="15.75" thickBot="1">
      <c r="A1500" s="6" t="s">
        <v>2843</v>
      </c>
      <c r="B1500" s="5" t="s">
        <v>2844</v>
      </c>
      <c r="C1500" s="3" t="s">
        <v>5</v>
      </c>
    </row>
    <row r="1501" spans="1:3" ht="15.75" thickBot="1">
      <c r="A1501" s="6" t="s">
        <v>2845</v>
      </c>
      <c r="B1501" s="5" t="s">
        <v>2846</v>
      </c>
      <c r="C1501" s="3" t="s">
        <v>5</v>
      </c>
    </row>
    <row r="1502" spans="1:3" ht="15.75" thickBot="1">
      <c r="A1502" s="6" t="s">
        <v>2847</v>
      </c>
      <c r="B1502" s="5" t="s">
        <v>2848</v>
      </c>
      <c r="C1502" s="3" t="s">
        <v>5</v>
      </c>
    </row>
    <row r="1503" spans="1:3" ht="15.75" thickBot="1">
      <c r="A1503" s="6" t="s">
        <v>2849</v>
      </c>
      <c r="B1503" s="5" t="s">
        <v>2850</v>
      </c>
      <c r="C1503" s="3" t="s">
        <v>5</v>
      </c>
    </row>
    <row r="1504" spans="1:3" ht="15.75" thickBot="1">
      <c r="A1504" s="6" t="s">
        <v>2851</v>
      </c>
      <c r="B1504" s="5" t="s">
        <v>2852</v>
      </c>
      <c r="C1504" s="3" t="s">
        <v>5</v>
      </c>
    </row>
    <row r="1505" spans="1:3" ht="15.75" thickBot="1">
      <c r="A1505" s="6" t="s">
        <v>2853</v>
      </c>
      <c r="B1505" s="5" t="s">
        <v>2854</v>
      </c>
      <c r="C1505" s="3" t="s">
        <v>5</v>
      </c>
    </row>
    <row r="1506" spans="1:3" ht="15.75" thickBot="1">
      <c r="A1506" s="6" t="s">
        <v>2855</v>
      </c>
      <c r="B1506" s="5" t="s">
        <v>2856</v>
      </c>
      <c r="C1506" s="3" t="s">
        <v>5</v>
      </c>
    </row>
    <row r="1507" spans="1:3" ht="15.75" thickBot="1">
      <c r="A1507" s="6" t="s">
        <v>2857</v>
      </c>
      <c r="B1507" s="5" t="s">
        <v>2858</v>
      </c>
      <c r="C1507" s="3" t="s">
        <v>5</v>
      </c>
    </row>
    <row r="1508" spans="1:3" ht="15.75" thickBot="1">
      <c r="A1508" s="6" t="s">
        <v>2859</v>
      </c>
      <c r="B1508" s="5" t="s">
        <v>2860</v>
      </c>
      <c r="C1508" s="3" t="s">
        <v>5</v>
      </c>
    </row>
    <row r="1509" spans="1:3" ht="15.75" thickBot="1">
      <c r="A1509" s="6" t="s">
        <v>2861</v>
      </c>
      <c r="B1509" s="5" t="s">
        <v>2862</v>
      </c>
      <c r="C1509" s="3" t="s">
        <v>5</v>
      </c>
    </row>
    <row r="1510" spans="1:3" ht="15.75" thickBot="1">
      <c r="A1510" s="6" t="s">
        <v>2863</v>
      </c>
      <c r="B1510" s="5" t="s">
        <v>2864</v>
      </c>
      <c r="C1510" s="3" t="s">
        <v>5</v>
      </c>
    </row>
    <row r="1511" spans="1:3">
      <c r="A1511" s="1" t="s">
        <v>422</v>
      </c>
      <c r="B1511" s="2" t="s">
        <v>2865</v>
      </c>
      <c r="C1511" s="3" t="s">
        <v>5</v>
      </c>
    </row>
    <row r="1512" spans="1:3" ht="39" thickBot="1">
      <c r="A1512" s="4"/>
      <c r="B1512" s="5" t="s">
        <v>2866</v>
      </c>
      <c r="C1512" s="3" t="s">
        <v>5</v>
      </c>
    </row>
    <row r="1513" spans="1:3" ht="15.75" thickBot="1">
      <c r="A1513" s="6" t="s">
        <v>2867</v>
      </c>
      <c r="B1513" s="5" t="s">
        <v>2868</v>
      </c>
      <c r="C1513" s="3" t="s">
        <v>5</v>
      </c>
    </row>
    <row r="1514" spans="1:3" ht="15.75" thickBot="1">
      <c r="A1514" s="6" t="s">
        <v>2869</v>
      </c>
      <c r="B1514" s="5" t="s">
        <v>2870</v>
      </c>
      <c r="C1514" s="3" t="s">
        <v>5</v>
      </c>
    </row>
    <row r="1515" spans="1:3">
      <c r="A1515" s="1" t="s">
        <v>2871</v>
      </c>
      <c r="B1515" s="2" t="s">
        <v>2872</v>
      </c>
      <c r="C1515" s="3" t="s">
        <v>5</v>
      </c>
    </row>
    <row r="1516" spans="1:3" ht="15.75" thickBot="1">
      <c r="A1516" s="4"/>
      <c r="B1516" s="5" t="s">
        <v>989</v>
      </c>
      <c r="C1516" s="3" t="s">
        <v>5</v>
      </c>
    </row>
    <row r="1517" spans="1:3" ht="15.75" thickBot="1">
      <c r="A1517" s="6" t="s">
        <v>2873</v>
      </c>
      <c r="B1517" s="5" t="s">
        <v>2874</v>
      </c>
      <c r="C1517" s="3" t="s">
        <v>5</v>
      </c>
    </row>
    <row r="1518" spans="1:3" ht="15.75" thickBot="1">
      <c r="A1518" s="6" t="s">
        <v>2875</v>
      </c>
      <c r="B1518" s="5" t="s">
        <v>2876</v>
      </c>
      <c r="C1518" s="3" t="s">
        <v>5</v>
      </c>
    </row>
    <row r="1519" spans="1:3" ht="15.75" thickBot="1">
      <c r="A1519" s="6" t="s">
        <v>2877</v>
      </c>
      <c r="B1519" s="5" t="s">
        <v>2878</v>
      </c>
      <c r="C1519" s="3" t="s">
        <v>5</v>
      </c>
    </row>
    <row r="1520" spans="1:3" ht="15.75" thickBot="1">
      <c r="A1520" s="6" t="s">
        <v>2877</v>
      </c>
      <c r="B1520" s="5" t="s">
        <v>2879</v>
      </c>
      <c r="C1520" s="3" t="s">
        <v>5</v>
      </c>
    </row>
    <row r="1521" spans="1:3" ht="15.75" thickBot="1">
      <c r="A1521" s="6" t="s">
        <v>2880</v>
      </c>
      <c r="B1521" s="5" t="s">
        <v>2881</v>
      </c>
      <c r="C1521" s="3" t="s">
        <v>5</v>
      </c>
    </row>
    <row r="1522" spans="1:3" ht="15.75" thickBot="1">
      <c r="A1522" s="6" t="s">
        <v>2882</v>
      </c>
      <c r="B1522" s="5" t="s">
        <v>2883</v>
      </c>
      <c r="C1522" s="3" t="s">
        <v>5</v>
      </c>
    </row>
    <row r="1523" spans="1:3" ht="15.75" thickBot="1">
      <c r="A1523" s="6" t="s">
        <v>2884</v>
      </c>
      <c r="B1523" s="5" t="s">
        <v>2885</v>
      </c>
      <c r="C1523" s="3" t="s">
        <v>5</v>
      </c>
    </row>
    <row r="1524" spans="1:3" ht="15.75" thickBot="1">
      <c r="A1524" s="6" t="s">
        <v>2886</v>
      </c>
      <c r="B1524" s="5" t="s">
        <v>2887</v>
      </c>
      <c r="C1524" s="3" t="s">
        <v>5</v>
      </c>
    </row>
    <row r="1525" spans="1:3" ht="15.75" thickBot="1">
      <c r="A1525" s="6" t="s">
        <v>2888</v>
      </c>
      <c r="B1525" s="5" t="s">
        <v>2889</v>
      </c>
      <c r="C1525" s="3" t="s">
        <v>5</v>
      </c>
    </row>
    <row r="1526" spans="1:3" ht="15.75" thickBot="1">
      <c r="A1526" s="6" t="s">
        <v>2890</v>
      </c>
      <c r="B1526" s="5" t="s">
        <v>2891</v>
      </c>
      <c r="C1526" s="3" t="s">
        <v>5</v>
      </c>
    </row>
    <row r="1527" spans="1:3" ht="15.75" thickBot="1">
      <c r="A1527" s="6" t="s">
        <v>2892</v>
      </c>
      <c r="B1527" s="5" t="s">
        <v>2893</v>
      </c>
      <c r="C1527" s="3" t="s">
        <v>5</v>
      </c>
    </row>
    <row r="1528" spans="1:3" ht="15.75" thickBot="1">
      <c r="A1528" s="6" t="s">
        <v>2894</v>
      </c>
      <c r="B1528" s="5" t="s">
        <v>2895</v>
      </c>
      <c r="C1528" s="3" t="s">
        <v>5</v>
      </c>
    </row>
    <row r="1529" spans="1:3" ht="15.75" thickBot="1">
      <c r="A1529" s="6" t="s">
        <v>2896</v>
      </c>
      <c r="B1529" s="5" t="s">
        <v>2897</v>
      </c>
      <c r="C1529" s="3" t="s">
        <v>5</v>
      </c>
    </row>
    <row r="1530" spans="1:3" ht="15.75" thickBot="1">
      <c r="A1530" s="6" t="s">
        <v>2898</v>
      </c>
      <c r="B1530" s="5" t="s">
        <v>2899</v>
      </c>
      <c r="C1530" s="3" t="s">
        <v>5</v>
      </c>
    </row>
    <row r="1531" spans="1:3" ht="15.75" thickBot="1">
      <c r="A1531" s="6" t="s">
        <v>2900</v>
      </c>
      <c r="B1531" s="5" t="s">
        <v>2901</v>
      </c>
      <c r="C1531" s="3" t="s">
        <v>5</v>
      </c>
    </row>
    <row r="1532" spans="1:3" ht="15.75" thickBot="1">
      <c r="A1532" s="6" t="s">
        <v>2902</v>
      </c>
      <c r="B1532" s="5" t="s">
        <v>2903</v>
      </c>
      <c r="C1532" s="3" t="s">
        <v>5</v>
      </c>
    </row>
    <row r="1533" spans="1:3" ht="15.75" thickBot="1">
      <c r="A1533" s="6" t="s">
        <v>2904</v>
      </c>
      <c r="B1533" s="5" t="s">
        <v>2905</v>
      </c>
      <c r="C1533" s="3" t="s">
        <v>5</v>
      </c>
    </row>
    <row r="1534" spans="1:3" ht="15.75" thickBot="1">
      <c r="A1534" s="6" t="s">
        <v>2906</v>
      </c>
      <c r="B1534" s="5" t="s">
        <v>2907</v>
      </c>
      <c r="C1534" s="3" t="s">
        <v>5</v>
      </c>
    </row>
    <row r="1535" spans="1:3" ht="15.75" thickBot="1">
      <c r="A1535" s="6" t="s">
        <v>2908</v>
      </c>
      <c r="B1535" s="5" t="s">
        <v>2909</v>
      </c>
      <c r="C1535" s="3" t="s">
        <v>5</v>
      </c>
    </row>
    <row r="1536" spans="1:3" ht="15.75" thickBot="1">
      <c r="A1536" s="6" t="s">
        <v>2910</v>
      </c>
      <c r="B1536" s="5" t="s">
        <v>2911</v>
      </c>
      <c r="C1536" s="3" t="s">
        <v>5</v>
      </c>
    </row>
    <row r="1537" spans="1:3" ht="15.75" thickBot="1">
      <c r="A1537" s="6" t="s">
        <v>2912</v>
      </c>
      <c r="B1537" s="5" t="s">
        <v>2913</v>
      </c>
      <c r="C1537" s="3" t="s">
        <v>5</v>
      </c>
    </row>
    <row r="1538" spans="1:3" ht="15.75" thickBot="1">
      <c r="A1538" s="6" t="s">
        <v>2912</v>
      </c>
      <c r="B1538" s="5" t="e">
        <f xml:space="preserve"> co-valency</f>
        <v>#NAME?</v>
      </c>
      <c r="C1538" s="3" t="s">
        <v>5</v>
      </c>
    </row>
    <row r="1539" spans="1:3" ht="15.75" thickBot="1">
      <c r="A1539" s="6" t="s">
        <v>2914</v>
      </c>
      <c r="B1539" s="5" t="s">
        <v>2915</v>
      </c>
      <c r="C1539" s="3" t="s">
        <v>5</v>
      </c>
    </row>
    <row r="1540" spans="1:3" ht="15.75" thickBot="1">
      <c r="A1540" s="6" t="s">
        <v>2916</v>
      </c>
      <c r="B1540" s="5" t="s">
        <v>2917</v>
      </c>
      <c r="C1540" s="3" t="s">
        <v>5</v>
      </c>
    </row>
    <row r="1541" spans="1:3" ht="15.75" thickBot="1">
      <c r="A1541" s="6" t="s">
        <v>2918</v>
      </c>
      <c r="B1541" s="5" t="s">
        <v>2919</v>
      </c>
      <c r="C1541" s="3" t="s">
        <v>5</v>
      </c>
    </row>
    <row r="1542" spans="1:3" ht="15.75" thickBot="1">
      <c r="A1542" s="6" t="s">
        <v>2920</v>
      </c>
      <c r="B1542" s="5" t="s">
        <v>2921</v>
      </c>
      <c r="C1542" s="3" t="s">
        <v>5</v>
      </c>
    </row>
    <row r="1543" spans="1:3" ht="15.75" thickBot="1">
      <c r="A1543" s="6" t="s">
        <v>2922</v>
      </c>
      <c r="B1543" s="5" t="s">
        <v>2923</v>
      </c>
      <c r="C1543" s="3" t="s">
        <v>5</v>
      </c>
    </row>
    <row r="1544" spans="1:3" ht="15.75" thickBot="1">
      <c r="A1544" s="6" t="s">
        <v>2924</v>
      </c>
      <c r="B1544" s="5" t="s">
        <v>2925</v>
      </c>
      <c r="C1544" s="3" t="s">
        <v>5</v>
      </c>
    </row>
    <row r="1545" spans="1:3" ht="15.75" thickBot="1">
      <c r="A1545" s="6" t="s">
        <v>2926</v>
      </c>
      <c r="B1545" s="5" t="s">
        <v>2927</v>
      </c>
      <c r="C1545" s="3" t="s">
        <v>5</v>
      </c>
    </row>
    <row r="1546" spans="1:3" ht="15.75" thickBot="1">
      <c r="A1546" s="6" t="s">
        <v>2928</v>
      </c>
      <c r="B1546" s="5" t="s">
        <v>2929</v>
      </c>
      <c r="C1546" s="3" t="s">
        <v>5</v>
      </c>
    </row>
    <row r="1547" spans="1:3" ht="15.75" thickBot="1">
      <c r="A1547" s="6" t="s">
        <v>2930</v>
      </c>
      <c r="B1547" s="5" t="s">
        <v>2931</v>
      </c>
      <c r="C1547" s="3" t="s">
        <v>5</v>
      </c>
    </row>
    <row r="1548" spans="1:3" ht="15.75" thickBot="1">
      <c r="A1548" s="6" t="s">
        <v>2932</v>
      </c>
      <c r="B1548" s="5" t="s">
        <v>2933</v>
      </c>
      <c r="C1548" s="3" t="s">
        <v>5</v>
      </c>
    </row>
    <row r="1549" spans="1:3" ht="15.75" thickBot="1">
      <c r="A1549" s="6" t="s">
        <v>2934</v>
      </c>
      <c r="B1549" s="5" t="s">
        <v>2935</v>
      </c>
      <c r="C1549" s="3" t="s">
        <v>5</v>
      </c>
    </row>
    <row r="1550" spans="1:3" ht="15.75" thickBot="1">
      <c r="A1550" s="6" t="s">
        <v>2936</v>
      </c>
      <c r="B1550" s="5" t="s">
        <v>2937</v>
      </c>
      <c r="C1550" s="3" t="s">
        <v>5</v>
      </c>
    </row>
    <row r="1551" spans="1:3" ht="15.75" thickBot="1">
      <c r="A1551" s="6" t="s">
        <v>2936</v>
      </c>
      <c r="B1551" s="5" t="s">
        <v>2938</v>
      </c>
      <c r="C1551" s="3" t="s">
        <v>5</v>
      </c>
    </row>
    <row r="1552" spans="1:3" ht="15.75" thickBot="1">
      <c r="A1552" s="6" t="s">
        <v>2939</v>
      </c>
      <c r="B1552" s="5" t="s">
        <v>2940</v>
      </c>
      <c r="C1552" s="3" t="s">
        <v>5</v>
      </c>
    </row>
    <row r="1553" spans="1:3" ht="15.75" thickBot="1">
      <c r="A1553" s="6" t="s">
        <v>2941</v>
      </c>
      <c r="B1553" s="5" t="s">
        <v>2942</v>
      </c>
      <c r="C1553" s="3" t="s">
        <v>5</v>
      </c>
    </row>
    <row r="1554" spans="1:3" ht="15.75" thickBot="1">
      <c r="A1554" s="6" t="s">
        <v>2943</v>
      </c>
      <c r="B1554" s="5" t="s">
        <v>2944</v>
      </c>
      <c r="C1554" s="3" t="s">
        <v>5</v>
      </c>
    </row>
    <row r="1555" spans="1:3" ht="15.75" thickBot="1">
      <c r="A1555" s="6" t="s">
        <v>2945</v>
      </c>
      <c r="B1555" s="5" t="s">
        <v>2946</v>
      </c>
      <c r="C1555" s="3" t="s">
        <v>5</v>
      </c>
    </row>
    <row r="1556" spans="1:3" ht="15.75" thickBot="1">
      <c r="A1556" s="6" t="s">
        <v>2947</v>
      </c>
      <c r="B1556" s="5" t="s">
        <v>2948</v>
      </c>
      <c r="C1556" s="3" t="s">
        <v>5</v>
      </c>
    </row>
    <row r="1557" spans="1:3" ht="15.75" thickBot="1">
      <c r="A1557" s="6" t="s">
        <v>2949</v>
      </c>
      <c r="B1557" s="5" t="s">
        <v>2950</v>
      </c>
      <c r="C1557" s="3" t="s">
        <v>5</v>
      </c>
    </row>
    <row r="1558" spans="1:3" ht="15.75" thickBot="1">
      <c r="A1558" s="6" t="s">
        <v>2951</v>
      </c>
      <c r="B1558" s="5" t="s">
        <v>2952</v>
      </c>
      <c r="C1558" s="3" t="s">
        <v>5</v>
      </c>
    </row>
    <row r="1559" spans="1:3" ht="15.75" thickBot="1">
      <c r="A1559" s="6" t="s">
        <v>2953</v>
      </c>
      <c r="B1559" s="5" t="s">
        <v>2954</v>
      </c>
      <c r="C1559" s="3" t="s">
        <v>5</v>
      </c>
    </row>
    <row r="1560" spans="1:3" ht="15.75" thickBot="1">
      <c r="A1560" s="6" t="s">
        <v>2955</v>
      </c>
      <c r="B1560" s="5" t="s">
        <v>2956</v>
      </c>
      <c r="C1560" s="3" t="s">
        <v>5</v>
      </c>
    </row>
    <row r="1561" spans="1:3" ht="15.75" thickBot="1">
      <c r="A1561" s="6" t="s">
        <v>2957</v>
      </c>
      <c r="B1561" s="5" t="s">
        <v>2958</v>
      </c>
      <c r="C1561" s="3" t="s">
        <v>5</v>
      </c>
    </row>
    <row r="1562" spans="1:3" ht="15.75" thickBot="1">
      <c r="A1562" s="6" t="s">
        <v>2959</v>
      </c>
      <c r="B1562" s="5" t="s">
        <v>2960</v>
      </c>
      <c r="C1562" s="3" t="s">
        <v>5</v>
      </c>
    </row>
    <row r="1563" spans="1:3" ht="15.75" thickBot="1">
      <c r="A1563" s="6" t="s">
        <v>2961</v>
      </c>
      <c r="B1563" s="5" t="s">
        <v>2962</v>
      </c>
      <c r="C1563" s="3" t="s">
        <v>5</v>
      </c>
    </row>
    <row r="1564" spans="1:3" ht="15.75" thickBot="1">
      <c r="A1564" s="6" t="s">
        <v>2963</v>
      </c>
      <c r="B1564" s="5" t="s">
        <v>2964</v>
      </c>
      <c r="C1564" s="3" t="s">
        <v>5</v>
      </c>
    </row>
    <row r="1565" spans="1:3" ht="15.75" thickBot="1">
      <c r="A1565" s="6" t="s">
        <v>2965</v>
      </c>
      <c r="B1565" s="5" t="s">
        <v>2966</v>
      </c>
      <c r="C1565" s="3" t="s">
        <v>5</v>
      </c>
    </row>
    <row r="1566" spans="1:3" ht="15.75" thickBot="1">
      <c r="A1566" s="6" t="s">
        <v>2967</v>
      </c>
      <c r="B1566" s="5" t="s">
        <v>2968</v>
      </c>
      <c r="C1566" s="3" t="s">
        <v>5</v>
      </c>
    </row>
    <row r="1567" spans="1:3" ht="15.75" thickBot="1">
      <c r="A1567" s="6" t="s">
        <v>2969</v>
      </c>
      <c r="B1567" s="5" t="s">
        <v>2970</v>
      </c>
      <c r="C1567" s="3" t="s">
        <v>5</v>
      </c>
    </row>
    <row r="1568" spans="1:3" ht="15.75" thickBot="1">
      <c r="A1568" s="6" t="s">
        <v>2971</v>
      </c>
      <c r="B1568" s="5" t="s">
        <v>2972</v>
      </c>
      <c r="C1568" s="3" t="s">
        <v>5</v>
      </c>
    </row>
    <row r="1569" spans="1:3" ht="15.75" thickBot="1">
      <c r="A1569" s="6" t="s">
        <v>2973</v>
      </c>
      <c r="B1569" s="5" t="s">
        <v>2974</v>
      </c>
      <c r="C1569" s="3" t="s">
        <v>5</v>
      </c>
    </row>
    <row r="1570" spans="1:3" ht="15.75" thickBot="1">
      <c r="A1570" s="6" t="s">
        <v>2975</v>
      </c>
      <c r="B1570" s="5" t="s">
        <v>2976</v>
      </c>
      <c r="C1570" s="3" t="s">
        <v>5</v>
      </c>
    </row>
    <row r="1571" spans="1:3" ht="15.75" thickBot="1">
      <c r="A1571" s="6" t="s">
        <v>2977</v>
      </c>
      <c r="B1571" s="5" t="e">
        <f xml:space="preserve"> tooth locking</f>
        <v>#NAME?</v>
      </c>
      <c r="C1571" s="3" t="s">
        <v>5</v>
      </c>
    </row>
    <row r="1572" spans="1:3" ht="15.75" thickBot="1">
      <c r="A1572" s="6" t="s">
        <v>2978</v>
      </c>
      <c r="B1572" s="5" t="s">
        <v>2979</v>
      </c>
      <c r="C1572" s="3" t="s">
        <v>5</v>
      </c>
    </row>
    <row r="1573" spans="1:3" ht="15.75" thickBot="1">
      <c r="A1573" s="6" t="s">
        <v>2980</v>
      </c>
      <c r="B1573" s="5" t="s">
        <v>2981</v>
      </c>
      <c r="C1573" s="3" t="s">
        <v>5</v>
      </c>
    </row>
    <row r="1574" spans="1:3" ht="15.75" thickBot="1">
      <c r="A1574" s="6" t="s">
        <v>2982</v>
      </c>
      <c r="B1574" s="5" t="s">
        <v>2983</v>
      </c>
      <c r="C1574" s="3" t="s">
        <v>5</v>
      </c>
    </row>
    <row r="1575" spans="1:3">
      <c r="A1575" s="1" t="s">
        <v>2984</v>
      </c>
      <c r="B1575" s="2" t="s">
        <v>2985</v>
      </c>
      <c r="C1575" s="3" t="s">
        <v>5</v>
      </c>
    </row>
    <row r="1576" spans="1:3" ht="15.75" thickBot="1">
      <c r="A1576" s="4"/>
      <c r="B1576" s="5" t="s">
        <v>2986</v>
      </c>
      <c r="C1576" s="3" t="s">
        <v>5</v>
      </c>
    </row>
    <row r="1577" spans="1:3" ht="15.75" thickBot="1">
      <c r="A1577" s="6" t="s">
        <v>2987</v>
      </c>
      <c r="B1577" s="5" t="s">
        <v>2988</v>
      </c>
      <c r="C1577" s="3" t="s">
        <v>5</v>
      </c>
    </row>
    <row r="1578" spans="1:3" ht="15.75" thickBot="1">
      <c r="A1578" s="6" t="s">
        <v>2989</v>
      </c>
      <c r="B1578" s="5" t="s">
        <v>2990</v>
      </c>
      <c r="C1578" s="3" t="s">
        <v>5</v>
      </c>
    </row>
    <row r="1579" spans="1:3" ht="15.75" thickBot="1">
      <c r="A1579" s="6" t="s">
        <v>2991</v>
      </c>
      <c r="B1579" s="5" t="s">
        <v>2992</v>
      </c>
      <c r="C1579" s="3" t="s">
        <v>5</v>
      </c>
    </row>
    <row r="1580" spans="1:3" ht="15.75" thickBot="1">
      <c r="A1580" s="6" t="s">
        <v>2993</v>
      </c>
      <c r="B1580" s="5" t="s">
        <v>2994</v>
      </c>
      <c r="C1580" s="3" t="s">
        <v>5</v>
      </c>
    </row>
    <row r="1581" spans="1:3" ht="15.75" thickBot="1">
      <c r="A1581" s="6" t="s">
        <v>2995</v>
      </c>
      <c r="B1581" s="5" t="s">
        <v>2996</v>
      </c>
      <c r="C1581" s="3" t="s">
        <v>5</v>
      </c>
    </row>
    <row r="1582" spans="1:3" ht="15.75" thickBot="1">
      <c r="A1582" s="6" t="s">
        <v>2997</v>
      </c>
      <c r="B1582" s="5" t="s">
        <v>2998</v>
      </c>
      <c r="C1582" s="3" t="s">
        <v>5</v>
      </c>
    </row>
    <row r="1583" spans="1:3" ht="15.75" thickBot="1">
      <c r="A1583" s="6" t="s">
        <v>2999</v>
      </c>
      <c r="B1583" s="5" t="s">
        <v>3000</v>
      </c>
      <c r="C1583" s="3" t="s">
        <v>5</v>
      </c>
    </row>
    <row r="1584" spans="1:3" ht="15.75" thickBot="1">
      <c r="A1584" s="6" t="s">
        <v>3001</v>
      </c>
      <c r="B1584" s="5" t="s">
        <v>3002</v>
      </c>
      <c r="C1584" s="3" t="s">
        <v>5</v>
      </c>
    </row>
    <row r="1585" spans="1:3" ht="15.75" thickBot="1">
      <c r="A1585" s="6" t="s">
        <v>3003</v>
      </c>
      <c r="B1585" s="5" t="s">
        <v>3004</v>
      </c>
      <c r="C1585" s="3" t="s">
        <v>5</v>
      </c>
    </row>
    <row r="1586" spans="1:3" ht="15.75" thickBot="1">
      <c r="A1586" s="6" t="s">
        <v>3005</v>
      </c>
      <c r="B1586" s="5" t="s">
        <v>3006</v>
      </c>
      <c r="C1586" s="3" t="s">
        <v>5</v>
      </c>
    </row>
    <row r="1587" spans="1:3" ht="15.75" thickBot="1">
      <c r="A1587" s="6" t="s">
        <v>3007</v>
      </c>
      <c r="B1587" s="5" t="s">
        <v>3008</v>
      </c>
      <c r="C1587" s="3" t="s">
        <v>5</v>
      </c>
    </row>
    <row r="1588" spans="1:3" ht="15.75" thickBot="1">
      <c r="A1588" s="6" t="s">
        <v>3009</v>
      </c>
      <c r="B1588" s="5" t="s">
        <v>3010</v>
      </c>
      <c r="C1588" s="3" t="s">
        <v>5</v>
      </c>
    </row>
    <row r="1589" spans="1:3" ht="15.75" thickBot="1">
      <c r="A1589" s="6" t="s">
        <v>3011</v>
      </c>
      <c r="B1589" s="5" t="s">
        <v>3012</v>
      </c>
      <c r="C1589" s="3" t="s">
        <v>5</v>
      </c>
    </row>
    <row r="1590" spans="1:3" ht="15.75" thickBot="1">
      <c r="A1590" s="6" t="s">
        <v>3013</v>
      </c>
      <c r="B1590" s="5" t="s">
        <v>3014</v>
      </c>
      <c r="C1590" s="3" t="s">
        <v>5</v>
      </c>
    </row>
    <row r="1591" spans="1:3" ht="15.75" thickBot="1">
      <c r="A1591" s="6" t="s">
        <v>3015</v>
      </c>
      <c r="B1591" s="5" t="s">
        <v>3016</v>
      </c>
      <c r="C1591" s="3" t="s">
        <v>5</v>
      </c>
    </row>
    <row r="1592" spans="1:3" ht="15.75" thickBot="1">
      <c r="A1592" s="6" t="s">
        <v>3017</v>
      </c>
      <c r="B1592" s="5" t="s">
        <v>3018</v>
      </c>
      <c r="C1592" s="3" t="s">
        <v>5</v>
      </c>
    </row>
    <row r="1593" spans="1:3" ht="15.75" thickBot="1">
      <c r="A1593" s="6" t="s">
        <v>3019</v>
      </c>
      <c r="B1593" s="5" t="s">
        <v>3020</v>
      </c>
      <c r="C1593" s="3" t="s">
        <v>5</v>
      </c>
    </row>
    <row r="1594" spans="1:3" ht="15.75" thickBot="1">
      <c r="A1594" s="6" t="s">
        <v>3019</v>
      </c>
      <c r="B1594" s="5" t="s">
        <v>3020</v>
      </c>
      <c r="C1594" s="3" t="s">
        <v>5</v>
      </c>
    </row>
    <row r="1595" spans="1:3" ht="15.75" thickBot="1">
      <c r="A1595" s="6" t="s">
        <v>3021</v>
      </c>
      <c r="B1595" s="5" t="s">
        <v>3022</v>
      </c>
      <c r="C1595" s="3" t="s">
        <v>5</v>
      </c>
    </row>
    <row r="1596" spans="1:3" ht="15.75" thickBot="1">
      <c r="A1596" s="6" t="s">
        <v>3023</v>
      </c>
      <c r="B1596" s="5" t="s">
        <v>3024</v>
      </c>
      <c r="C1596" s="3" t="s">
        <v>5</v>
      </c>
    </row>
    <row r="1597" spans="1:3" ht="15.75" thickBot="1">
      <c r="A1597" s="6" t="s">
        <v>3025</v>
      </c>
      <c r="B1597" s="5" t="s">
        <v>3026</v>
      </c>
      <c r="C1597" s="3" t="s">
        <v>5</v>
      </c>
    </row>
    <row r="1598" spans="1:3" ht="15.75" thickBot="1">
      <c r="A1598" s="6" t="s">
        <v>3027</v>
      </c>
      <c r="B1598" s="5" t="s">
        <v>3028</v>
      </c>
      <c r="C1598" s="3" t="s">
        <v>5</v>
      </c>
    </row>
    <row r="1599" spans="1:3" ht="15.75" thickBot="1">
      <c r="A1599" s="6" t="s">
        <v>3029</v>
      </c>
      <c r="B1599" s="5" t="s">
        <v>3030</v>
      </c>
      <c r="C1599" s="3" t="s">
        <v>5</v>
      </c>
    </row>
    <row r="1600" spans="1:3" ht="15.75" thickBot="1">
      <c r="A1600" s="6" t="s">
        <v>3031</v>
      </c>
      <c r="B1600" s="5" t="s">
        <v>3032</v>
      </c>
      <c r="C1600" s="3" t="s">
        <v>5</v>
      </c>
    </row>
    <row r="1601" spans="1:3" ht="15.75" thickBot="1">
      <c r="A1601" s="6" t="s">
        <v>3033</v>
      </c>
      <c r="B1601" s="5" t="s">
        <v>3034</v>
      </c>
      <c r="C1601" s="3" t="s">
        <v>5</v>
      </c>
    </row>
    <row r="1602" spans="1:3" ht="15.75" thickBot="1">
      <c r="A1602" s="6" t="s">
        <v>3035</v>
      </c>
      <c r="B1602" s="5" t="s">
        <v>3036</v>
      </c>
      <c r="C1602" s="3" t="s">
        <v>5</v>
      </c>
    </row>
    <row r="1603" spans="1:3" ht="15.75" thickBot="1">
      <c r="A1603" s="6" t="s">
        <v>3037</v>
      </c>
      <c r="B1603" s="5" t="s">
        <v>3038</v>
      </c>
      <c r="C1603" s="3" t="s">
        <v>5</v>
      </c>
    </row>
    <row r="1604" spans="1:3" ht="15.75" thickBot="1">
      <c r="A1604" s="6" t="s">
        <v>3039</v>
      </c>
      <c r="B1604" s="5" t="s">
        <v>3040</v>
      </c>
      <c r="C1604" s="3" t="s">
        <v>5</v>
      </c>
    </row>
    <row r="1605" spans="1:3" ht="15.75" thickBot="1">
      <c r="A1605" s="6" t="s">
        <v>3041</v>
      </c>
      <c r="B1605" s="5" t="s">
        <v>3042</v>
      </c>
      <c r="C1605" s="3" t="s">
        <v>5</v>
      </c>
    </row>
    <row r="1606" spans="1:3" ht="15.75" thickBot="1">
      <c r="A1606" s="6" t="s">
        <v>3043</v>
      </c>
      <c r="B1606" s="5" t="s">
        <v>3044</v>
      </c>
      <c r="C1606" s="3" t="s">
        <v>5</v>
      </c>
    </row>
    <row r="1607" spans="1:3" ht="15.75" thickBot="1">
      <c r="A1607" s="6" t="s">
        <v>3045</v>
      </c>
      <c r="B1607" s="5" t="s">
        <v>3046</v>
      </c>
      <c r="C1607" s="3" t="s">
        <v>5</v>
      </c>
    </row>
    <row r="1608" spans="1:3" ht="15.75" thickBot="1">
      <c r="A1608" s="6" t="s">
        <v>3047</v>
      </c>
      <c r="B1608" s="5" t="s">
        <v>3048</v>
      </c>
      <c r="C1608" s="3" t="s">
        <v>5</v>
      </c>
    </row>
    <row r="1609" spans="1:3" ht="15.75" thickBot="1">
      <c r="A1609" s="6" t="s">
        <v>3049</v>
      </c>
      <c r="B1609" s="5" t="s">
        <v>3050</v>
      </c>
      <c r="C1609" s="3" t="s">
        <v>5</v>
      </c>
    </row>
    <row r="1610" spans="1:3" ht="15.75" thickBot="1">
      <c r="A1610" s="6" t="s">
        <v>3051</v>
      </c>
      <c r="B1610" s="5" t="s">
        <v>3052</v>
      </c>
      <c r="C1610" s="3" t="s">
        <v>5</v>
      </c>
    </row>
    <row r="1611" spans="1:3" ht="15.75" thickBot="1">
      <c r="A1611" s="6" t="s">
        <v>3053</v>
      </c>
      <c r="B1611" s="5" t="s">
        <v>3054</v>
      </c>
      <c r="C1611" s="3" t="s">
        <v>5</v>
      </c>
    </row>
    <row r="1612" spans="1:3" ht="15.75" thickBot="1">
      <c r="A1612" s="6" t="s">
        <v>3055</v>
      </c>
      <c r="B1612" s="5" t="s">
        <v>3056</v>
      </c>
      <c r="C1612" s="3" t="s">
        <v>5</v>
      </c>
    </row>
    <row r="1613" spans="1:3" ht="15.75" thickBot="1">
      <c r="A1613" s="6" t="s">
        <v>3057</v>
      </c>
      <c r="B1613" s="5" t="s">
        <v>3058</v>
      </c>
      <c r="C1613" s="3" t="s">
        <v>5</v>
      </c>
    </row>
    <row r="1614" spans="1:3" ht="15.75" thickBot="1">
      <c r="A1614" s="6" t="s">
        <v>3059</v>
      </c>
      <c r="B1614" s="5" t="s">
        <v>3060</v>
      </c>
      <c r="C1614" s="3" t="s">
        <v>5</v>
      </c>
    </row>
    <row r="1615" spans="1:3" ht="15.75" thickBot="1">
      <c r="A1615" s="6" t="s">
        <v>3061</v>
      </c>
      <c r="B1615" s="5" t="s">
        <v>3062</v>
      </c>
      <c r="C1615" s="3" t="s">
        <v>5</v>
      </c>
    </row>
    <row r="1616" spans="1:3" ht="15.75" thickBot="1">
      <c r="A1616" s="6" t="s">
        <v>3063</v>
      </c>
      <c r="B1616" s="5" t="s">
        <v>3064</v>
      </c>
      <c r="C1616" s="3" t="s">
        <v>5</v>
      </c>
    </row>
    <row r="1617" spans="1:3" ht="15.75" thickBot="1">
      <c r="A1617" s="6" t="s">
        <v>3065</v>
      </c>
      <c r="B1617" s="5" t="s">
        <v>3066</v>
      </c>
      <c r="C1617" s="3" t="s">
        <v>5</v>
      </c>
    </row>
    <row r="1618" spans="1:3" ht="15.75" thickBot="1">
      <c r="A1618" s="6" t="s">
        <v>3067</v>
      </c>
      <c r="B1618" s="5" t="s">
        <v>3068</v>
      </c>
      <c r="C1618" s="3" t="s">
        <v>5</v>
      </c>
    </row>
    <row r="1619" spans="1:3" ht="15.75" thickBot="1">
      <c r="A1619" s="6" t="s">
        <v>3069</v>
      </c>
      <c r="B1619" s="5" t="s">
        <v>3070</v>
      </c>
      <c r="C1619" s="3" t="s">
        <v>5</v>
      </c>
    </row>
    <row r="1620" spans="1:3" ht="15.75" thickBot="1">
      <c r="A1620" s="6" t="s">
        <v>3071</v>
      </c>
      <c r="B1620" s="5" t="s">
        <v>3072</v>
      </c>
      <c r="C1620" s="3" t="s">
        <v>5</v>
      </c>
    </row>
    <row r="1621" spans="1:3" ht="15.75" thickBot="1">
      <c r="A1621" s="6" t="s">
        <v>3073</v>
      </c>
      <c r="B1621" s="5" t="s">
        <v>3074</v>
      </c>
      <c r="C1621" s="3" t="s">
        <v>5</v>
      </c>
    </row>
    <row r="1622" spans="1:3" ht="15.75" thickBot="1">
      <c r="A1622" s="6" t="s">
        <v>3075</v>
      </c>
      <c r="B1622" s="5" t="s">
        <v>3076</v>
      </c>
      <c r="C1622" s="3" t="s">
        <v>5</v>
      </c>
    </row>
    <row r="1623" spans="1:3" ht="15.75" thickBot="1">
      <c r="A1623" s="6" t="s">
        <v>3077</v>
      </c>
      <c r="B1623" s="5" t="s">
        <v>3078</v>
      </c>
      <c r="C1623" s="3" t="s">
        <v>5</v>
      </c>
    </row>
    <row r="1624" spans="1:3" ht="15.75" thickBot="1">
      <c r="A1624" s="6" t="s">
        <v>3079</v>
      </c>
      <c r="B1624" s="5" t="s">
        <v>3080</v>
      </c>
      <c r="C1624" s="3" t="s">
        <v>5</v>
      </c>
    </row>
    <row r="1625" spans="1:3" ht="15.75" thickBot="1">
      <c r="A1625" s="6" t="s">
        <v>3081</v>
      </c>
      <c r="B1625" s="5" t="s">
        <v>3082</v>
      </c>
      <c r="C1625" s="3" t="s">
        <v>5</v>
      </c>
    </row>
    <row r="1626" spans="1:3" ht="15.75" thickBot="1">
      <c r="A1626" s="6" t="s">
        <v>3083</v>
      </c>
      <c r="B1626" s="5" t="s">
        <v>3084</v>
      </c>
      <c r="C1626" s="3" t="s">
        <v>5</v>
      </c>
    </row>
    <row r="1627" spans="1:3" ht="15.75" thickBot="1">
      <c r="A1627" s="6" t="s">
        <v>3085</v>
      </c>
      <c r="B1627" s="5" t="s">
        <v>3086</v>
      </c>
      <c r="C1627" s="3" t="s">
        <v>5</v>
      </c>
    </row>
    <row r="1628" spans="1:3" ht="15.75" thickBot="1">
      <c r="A1628" s="6" t="s">
        <v>3087</v>
      </c>
      <c r="B1628" s="5" t="s">
        <v>3088</v>
      </c>
      <c r="C1628" s="3" t="s">
        <v>5</v>
      </c>
    </row>
    <row r="1629" spans="1:3" ht="15.75" thickBot="1">
      <c r="A1629" s="6" t="s">
        <v>3089</v>
      </c>
      <c r="B1629" s="5" t="s">
        <v>3090</v>
      </c>
      <c r="C1629" s="3" t="s">
        <v>5</v>
      </c>
    </row>
    <row r="1630" spans="1:3" ht="15.75" thickBot="1">
      <c r="A1630" s="6" t="s">
        <v>3091</v>
      </c>
      <c r="B1630" s="5" t="s">
        <v>3092</v>
      </c>
      <c r="C1630" s="3" t="s">
        <v>5</v>
      </c>
    </row>
    <row r="1631" spans="1:3">
      <c r="A1631" s="1" t="s">
        <v>3093</v>
      </c>
      <c r="B1631" s="2" t="s">
        <v>3094</v>
      </c>
      <c r="C1631" s="3" t="s">
        <v>5</v>
      </c>
    </row>
    <row r="1632" spans="1:3" ht="15.75" thickBot="1">
      <c r="A1632" s="4"/>
      <c r="B1632" s="5" t="s">
        <v>3095</v>
      </c>
      <c r="C1632" s="3" t="s">
        <v>5</v>
      </c>
    </row>
    <row r="1633" spans="1:3" ht="15.75" thickBot="1">
      <c r="A1633" s="6" t="s">
        <v>3096</v>
      </c>
      <c r="B1633" s="5" t="s">
        <v>3097</v>
      </c>
      <c r="C1633" s="3" t="s">
        <v>5</v>
      </c>
    </row>
    <row r="1634" spans="1:3" ht="15.75" thickBot="1">
      <c r="A1634" s="6" t="s">
        <v>3098</v>
      </c>
      <c r="B1634" s="5" t="s">
        <v>3099</v>
      </c>
      <c r="C1634" s="3" t="s">
        <v>5</v>
      </c>
    </row>
    <row r="1635" spans="1:3" ht="15.75" thickBot="1">
      <c r="A1635" s="6" t="s">
        <v>3100</v>
      </c>
      <c r="B1635" s="5" t="s">
        <v>3101</v>
      </c>
      <c r="C1635" s="3" t="s">
        <v>5</v>
      </c>
    </row>
    <row r="1636" spans="1:3" ht="15.75" thickBot="1">
      <c r="A1636" s="6" t="s">
        <v>3102</v>
      </c>
      <c r="B1636" s="5" t="s">
        <v>3103</v>
      </c>
      <c r="C1636" s="3" t="s">
        <v>5</v>
      </c>
    </row>
    <row r="1637" spans="1:3" ht="15.75" thickBot="1">
      <c r="A1637" s="6" t="s">
        <v>3104</v>
      </c>
      <c r="B1637" s="5" t="s">
        <v>3105</v>
      </c>
      <c r="C1637" s="3" t="s">
        <v>5</v>
      </c>
    </row>
    <row r="1638" spans="1:3" ht="15.75" thickBot="1">
      <c r="A1638" s="6" t="s">
        <v>3106</v>
      </c>
      <c r="B1638" s="5" t="s">
        <v>3107</v>
      </c>
      <c r="C1638" s="3" t="s">
        <v>5</v>
      </c>
    </row>
    <row r="1639" spans="1:3" ht="15.75" thickBot="1">
      <c r="A1639" s="6" t="s">
        <v>3108</v>
      </c>
      <c r="B1639" s="5" t="s">
        <v>3109</v>
      </c>
      <c r="C1639" s="3" t="s">
        <v>5</v>
      </c>
    </row>
    <row r="1640" spans="1:3" ht="15.75" thickBot="1">
      <c r="A1640" s="6" t="s">
        <v>3110</v>
      </c>
      <c r="B1640" s="5" t="s">
        <v>3111</v>
      </c>
      <c r="C1640" s="3" t="s">
        <v>5</v>
      </c>
    </row>
    <row r="1641" spans="1:3" ht="15.75" thickBot="1">
      <c r="A1641" s="6" t="s">
        <v>3112</v>
      </c>
      <c r="B1641" s="5" t="s">
        <v>3113</v>
      </c>
      <c r="C1641" s="3" t="s">
        <v>5</v>
      </c>
    </row>
    <row r="1642" spans="1:3">
      <c r="A1642" s="1" t="s">
        <v>3114</v>
      </c>
      <c r="B1642" s="2" t="s">
        <v>3115</v>
      </c>
      <c r="C1642" s="3" t="s">
        <v>5</v>
      </c>
    </row>
    <row r="1643" spans="1:3" ht="15.75" thickBot="1">
      <c r="A1643" s="4"/>
      <c r="B1643" s="5" t="s">
        <v>3116</v>
      </c>
      <c r="C1643" s="3" t="s">
        <v>5</v>
      </c>
    </row>
    <row r="1644" spans="1:3" ht="15.75" thickBot="1">
      <c r="A1644" s="6" t="s">
        <v>3117</v>
      </c>
      <c r="B1644" s="5" t="s">
        <v>3118</v>
      </c>
      <c r="C1644" s="3" t="s">
        <v>5</v>
      </c>
    </row>
    <row r="1645" spans="1:3" ht="15.75" thickBot="1">
      <c r="A1645" s="6" t="s">
        <v>3119</v>
      </c>
      <c r="B1645" s="5" t="s">
        <v>3120</v>
      </c>
      <c r="C1645" s="3" t="s">
        <v>5</v>
      </c>
    </row>
    <row r="1646" spans="1:3" ht="15.75" thickBot="1">
      <c r="A1646" s="6" t="s">
        <v>3121</v>
      </c>
      <c r="B1646" s="5" t="s">
        <v>3122</v>
      </c>
      <c r="C1646" s="3" t="s">
        <v>5</v>
      </c>
    </row>
    <row r="1647" spans="1:3" ht="15.75" thickBot="1">
      <c r="A1647" s="6" t="s">
        <v>3123</v>
      </c>
      <c r="B1647" s="5" t="s">
        <v>3124</v>
      </c>
      <c r="C1647" s="3" t="s">
        <v>5</v>
      </c>
    </row>
    <row r="1648" spans="1:3" ht="15.75" thickBot="1">
      <c r="A1648" s="6" t="s">
        <v>3125</v>
      </c>
      <c r="B1648" s="5" t="s">
        <v>3126</v>
      </c>
      <c r="C1648" s="3" t="s">
        <v>5</v>
      </c>
    </row>
    <row r="1649" spans="1:3" ht="15.75" thickBot="1">
      <c r="A1649" s="6" t="s">
        <v>3127</v>
      </c>
      <c r="B1649" s="5" t="s">
        <v>3128</v>
      </c>
      <c r="C1649" s="3" t="s">
        <v>5</v>
      </c>
    </row>
    <row r="1650" spans="1:3" ht="15.75" thickBot="1">
      <c r="A1650" s="6" t="s">
        <v>3129</v>
      </c>
      <c r="B1650" s="5" t="s">
        <v>3130</v>
      </c>
      <c r="C1650" s="3" t="s">
        <v>5</v>
      </c>
    </row>
    <row r="1651" spans="1:3" ht="15.75" thickBot="1">
      <c r="A1651" s="6" t="s">
        <v>3131</v>
      </c>
      <c r="B1651" s="5" t="s">
        <v>3132</v>
      </c>
      <c r="C1651" s="3" t="s">
        <v>5</v>
      </c>
    </row>
    <row r="1652" spans="1:3" ht="15.75" thickBot="1">
      <c r="A1652" s="6" t="s">
        <v>3133</v>
      </c>
      <c r="B1652" s="5" t="s">
        <v>3134</v>
      </c>
      <c r="C1652" s="3" t="s">
        <v>5</v>
      </c>
    </row>
    <row r="1653" spans="1:3" ht="15.75" thickBot="1">
      <c r="A1653" s="6" t="s">
        <v>3135</v>
      </c>
      <c r="B1653" s="5" t="s">
        <v>3136</v>
      </c>
      <c r="C1653" s="3" t="s">
        <v>5</v>
      </c>
    </row>
    <row r="1654" spans="1:3" ht="15.75" thickBot="1">
      <c r="A1654" s="6" t="s">
        <v>3135</v>
      </c>
      <c r="B1654" s="5" t="s">
        <v>3136</v>
      </c>
      <c r="C1654" s="3" t="s">
        <v>5</v>
      </c>
    </row>
    <row r="1655" spans="1:3" ht="15.75" thickBot="1">
      <c r="A1655" s="6" t="s">
        <v>3137</v>
      </c>
      <c r="B1655" s="5" t="s">
        <v>3138</v>
      </c>
      <c r="C1655" s="3" t="s">
        <v>5</v>
      </c>
    </row>
    <row r="1656" spans="1:3" ht="15.75" thickBot="1">
      <c r="A1656" s="6" t="s">
        <v>3139</v>
      </c>
      <c r="B1656" s="5" t="s">
        <v>3140</v>
      </c>
      <c r="C1656" s="3" t="s">
        <v>5</v>
      </c>
    </row>
    <row r="1657" spans="1:3" ht="15.75" thickBot="1">
      <c r="A1657" s="6" t="s">
        <v>3141</v>
      </c>
      <c r="B1657" s="5" t="s">
        <v>3142</v>
      </c>
      <c r="C1657" s="3" t="s">
        <v>5</v>
      </c>
    </row>
    <row r="1658" spans="1:3" ht="15.75" thickBot="1">
      <c r="A1658" s="6" t="s">
        <v>3143</v>
      </c>
      <c r="B1658" s="5" t="e">
        <f xml:space="preserve"> commutator sleeve = commutator bush</f>
        <v>#NAME?</v>
      </c>
      <c r="C1658" s="3" t="s">
        <v>5</v>
      </c>
    </row>
    <row r="1659" spans="1:3" ht="15.75" thickBot="1">
      <c r="A1659" s="6" t="s">
        <v>3144</v>
      </c>
      <c r="B1659" s="5" t="s">
        <v>3145</v>
      </c>
      <c r="C1659" s="3" t="s">
        <v>5</v>
      </c>
    </row>
    <row r="1660" spans="1:3">
      <c r="A1660" s="1" t="s">
        <v>3146</v>
      </c>
      <c r="B1660" s="2" t="s">
        <v>3147</v>
      </c>
      <c r="C1660" s="3" t="s">
        <v>5</v>
      </c>
    </row>
    <row r="1661" spans="1:3" ht="15.75" thickBot="1">
      <c r="A1661" s="4"/>
      <c r="B1661" s="5" t="e">
        <f xml:space="preserve"> commutator bub (also commutator shell or commutator sleeve)</f>
        <v>#NAME?</v>
      </c>
      <c r="C1661" s="3" t="s">
        <v>5</v>
      </c>
    </row>
    <row r="1662" spans="1:3">
      <c r="A1662" s="1" t="s">
        <v>3143</v>
      </c>
      <c r="B1662" s="2" t="s">
        <v>3148</v>
      </c>
      <c r="C1662" s="3" t="s">
        <v>5</v>
      </c>
    </row>
    <row r="1663" spans="1:3" ht="15.75" thickBot="1">
      <c r="A1663" s="4"/>
      <c r="B1663" s="5" t="e">
        <f xml:space="preserve"> commutator riser</f>
        <v>#NAME?</v>
      </c>
      <c r="C1663" s="3" t="s">
        <v>5</v>
      </c>
    </row>
    <row r="1664" spans="1:3" ht="15.75" thickBot="1">
      <c r="A1664" s="6" t="s">
        <v>3149</v>
      </c>
      <c r="B1664" s="5" t="s">
        <v>3150</v>
      </c>
      <c r="C1664" s="3" t="s">
        <v>5</v>
      </c>
    </row>
    <row r="1665" spans="1:3" ht="15.75" thickBot="1">
      <c r="A1665" s="6" t="s">
        <v>3151</v>
      </c>
      <c r="B1665" s="5" t="s">
        <v>3152</v>
      </c>
      <c r="C1665" s="3" t="s">
        <v>5</v>
      </c>
    </row>
    <row r="1666" spans="1:3" ht="15.75" thickBot="1">
      <c r="A1666" s="6" t="s">
        <v>3153</v>
      </c>
      <c r="B1666" s="5" t="s">
        <v>3154</v>
      </c>
      <c r="C1666" s="3" t="s">
        <v>5</v>
      </c>
    </row>
    <row r="1667" spans="1:3" ht="15.75" thickBot="1">
      <c r="A1667" s="6" t="s">
        <v>3155</v>
      </c>
      <c r="B1667" s="5" t="s">
        <v>3156</v>
      </c>
      <c r="C1667" s="3" t="s">
        <v>5</v>
      </c>
    </row>
    <row r="1668" spans="1:3" ht="15.75" thickBot="1">
      <c r="A1668" s="6" t="s">
        <v>3157</v>
      </c>
      <c r="B1668" s="5" t="s">
        <v>3158</v>
      </c>
      <c r="C1668" s="3" t="s">
        <v>5</v>
      </c>
    </row>
    <row r="1669" spans="1:3" ht="15.75" thickBot="1">
      <c r="A1669" s="6" t="s">
        <v>3159</v>
      </c>
      <c r="B1669" s="5" t="s">
        <v>3160</v>
      </c>
      <c r="C1669" s="3" t="s">
        <v>5</v>
      </c>
    </row>
    <row r="1670" spans="1:3" ht="15.75" thickBot="1">
      <c r="A1670" s="6" t="s">
        <v>3161</v>
      </c>
      <c r="B1670" s="5" t="s">
        <v>3162</v>
      </c>
      <c r="C1670" s="3" t="s">
        <v>5</v>
      </c>
    </row>
    <row r="1671" spans="1:3" ht="15.75" thickBot="1">
      <c r="A1671" s="6" t="s">
        <v>3163</v>
      </c>
      <c r="B1671" s="5" t="s">
        <v>3164</v>
      </c>
      <c r="C1671" s="3" t="s">
        <v>5</v>
      </c>
    </row>
    <row r="1672" spans="1:3" ht="15.75" thickBot="1">
      <c r="A1672" s="6" t="s">
        <v>3165</v>
      </c>
      <c r="B1672" s="5" t="s">
        <v>3166</v>
      </c>
      <c r="C1672" s="3" t="s">
        <v>5</v>
      </c>
    </row>
    <row r="1673" spans="1:3" ht="15.75" thickBot="1">
      <c r="A1673" s="6" t="s">
        <v>3167</v>
      </c>
      <c r="B1673" s="5" t="s">
        <v>3168</v>
      </c>
      <c r="C1673" s="3" t="s">
        <v>5</v>
      </c>
    </row>
    <row r="1674" spans="1:3" ht="15.75" thickBot="1">
      <c r="A1674" s="6" t="s">
        <v>3169</v>
      </c>
      <c r="B1674" s="5" t="s">
        <v>3170</v>
      </c>
      <c r="C1674" s="3" t="s">
        <v>5</v>
      </c>
    </row>
    <row r="1675" spans="1:3" ht="15.75" thickBot="1">
      <c r="A1675" s="6" t="s">
        <v>3171</v>
      </c>
      <c r="B1675" s="5" t="s">
        <v>3172</v>
      </c>
      <c r="C1675" s="3" t="s">
        <v>5</v>
      </c>
    </row>
    <row r="1676" spans="1:3" ht="15.75" thickBot="1">
      <c r="A1676" s="6" t="s">
        <v>3173</v>
      </c>
      <c r="B1676" s="5" t="s">
        <v>3172</v>
      </c>
      <c r="C1676" s="3" t="s">
        <v>5</v>
      </c>
    </row>
    <row r="1677" spans="1:3" ht="15.75" thickBot="1">
      <c r="A1677" s="6" t="s">
        <v>3174</v>
      </c>
      <c r="B1677" s="5" t="s">
        <v>3175</v>
      </c>
      <c r="C1677" s="3" t="s">
        <v>5</v>
      </c>
    </row>
    <row r="1678" spans="1:3" ht="15.75" thickBot="1">
      <c r="A1678" s="6" t="s">
        <v>3174</v>
      </c>
      <c r="B1678" s="5" t="s">
        <v>3175</v>
      </c>
      <c r="C1678" s="3" t="s">
        <v>5</v>
      </c>
    </row>
    <row r="1679" spans="1:3" ht="15.75" thickBot="1">
      <c r="A1679" s="6" t="s">
        <v>3176</v>
      </c>
      <c r="B1679" s="5" t="s">
        <v>3170</v>
      </c>
      <c r="C1679" s="3" t="s">
        <v>5</v>
      </c>
    </row>
    <row r="1680" spans="1:3" ht="15.75" thickBot="1">
      <c r="A1680" s="6" t="s">
        <v>3177</v>
      </c>
      <c r="B1680" s="5" t="s">
        <v>3178</v>
      </c>
      <c r="C1680" s="3" t="s">
        <v>5</v>
      </c>
    </row>
    <row r="1681" spans="1:3" ht="15.75" thickBot="1">
      <c r="A1681" s="6" t="s">
        <v>3179</v>
      </c>
      <c r="B1681" s="5" t="s">
        <v>3180</v>
      </c>
      <c r="C1681" s="3" t="s">
        <v>5</v>
      </c>
    </row>
    <row r="1682" spans="1:3" ht="15.75" thickBot="1">
      <c r="A1682" s="6" t="s">
        <v>3181</v>
      </c>
      <c r="B1682" s="5" t="s">
        <v>3182</v>
      </c>
      <c r="C1682" s="3" t="s">
        <v>5</v>
      </c>
    </row>
    <row r="1683" spans="1:3" ht="15.75" thickBot="1">
      <c r="A1683" s="6" t="s">
        <v>3183</v>
      </c>
      <c r="B1683" s="5" t="s">
        <v>3184</v>
      </c>
      <c r="C1683" s="3" t="s">
        <v>5</v>
      </c>
    </row>
    <row r="1684" spans="1:3" ht="15.75" thickBot="1">
      <c r="A1684" s="6" t="s">
        <v>3185</v>
      </c>
      <c r="B1684" s="5" t="s">
        <v>3186</v>
      </c>
      <c r="C1684" s="3" t="s">
        <v>5</v>
      </c>
    </row>
    <row r="1685" spans="1:3" ht="15.75" thickBot="1">
      <c r="A1685" s="6" t="s">
        <v>3187</v>
      </c>
      <c r="B1685" s="5" t="s">
        <v>3188</v>
      </c>
      <c r="C1685" s="3" t="s">
        <v>5</v>
      </c>
    </row>
    <row r="1686" spans="1:3" ht="15.75" thickBot="1">
      <c r="A1686" s="6" t="s">
        <v>3189</v>
      </c>
      <c r="B1686" s="5" t="s">
        <v>3190</v>
      </c>
      <c r="C1686" s="3" t="s">
        <v>5</v>
      </c>
    </row>
    <row r="1687" spans="1:3">
      <c r="A1687" s="1" t="s">
        <v>3191</v>
      </c>
      <c r="B1687" s="2" t="s">
        <v>3192</v>
      </c>
      <c r="C1687" s="3" t="s">
        <v>5</v>
      </c>
    </row>
    <row r="1688" spans="1:3" ht="15.75" thickBot="1">
      <c r="A1688" s="4"/>
      <c r="B1688" s="5" t="s">
        <v>3193</v>
      </c>
      <c r="C1688" s="3" t="s">
        <v>5</v>
      </c>
    </row>
    <row r="1689" spans="1:3" ht="15.75" thickBot="1">
      <c r="A1689" s="6" t="s">
        <v>3194</v>
      </c>
      <c r="B1689" s="5" t="s">
        <v>3195</v>
      </c>
      <c r="C1689" s="3" t="s">
        <v>5</v>
      </c>
    </row>
    <row r="1690" spans="1:3" ht="15.75" thickBot="1">
      <c r="A1690" s="6" t="s">
        <v>3196</v>
      </c>
      <c r="B1690" s="5" t="s">
        <v>3197</v>
      </c>
      <c r="C1690" s="3" t="s">
        <v>5</v>
      </c>
    </row>
    <row r="1691" spans="1:3" ht="15.75" thickBot="1">
      <c r="A1691" s="6" t="s">
        <v>3198</v>
      </c>
      <c r="B1691" s="5" t="s">
        <v>3199</v>
      </c>
      <c r="C1691" s="3" t="s">
        <v>5</v>
      </c>
    </row>
    <row r="1692" spans="1:3" ht="15.75" thickBot="1">
      <c r="A1692" s="6" t="s">
        <v>3200</v>
      </c>
      <c r="B1692" s="5" t="s">
        <v>3201</v>
      </c>
      <c r="C1692" s="3" t="s">
        <v>5</v>
      </c>
    </row>
    <row r="1693" spans="1:3" ht="15.75" thickBot="1">
      <c r="A1693" s="6" t="s">
        <v>3202</v>
      </c>
      <c r="B1693" s="5" t="e">
        <f xml:space="preserve"> carbon resistor</f>
        <v>#NAME?</v>
      </c>
      <c r="C1693" s="3" t="s">
        <v>5</v>
      </c>
    </row>
    <row r="1694" spans="1:3" ht="15.75" thickBot="1">
      <c r="A1694" s="6" t="s">
        <v>3203</v>
      </c>
      <c r="B1694" s="5" t="s">
        <v>3204</v>
      </c>
      <c r="C1694" s="3" t="s">
        <v>5</v>
      </c>
    </row>
    <row r="1695" spans="1:3" ht="15.75" thickBot="1">
      <c r="A1695" s="6" t="s">
        <v>3203</v>
      </c>
      <c r="B1695" s="5" t="s">
        <v>3205</v>
      </c>
      <c r="C1695" s="3" t="s">
        <v>5</v>
      </c>
    </row>
    <row r="1696" spans="1:3" ht="15.75" thickBot="1">
      <c r="A1696" s="6" t="s">
        <v>3206</v>
      </c>
      <c r="B1696" s="5" t="s">
        <v>3207</v>
      </c>
      <c r="C1696" s="3" t="s">
        <v>5</v>
      </c>
    </row>
    <row r="1697" spans="1:3" ht="15.75" thickBot="1">
      <c r="A1697" s="6" t="s">
        <v>3208</v>
      </c>
      <c r="B1697" s="5" t="s">
        <v>3209</v>
      </c>
      <c r="C1697" s="3" t="s">
        <v>5</v>
      </c>
    </row>
    <row r="1698" spans="1:3" ht="15.75" thickBot="1">
      <c r="A1698" s="6" t="s">
        <v>3210</v>
      </c>
      <c r="B1698" s="5" t="s">
        <v>3211</v>
      </c>
      <c r="C1698" s="3" t="s">
        <v>5</v>
      </c>
    </row>
    <row r="1699" spans="1:3" ht="15.75" thickBot="1">
      <c r="A1699" s="6" t="s">
        <v>3212</v>
      </c>
      <c r="B1699" s="5" t="s">
        <v>3213</v>
      </c>
      <c r="C1699" s="3" t="s">
        <v>5</v>
      </c>
    </row>
    <row r="1700" spans="1:3" ht="15.75" thickBot="1">
      <c r="A1700" s="6" t="s">
        <v>3214</v>
      </c>
      <c r="B1700" s="5" t="s">
        <v>3215</v>
      </c>
      <c r="C1700" s="3" t="s">
        <v>5</v>
      </c>
    </row>
    <row r="1701" spans="1:3" ht="15.75" thickBot="1">
      <c r="A1701" s="6" t="s">
        <v>3216</v>
      </c>
      <c r="B1701" s="5" t="s">
        <v>3217</v>
      </c>
      <c r="C1701" s="3" t="s">
        <v>5</v>
      </c>
    </row>
    <row r="1702" spans="1:3" ht="15.75" thickBot="1">
      <c r="A1702" s="6" t="s">
        <v>3218</v>
      </c>
      <c r="B1702" s="5" t="s">
        <v>3219</v>
      </c>
      <c r="C1702" s="3" t="s">
        <v>5</v>
      </c>
    </row>
    <row r="1703" spans="1:3" ht="26.25" thickBot="1">
      <c r="A1703" s="6" t="s">
        <v>3220</v>
      </c>
      <c r="B1703" s="5" t="s">
        <v>3221</v>
      </c>
      <c r="C1703" s="3" t="s">
        <v>5</v>
      </c>
    </row>
    <row r="1704" spans="1:3" ht="15.75" thickBot="1">
      <c r="A1704" s="6" t="s">
        <v>3222</v>
      </c>
      <c r="B1704" s="5" t="s">
        <v>3223</v>
      </c>
      <c r="C1704" s="3" t="s">
        <v>5</v>
      </c>
    </row>
    <row r="1705" spans="1:3" ht="15.75" thickBot="1">
      <c r="A1705" s="6" t="s">
        <v>3224</v>
      </c>
      <c r="B1705" s="5" t="s">
        <v>3225</v>
      </c>
      <c r="C1705" s="3" t="s">
        <v>5</v>
      </c>
    </row>
    <row r="1706" spans="1:3" ht="15.75" thickBot="1">
      <c r="A1706" s="6" t="s">
        <v>3226</v>
      </c>
      <c r="B1706" s="5" t="s">
        <v>3227</v>
      </c>
      <c r="C1706" s="3" t="s">
        <v>5</v>
      </c>
    </row>
    <row r="1707" spans="1:3" ht="15.75" thickBot="1">
      <c r="A1707" s="6" t="s">
        <v>3228</v>
      </c>
      <c r="B1707" s="5" t="s">
        <v>3229</v>
      </c>
      <c r="C1707" s="3" t="s">
        <v>5</v>
      </c>
    </row>
    <row r="1708" spans="1:3" ht="15.75" thickBot="1">
      <c r="A1708" s="6" t="s">
        <v>3230</v>
      </c>
      <c r="B1708" s="5" t="s">
        <v>3231</v>
      </c>
      <c r="C1708" s="3" t="s">
        <v>5</v>
      </c>
    </row>
    <row r="1709" spans="1:3" ht="15.75" thickBot="1">
      <c r="A1709" s="6" t="s">
        <v>3230</v>
      </c>
      <c r="B1709" s="5" t="s">
        <v>3231</v>
      </c>
      <c r="C1709" s="3" t="s">
        <v>5</v>
      </c>
    </row>
    <row r="1710" spans="1:3" ht="15.75" thickBot="1">
      <c r="A1710" s="6" t="s">
        <v>3232</v>
      </c>
      <c r="B1710" s="5" t="s">
        <v>3233</v>
      </c>
      <c r="C1710" s="3" t="s">
        <v>5</v>
      </c>
    </row>
    <row r="1711" spans="1:3" ht="15.75" thickBot="1">
      <c r="A1711" s="6" t="s">
        <v>3234</v>
      </c>
      <c r="B1711" s="5" t="s">
        <v>3235</v>
      </c>
      <c r="C1711" s="3" t="s">
        <v>5</v>
      </c>
    </row>
    <row r="1712" spans="1:3" ht="15.75" thickBot="1">
      <c r="A1712" s="6" t="s">
        <v>3236</v>
      </c>
      <c r="B1712" s="5" t="s">
        <v>3237</v>
      </c>
      <c r="C1712" s="3" t="s">
        <v>5</v>
      </c>
    </row>
    <row r="1713" spans="1:3" ht="15.75" thickBot="1">
      <c r="A1713" s="6" t="s">
        <v>3238</v>
      </c>
      <c r="B1713" s="5" t="s">
        <v>3239</v>
      </c>
      <c r="C1713" s="3" t="s">
        <v>5</v>
      </c>
    </row>
    <row r="1714" spans="1:3" ht="15.75" thickBot="1">
      <c r="A1714" s="6" t="s">
        <v>3240</v>
      </c>
      <c r="B1714" s="5" t="s">
        <v>3241</v>
      </c>
      <c r="C1714" s="3" t="s">
        <v>5</v>
      </c>
    </row>
    <row r="1715" spans="1:3" ht="15.75" thickBot="1">
      <c r="A1715" s="6" t="s">
        <v>3242</v>
      </c>
      <c r="B1715" s="5" t="s">
        <v>3243</v>
      </c>
      <c r="C1715" s="3" t="s">
        <v>5</v>
      </c>
    </row>
    <row r="1716" spans="1:3" ht="15.75" thickBot="1">
      <c r="A1716" s="6" t="s">
        <v>3244</v>
      </c>
      <c r="B1716" s="5" t="s">
        <v>3245</v>
      </c>
      <c r="C1716" s="3" t="s">
        <v>5</v>
      </c>
    </row>
    <row r="1717" spans="1:3" ht="26.25" thickBot="1">
      <c r="A1717" s="6" t="s">
        <v>3246</v>
      </c>
      <c r="B1717" s="5" t="s">
        <v>3247</v>
      </c>
      <c r="C1717" s="3" t="s">
        <v>5</v>
      </c>
    </row>
    <row r="1718" spans="1:3" ht="15.75" thickBot="1">
      <c r="A1718" s="6" t="s">
        <v>3248</v>
      </c>
      <c r="B1718" s="5" t="s">
        <v>3249</v>
      </c>
      <c r="C1718" s="3" t="s">
        <v>5</v>
      </c>
    </row>
    <row r="1719" spans="1:3" ht="15.75" thickBot="1">
      <c r="A1719" s="6" t="s">
        <v>3250</v>
      </c>
      <c r="B1719" s="5" t="s">
        <v>3251</v>
      </c>
      <c r="C1719" s="3" t="s">
        <v>5</v>
      </c>
    </row>
    <row r="1720" spans="1:3" ht="15.75" thickBot="1">
      <c r="A1720" s="6" t="s">
        <v>3252</v>
      </c>
      <c r="B1720" s="5" t="s">
        <v>3253</v>
      </c>
      <c r="C1720" s="3" t="s">
        <v>5</v>
      </c>
    </row>
    <row r="1721" spans="1:3" ht="15.75" thickBot="1">
      <c r="A1721" s="6" t="s">
        <v>3254</v>
      </c>
      <c r="B1721" s="5" t="s">
        <v>3255</v>
      </c>
      <c r="C1721" s="3" t="s">
        <v>5</v>
      </c>
    </row>
    <row r="1722" spans="1:3" ht="15.75" thickBot="1">
      <c r="A1722" s="6" t="s">
        <v>3256</v>
      </c>
      <c r="B1722" s="5" t="s">
        <v>3257</v>
      </c>
      <c r="C1722" s="3" t="s">
        <v>5</v>
      </c>
    </row>
    <row r="1723" spans="1:3" ht="15.75" thickBot="1">
      <c r="A1723" s="6" t="s">
        <v>3258</v>
      </c>
      <c r="B1723" s="5" t="s">
        <v>3259</v>
      </c>
      <c r="C1723" s="3" t="s">
        <v>5</v>
      </c>
    </row>
    <row r="1724" spans="1:3" ht="15.75" thickBot="1">
      <c r="A1724" s="6" t="s">
        <v>3260</v>
      </c>
      <c r="B1724" s="5" t="s">
        <v>3261</v>
      </c>
      <c r="C1724" s="3" t="s">
        <v>5</v>
      </c>
    </row>
    <row r="1725" spans="1:3">
      <c r="A1725" s="1" t="s">
        <v>3262</v>
      </c>
      <c r="B1725" s="2" t="s">
        <v>3263</v>
      </c>
      <c r="C1725" s="3" t="s">
        <v>5</v>
      </c>
    </row>
    <row r="1726" spans="1:3" ht="15.75" thickBot="1">
      <c r="A1726" s="4"/>
      <c r="B1726" s="5" t="s">
        <v>227</v>
      </c>
      <c r="C1726" s="3" t="s">
        <v>5</v>
      </c>
    </row>
    <row r="1727" spans="1:3" ht="15.75" thickBot="1">
      <c r="A1727" s="6" t="s">
        <v>3264</v>
      </c>
      <c r="B1727" s="5" t="s">
        <v>3265</v>
      </c>
      <c r="C1727" s="3" t="s">
        <v>5</v>
      </c>
    </row>
    <row r="1728" spans="1:3" ht="15.75" thickBot="1">
      <c r="A1728" s="6" t="s">
        <v>3266</v>
      </c>
      <c r="B1728" s="5" t="s">
        <v>3267</v>
      </c>
      <c r="C1728" s="3" t="s">
        <v>5</v>
      </c>
    </row>
    <row r="1729" spans="1:3" ht="15.75" thickBot="1">
      <c r="A1729" s="6" t="s">
        <v>3268</v>
      </c>
      <c r="B1729" s="5" t="s">
        <v>3269</v>
      </c>
      <c r="C1729" s="3" t="s">
        <v>5</v>
      </c>
    </row>
    <row r="1730" spans="1:3" ht="15.75" thickBot="1">
      <c r="A1730" s="6" t="s">
        <v>3270</v>
      </c>
      <c r="B1730" s="5" t="s">
        <v>3271</v>
      </c>
      <c r="C1730" s="3" t="s">
        <v>5</v>
      </c>
    </row>
    <row r="1731" spans="1:3" ht="15.75" thickBot="1">
      <c r="A1731" s="6" t="s">
        <v>3272</v>
      </c>
      <c r="B1731" s="5" t="s">
        <v>3273</v>
      </c>
      <c r="C1731" s="3" t="s">
        <v>5</v>
      </c>
    </row>
    <row r="1732" spans="1:3" ht="15.75" thickBot="1">
      <c r="A1732" s="6" t="s">
        <v>3274</v>
      </c>
      <c r="B1732" s="5" t="s">
        <v>3275</v>
      </c>
      <c r="C1732" s="3" t="s">
        <v>5</v>
      </c>
    </row>
    <row r="1733" spans="1:3" ht="15.75" thickBot="1">
      <c r="A1733" s="6" t="s">
        <v>3276</v>
      </c>
      <c r="B1733" s="5" t="s">
        <v>3277</v>
      </c>
      <c r="C1733" s="3" t="s">
        <v>5</v>
      </c>
    </row>
    <row r="1734" spans="1:3" ht="15.75" thickBot="1">
      <c r="A1734" s="6" t="s">
        <v>3278</v>
      </c>
      <c r="B1734" s="5" t="s">
        <v>3279</v>
      </c>
      <c r="C1734" s="3" t="s">
        <v>5</v>
      </c>
    </row>
    <row r="1735" spans="1:3" ht="15.75" thickBot="1">
      <c r="A1735" s="6" t="s">
        <v>3280</v>
      </c>
      <c r="B1735" s="5" t="s">
        <v>3281</v>
      </c>
      <c r="C1735" s="3" t="s">
        <v>5</v>
      </c>
    </row>
    <row r="1736" spans="1:3" ht="15.75" thickBot="1">
      <c r="A1736" s="6" t="s">
        <v>3282</v>
      </c>
      <c r="B1736" s="5" t="s">
        <v>3283</v>
      </c>
      <c r="C1736" s="3" t="s">
        <v>5</v>
      </c>
    </row>
    <row r="1737" spans="1:3" ht="15.75" thickBot="1">
      <c r="A1737" s="6" t="s">
        <v>3284</v>
      </c>
      <c r="B1737" s="5" t="s">
        <v>3285</v>
      </c>
      <c r="C1737" s="3" t="s">
        <v>5</v>
      </c>
    </row>
    <row r="1738" spans="1:3" ht="15.75" thickBot="1">
      <c r="A1738" s="6" t="s">
        <v>3286</v>
      </c>
      <c r="B1738" s="5" t="s">
        <v>3287</v>
      </c>
      <c r="C1738" s="3" t="s">
        <v>5</v>
      </c>
    </row>
    <row r="1739" spans="1:3" ht="15.75" thickBot="1">
      <c r="A1739" s="6" t="s">
        <v>3288</v>
      </c>
      <c r="B1739" s="5" t="s">
        <v>3289</v>
      </c>
      <c r="C1739" s="3" t="s">
        <v>5</v>
      </c>
    </row>
    <row r="1740" spans="1:3" ht="15.75" thickBot="1">
      <c r="A1740" s="6" t="s">
        <v>3290</v>
      </c>
      <c r="B1740" s="5" t="s">
        <v>3291</v>
      </c>
      <c r="C1740" s="3" t="s">
        <v>5</v>
      </c>
    </row>
    <row r="1741" spans="1:3" ht="15.75" thickBot="1">
      <c r="A1741" s="6" t="s">
        <v>3292</v>
      </c>
      <c r="B1741" s="5" t="s">
        <v>3293</v>
      </c>
      <c r="C1741" s="3" t="s">
        <v>5</v>
      </c>
    </row>
    <row r="1742" spans="1:3" ht="15.75" thickBot="1">
      <c r="A1742" s="6" t="s">
        <v>3294</v>
      </c>
      <c r="B1742" s="5" t="s">
        <v>3295</v>
      </c>
      <c r="C1742" s="3" t="s">
        <v>5</v>
      </c>
    </row>
    <row r="1743" spans="1:3" ht="15.75" thickBot="1">
      <c r="A1743" s="6" t="s">
        <v>3296</v>
      </c>
      <c r="B1743" s="5" t="s">
        <v>3297</v>
      </c>
      <c r="C1743" s="3" t="s">
        <v>5</v>
      </c>
    </row>
    <row r="1744" spans="1:3" ht="15.75" thickBot="1">
      <c r="A1744" s="6" t="s">
        <v>3298</v>
      </c>
      <c r="B1744" s="5" t="s">
        <v>3299</v>
      </c>
      <c r="C1744" s="3" t="s">
        <v>5</v>
      </c>
    </row>
    <row r="1745" spans="1:3" ht="15.75" thickBot="1">
      <c r="A1745" s="6" t="s">
        <v>3300</v>
      </c>
      <c r="B1745" s="5" t="s">
        <v>3301</v>
      </c>
      <c r="C1745" s="3" t="s">
        <v>5</v>
      </c>
    </row>
    <row r="1746" spans="1:3" ht="15.75" thickBot="1">
      <c r="A1746" s="6" t="s">
        <v>3302</v>
      </c>
      <c r="B1746" s="5" t="s">
        <v>3303</v>
      </c>
      <c r="C1746" s="3" t="s">
        <v>5</v>
      </c>
    </row>
    <row r="1747" spans="1:3" ht="15.75" thickBot="1">
      <c r="A1747" s="6" t="s">
        <v>3304</v>
      </c>
      <c r="B1747" s="5" t="s">
        <v>3305</v>
      </c>
      <c r="C1747" s="3" t="s">
        <v>5</v>
      </c>
    </row>
    <row r="1748" spans="1:3" ht="15.75" thickBot="1">
      <c r="A1748" s="6" t="s">
        <v>3306</v>
      </c>
      <c r="B1748" s="5" t="s">
        <v>3307</v>
      </c>
      <c r="C1748" s="3" t="s">
        <v>5</v>
      </c>
    </row>
    <row r="1749" spans="1:3" ht="15.75" thickBot="1">
      <c r="A1749" s="6" t="s">
        <v>3308</v>
      </c>
      <c r="B1749" s="5" t="s">
        <v>3309</v>
      </c>
      <c r="C1749" s="3" t="s">
        <v>5</v>
      </c>
    </row>
    <row r="1750" spans="1:3" ht="15.75" thickBot="1">
      <c r="A1750" s="6" t="s">
        <v>3310</v>
      </c>
      <c r="B1750" s="5" t="s">
        <v>3311</v>
      </c>
      <c r="C1750" s="3" t="s">
        <v>5</v>
      </c>
    </row>
    <row r="1751" spans="1:3" ht="15.75" thickBot="1">
      <c r="A1751" s="6" t="s">
        <v>3312</v>
      </c>
      <c r="B1751" s="5" t="s">
        <v>3313</v>
      </c>
      <c r="C1751" s="3" t="s">
        <v>5</v>
      </c>
    </row>
    <row r="1752" spans="1:3" ht="15.75" thickBot="1">
      <c r="A1752" s="6" t="s">
        <v>3314</v>
      </c>
      <c r="B1752" s="5" t="s">
        <v>3315</v>
      </c>
      <c r="C1752" s="3" t="s">
        <v>5</v>
      </c>
    </row>
    <row r="1753" spans="1:3" ht="15.75" thickBot="1">
      <c r="A1753" s="6" t="s">
        <v>3316</v>
      </c>
      <c r="B1753" s="5" t="s">
        <v>3317</v>
      </c>
      <c r="C1753" s="3" t="s">
        <v>5</v>
      </c>
    </row>
    <row r="1754" spans="1:3" ht="15.75" thickBot="1">
      <c r="A1754" s="6" t="s">
        <v>3318</v>
      </c>
      <c r="B1754" s="5" t="s">
        <v>3319</v>
      </c>
      <c r="C1754" s="3" t="s">
        <v>5</v>
      </c>
    </row>
    <row r="1755" spans="1:3" ht="15.75" thickBot="1">
      <c r="A1755" s="6" t="s">
        <v>3320</v>
      </c>
      <c r="B1755" s="5" t="s">
        <v>3321</v>
      </c>
      <c r="C1755" s="3" t="s">
        <v>5</v>
      </c>
    </row>
    <row r="1756" spans="1:3" ht="15.75" thickBot="1">
      <c r="A1756" s="6" t="s">
        <v>3322</v>
      </c>
      <c r="B1756" s="5" t="s">
        <v>3323</v>
      </c>
      <c r="C1756" s="3" t="s">
        <v>5</v>
      </c>
    </row>
    <row r="1757" spans="1:3" ht="15.75" thickBot="1">
      <c r="A1757" s="6" t="s">
        <v>3324</v>
      </c>
      <c r="B1757" s="5" t="s">
        <v>3325</v>
      </c>
      <c r="C1757" s="3" t="s">
        <v>5</v>
      </c>
    </row>
    <row r="1758" spans="1:3" ht="15.75" thickBot="1">
      <c r="A1758" s="6" t="s">
        <v>3326</v>
      </c>
      <c r="B1758" s="5" t="s">
        <v>3327</v>
      </c>
      <c r="C1758" s="3" t="s">
        <v>5</v>
      </c>
    </row>
    <row r="1759" spans="1:3" ht="15.75" thickBot="1">
      <c r="A1759" s="6" t="s">
        <v>3328</v>
      </c>
      <c r="B1759" s="5" t="s">
        <v>3329</v>
      </c>
      <c r="C1759" s="3" t="s">
        <v>5</v>
      </c>
    </row>
    <row r="1760" spans="1:3" ht="25.5">
      <c r="A1760" s="1" t="s">
        <v>3330</v>
      </c>
      <c r="B1760" s="2" t="s">
        <v>3331</v>
      </c>
      <c r="C1760" s="3" t="s">
        <v>5</v>
      </c>
    </row>
    <row r="1761" spans="1:3" ht="90" thickBot="1">
      <c r="A1761" s="4"/>
      <c r="B1761" s="5" t="s">
        <v>3332</v>
      </c>
      <c r="C1761" s="3" t="s">
        <v>5</v>
      </c>
    </row>
    <row r="1762" spans="1:3">
      <c r="A1762" s="1" t="s">
        <v>3333</v>
      </c>
      <c r="B1762" s="2" t="s">
        <v>3334</v>
      </c>
      <c r="C1762" s="3" t="s">
        <v>5</v>
      </c>
    </row>
    <row r="1763" spans="1:3" ht="15.75" thickBot="1">
      <c r="A1763" s="4"/>
      <c r="B1763" s="5" t="s">
        <v>3335</v>
      </c>
      <c r="C1763" s="3" t="s">
        <v>5</v>
      </c>
    </row>
    <row r="1764" spans="1:3" ht="15.75" thickBot="1">
      <c r="A1764" s="6" t="s">
        <v>3336</v>
      </c>
      <c r="B1764" s="5" t="s">
        <v>3337</v>
      </c>
      <c r="C1764" s="3" t="s">
        <v>5</v>
      </c>
    </row>
    <row r="1765" spans="1:3" ht="15.75" thickBot="1">
      <c r="A1765" s="6" t="s">
        <v>3338</v>
      </c>
      <c r="B1765" s="5" t="s">
        <v>3339</v>
      </c>
      <c r="C1765" s="3" t="s">
        <v>5</v>
      </c>
    </row>
    <row r="1766" spans="1:3" ht="15.75" thickBot="1">
      <c r="A1766" s="6" t="s">
        <v>3340</v>
      </c>
      <c r="B1766" s="5" t="s">
        <v>3341</v>
      </c>
      <c r="C1766" s="3" t="s">
        <v>5</v>
      </c>
    </row>
    <row r="1767" spans="1:3" ht="15.75" thickBot="1">
      <c r="A1767" s="6" t="s">
        <v>3342</v>
      </c>
      <c r="B1767" s="5" t="s">
        <v>3343</v>
      </c>
      <c r="C1767" s="3" t="s">
        <v>5</v>
      </c>
    </row>
    <row r="1768" spans="1:3" ht="15.75" thickBot="1">
      <c r="A1768" s="6" t="s">
        <v>3342</v>
      </c>
      <c r="B1768" s="5" t="s">
        <v>3344</v>
      </c>
      <c r="C1768" s="3" t="s">
        <v>5</v>
      </c>
    </row>
    <row r="1769" spans="1:3" ht="15.75" thickBot="1">
      <c r="A1769" s="6" t="s">
        <v>3345</v>
      </c>
      <c r="B1769" s="5" t="s">
        <v>3346</v>
      </c>
      <c r="C1769" s="3" t="s">
        <v>5</v>
      </c>
    </row>
    <row r="1770" spans="1:3" ht="15.75" thickBot="1">
      <c r="A1770" s="6" t="s">
        <v>3347</v>
      </c>
      <c r="B1770" s="5" t="s">
        <v>3348</v>
      </c>
      <c r="C1770" s="3" t="s">
        <v>5</v>
      </c>
    </row>
    <row r="1771" spans="1:3" ht="15.75" thickBot="1">
      <c r="A1771" s="6" t="s">
        <v>3349</v>
      </c>
      <c r="B1771" s="5" t="s">
        <v>3350</v>
      </c>
      <c r="C1771" s="3" t="s">
        <v>5</v>
      </c>
    </row>
    <row r="1772" spans="1:3" ht="15.75" thickBot="1">
      <c r="A1772" s="6" t="s">
        <v>3351</v>
      </c>
      <c r="B1772" s="5" t="s">
        <v>3352</v>
      </c>
      <c r="C1772" s="3" t="s">
        <v>5</v>
      </c>
    </row>
    <row r="1773" spans="1:3" ht="25.5">
      <c r="A1773" s="1" t="s">
        <v>3353</v>
      </c>
      <c r="B1773" s="2" t="s">
        <v>3354</v>
      </c>
      <c r="C1773" s="3" t="s">
        <v>5</v>
      </c>
    </row>
    <row r="1774" spans="1:3" ht="26.25" thickBot="1">
      <c r="A1774" s="4"/>
      <c r="B1774" s="5" t="s">
        <v>3355</v>
      </c>
      <c r="C1774" s="3" t="s">
        <v>5</v>
      </c>
    </row>
    <row r="1775" spans="1:3" ht="15.75" thickBot="1">
      <c r="A1775" s="6" t="s">
        <v>3356</v>
      </c>
      <c r="B1775" s="5" t="s">
        <v>3357</v>
      </c>
      <c r="C1775" s="3" t="s">
        <v>5</v>
      </c>
    </row>
    <row r="1776" spans="1:3" ht="15.75" thickBot="1">
      <c r="A1776" s="6" t="s">
        <v>3358</v>
      </c>
      <c r="B1776" s="5" t="s">
        <v>3359</v>
      </c>
      <c r="C1776" s="3" t="s">
        <v>5</v>
      </c>
    </row>
    <row r="1777" spans="1:3" ht="15.75" thickBot="1">
      <c r="A1777" s="6" t="s">
        <v>3360</v>
      </c>
      <c r="B1777" s="5" t="s">
        <v>3361</v>
      </c>
      <c r="C1777" s="3" t="s">
        <v>5</v>
      </c>
    </row>
    <row r="1778" spans="1:3" ht="15.75" thickBot="1">
      <c r="A1778" s="6" t="s">
        <v>3362</v>
      </c>
      <c r="B1778" s="5" t="s">
        <v>3363</v>
      </c>
      <c r="C1778" s="3" t="s">
        <v>5</v>
      </c>
    </row>
    <row r="1779" spans="1:3" ht="15.75" thickBot="1">
      <c r="A1779" s="6" t="s">
        <v>3364</v>
      </c>
      <c r="B1779" s="5" t="s">
        <v>3365</v>
      </c>
      <c r="C1779" s="3" t="s">
        <v>5</v>
      </c>
    </row>
    <row r="1780" spans="1:3" ht="15.75" thickBot="1">
      <c r="A1780" s="6" t="s">
        <v>3366</v>
      </c>
      <c r="B1780" s="5" t="s">
        <v>3367</v>
      </c>
      <c r="C1780" s="3" t="s">
        <v>5</v>
      </c>
    </row>
    <row r="1781" spans="1:3" ht="15.75" thickBot="1">
      <c r="A1781" s="6" t="s">
        <v>3368</v>
      </c>
      <c r="B1781" s="5" t="s">
        <v>3369</v>
      </c>
      <c r="C1781" s="3" t="s">
        <v>5</v>
      </c>
    </row>
    <row r="1782" spans="1:3" ht="15.75" thickBot="1">
      <c r="A1782" s="6" t="s">
        <v>3370</v>
      </c>
      <c r="B1782" s="5" t="s">
        <v>3371</v>
      </c>
      <c r="C1782" s="3" t="s">
        <v>5</v>
      </c>
    </row>
    <row r="1783" spans="1:3" ht="15.75" thickBot="1">
      <c r="A1783" s="6" t="s">
        <v>3372</v>
      </c>
      <c r="B1783" s="5" t="s">
        <v>3373</v>
      </c>
      <c r="C1783" s="3" t="s">
        <v>5</v>
      </c>
    </row>
    <row r="1784" spans="1:3" ht="15.75" thickBot="1">
      <c r="A1784" s="6" t="s">
        <v>3374</v>
      </c>
      <c r="B1784" s="5" t="s">
        <v>3375</v>
      </c>
      <c r="C1784" s="3" t="s">
        <v>5</v>
      </c>
    </row>
    <row r="1785" spans="1:3" ht="15.75" thickBot="1">
      <c r="A1785" s="6" t="s">
        <v>3376</v>
      </c>
      <c r="B1785" s="5" t="s">
        <v>3377</v>
      </c>
      <c r="C1785" s="3" t="s">
        <v>5</v>
      </c>
    </row>
    <row r="1786" spans="1:3" ht="15.75" thickBot="1">
      <c r="A1786" s="6" t="s">
        <v>3378</v>
      </c>
      <c r="B1786" s="5" t="s">
        <v>3379</v>
      </c>
      <c r="C1786" s="3" t="s">
        <v>5</v>
      </c>
    </row>
    <row r="1787" spans="1:3" ht="15.75" thickBot="1">
      <c r="A1787" s="6" t="s">
        <v>3380</v>
      </c>
      <c r="B1787" s="5" t="s">
        <v>3381</v>
      </c>
      <c r="C1787" s="3" t="s">
        <v>5</v>
      </c>
    </row>
    <row r="1788" spans="1:3" ht="15.75" thickBot="1">
      <c r="A1788" s="6" t="s">
        <v>3382</v>
      </c>
      <c r="B1788" s="5" t="s">
        <v>3383</v>
      </c>
      <c r="C1788" s="3" t="s">
        <v>5</v>
      </c>
    </row>
    <row r="1789" spans="1:3" ht="15.75" thickBot="1">
      <c r="A1789" s="6" t="s">
        <v>3384</v>
      </c>
      <c r="B1789" s="5" t="s">
        <v>3385</v>
      </c>
      <c r="C1789" s="3" t="s">
        <v>5</v>
      </c>
    </row>
    <row r="1790" spans="1:3" ht="15.75" thickBot="1">
      <c r="A1790" s="6" t="s">
        <v>3386</v>
      </c>
      <c r="B1790" s="5" t="s">
        <v>3387</v>
      </c>
      <c r="C1790" s="3" t="s">
        <v>5</v>
      </c>
    </row>
    <row r="1791" spans="1:3" ht="15.75" thickBot="1">
      <c r="A1791" s="6" t="s">
        <v>3388</v>
      </c>
      <c r="B1791" s="5" t="s">
        <v>3389</v>
      </c>
      <c r="C1791" s="3" t="s">
        <v>5</v>
      </c>
    </row>
    <row r="1792" spans="1:3" ht="15.75" thickBot="1">
      <c r="A1792" s="6" t="s">
        <v>3390</v>
      </c>
      <c r="B1792" s="5" t="s">
        <v>3391</v>
      </c>
      <c r="C1792" s="3" t="s">
        <v>5</v>
      </c>
    </row>
    <row r="1793" spans="1:3" ht="15.75" thickBot="1">
      <c r="A1793" s="6" t="s">
        <v>3392</v>
      </c>
      <c r="B1793" s="5" t="s">
        <v>3393</v>
      </c>
      <c r="C1793" s="3" t="s">
        <v>5</v>
      </c>
    </row>
    <row r="1794" spans="1:3" ht="15.75" thickBot="1">
      <c r="A1794" s="6" t="s">
        <v>3394</v>
      </c>
      <c r="B1794" s="5" t="s">
        <v>3395</v>
      </c>
      <c r="C1794" s="3" t="s">
        <v>5</v>
      </c>
    </row>
    <row r="1795" spans="1:3" ht="15.75" thickBot="1">
      <c r="A1795" s="6" t="s">
        <v>3396</v>
      </c>
      <c r="B1795" s="5" t="s">
        <v>3397</v>
      </c>
      <c r="C1795" s="3" t="s">
        <v>5</v>
      </c>
    </row>
    <row r="1796" spans="1:3" ht="15.75" thickBot="1">
      <c r="A1796" s="6" t="s">
        <v>3398</v>
      </c>
      <c r="B1796" s="5" t="s">
        <v>3399</v>
      </c>
      <c r="C1796" s="3" t="s">
        <v>5</v>
      </c>
    </row>
    <row r="1797" spans="1:3" ht="15.75" thickBot="1">
      <c r="A1797" s="6" t="s">
        <v>3400</v>
      </c>
      <c r="B1797" s="5" t="s">
        <v>3401</v>
      </c>
      <c r="C1797" s="3" t="s">
        <v>5</v>
      </c>
    </row>
    <row r="1798" spans="1:3" ht="15.75" thickBot="1">
      <c r="A1798" s="6" t="s">
        <v>3402</v>
      </c>
      <c r="B1798" s="5" t="s">
        <v>3403</v>
      </c>
      <c r="C1798" s="3" t="s">
        <v>5</v>
      </c>
    </row>
    <row r="1799" spans="1:3" ht="15.75" thickBot="1">
      <c r="A1799" s="6" t="s">
        <v>3404</v>
      </c>
      <c r="B1799" s="5" t="s">
        <v>3405</v>
      </c>
      <c r="C1799" s="3" t="s">
        <v>5</v>
      </c>
    </row>
    <row r="1800" spans="1:3" ht="15.75" thickBot="1">
      <c r="A1800" s="6" t="s">
        <v>3406</v>
      </c>
      <c r="B1800" s="5" t="s">
        <v>3407</v>
      </c>
      <c r="C1800" s="3" t="s">
        <v>5</v>
      </c>
    </row>
    <row r="1801" spans="1:3" ht="15.75" thickBot="1">
      <c r="A1801" s="6" t="s">
        <v>3408</v>
      </c>
      <c r="B1801" s="5" t="s">
        <v>3409</v>
      </c>
      <c r="C1801" s="3" t="s">
        <v>5</v>
      </c>
    </row>
    <row r="1802" spans="1:3" ht="15.75" thickBot="1">
      <c r="A1802" s="6" t="s">
        <v>3410</v>
      </c>
      <c r="B1802" s="5" t="s">
        <v>3411</v>
      </c>
      <c r="C1802" s="3" t="s">
        <v>5</v>
      </c>
    </row>
    <row r="1803" spans="1:3" ht="15.75" thickBot="1">
      <c r="A1803" s="6" t="s">
        <v>3412</v>
      </c>
      <c r="B1803" s="5" t="s">
        <v>3413</v>
      </c>
      <c r="C1803" s="3" t="s">
        <v>5</v>
      </c>
    </row>
    <row r="1804" spans="1:3" ht="15.75" thickBot="1">
      <c r="A1804" s="6" t="s">
        <v>3414</v>
      </c>
      <c r="B1804" s="5" t="s">
        <v>3415</v>
      </c>
      <c r="C1804" s="3" t="s">
        <v>5</v>
      </c>
    </row>
    <row r="1805" spans="1:3" ht="15.75" thickBot="1">
      <c r="A1805" s="6" t="s">
        <v>3416</v>
      </c>
      <c r="B1805" s="5" t="s">
        <v>3417</v>
      </c>
      <c r="C1805" s="3" t="s">
        <v>5</v>
      </c>
    </row>
    <row r="1806" spans="1:3" ht="15.75" thickBot="1">
      <c r="A1806" s="6" t="s">
        <v>3418</v>
      </c>
      <c r="B1806" s="5" t="s">
        <v>3419</v>
      </c>
      <c r="C1806" s="3" t="s">
        <v>5</v>
      </c>
    </row>
    <row r="1807" spans="1:3" ht="15.75" thickBot="1">
      <c r="A1807" s="6" t="s">
        <v>3420</v>
      </c>
      <c r="B1807" s="5" t="s">
        <v>3421</v>
      </c>
      <c r="C1807" s="3" t="s">
        <v>5</v>
      </c>
    </row>
    <row r="1808" spans="1:3" ht="15.75" thickBot="1">
      <c r="A1808" s="6" t="s">
        <v>3422</v>
      </c>
      <c r="B1808" s="5" t="s">
        <v>3423</v>
      </c>
      <c r="C1808" s="3" t="s">
        <v>5</v>
      </c>
    </row>
    <row r="1809" spans="1:3" ht="15.75" thickBot="1">
      <c r="A1809" s="6" t="s">
        <v>3424</v>
      </c>
      <c r="B1809" s="5" t="s">
        <v>3425</v>
      </c>
      <c r="C1809" s="3" t="s">
        <v>5</v>
      </c>
    </row>
    <row r="1810" spans="1:3" ht="15.75" thickBot="1">
      <c r="A1810" s="6" t="s">
        <v>3426</v>
      </c>
      <c r="B1810" s="5" t="s">
        <v>3427</v>
      </c>
      <c r="C1810" s="3" t="s">
        <v>5</v>
      </c>
    </row>
    <row r="1811" spans="1:3">
      <c r="A1811" s="1" t="s">
        <v>3428</v>
      </c>
      <c r="B1811" s="2" t="s">
        <v>3429</v>
      </c>
      <c r="C1811" s="3" t="s">
        <v>5</v>
      </c>
    </row>
    <row r="1812" spans="1:3" ht="15.75" thickBot="1">
      <c r="A1812" s="4"/>
      <c r="B1812" s="5" t="s">
        <v>3430</v>
      </c>
      <c r="C1812" s="3" t="s">
        <v>5</v>
      </c>
    </row>
    <row r="1813" spans="1:3" ht="15.75" thickBot="1">
      <c r="A1813" s="6" t="s">
        <v>3431</v>
      </c>
      <c r="B1813" s="5" t="s">
        <v>3432</v>
      </c>
      <c r="C1813" s="3" t="s">
        <v>5</v>
      </c>
    </row>
    <row r="1814" spans="1:3" ht="15.75" thickBot="1">
      <c r="A1814" s="6" t="s">
        <v>3433</v>
      </c>
      <c r="B1814" s="5" t="s">
        <v>3434</v>
      </c>
      <c r="C1814" s="3" t="s">
        <v>5</v>
      </c>
    </row>
    <row r="1815" spans="1:3" ht="15.75" thickBot="1">
      <c r="A1815" s="6" t="s">
        <v>3435</v>
      </c>
      <c r="B1815" s="5" t="s">
        <v>3436</v>
      </c>
      <c r="C1815" s="3" t="s">
        <v>5</v>
      </c>
    </row>
    <row r="1816" spans="1:3" ht="15.75" thickBot="1">
      <c r="A1816" s="6" t="s">
        <v>3437</v>
      </c>
      <c r="B1816" s="5" t="s">
        <v>3438</v>
      </c>
      <c r="C1816" s="3" t="s">
        <v>5</v>
      </c>
    </row>
    <row r="1817" spans="1:3" ht="15.75" thickBot="1">
      <c r="A1817" s="6" t="s">
        <v>3439</v>
      </c>
      <c r="B1817" s="5" t="s">
        <v>3440</v>
      </c>
      <c r="C1817" s="3" t="s">
        <v>5</v>
      </c>
    </row>
    <row r="1818" spans="1:3" ht="15.75" thickBot="1">
      <c r="A1818" s="6" t="s">
        <v>3441</v>
      </c>
      <c r="B1818" s="5" t="s">
        <v>3442</v>
      </c>
      <c r="C1818" s="3" t="s">
        <v>5</v>
      </c>
    </row>
    <row r="1819" spans="1:3" ht="15.75" thickBot="1">
      <c r="A1819" s="6" t="s">
        <v>3443</v>
      </c>
      <c r="B1819" s="5" t="s">
        <v>3444</v>
      </c>
      <c r="C1819" s="3" t="s">
        <v>5</v>
      </c>
    </row>
    <row r="1820" spans="1:3" ht="15.75" thickBot="1">
      <c r="A1820" s="6" t="s">
        <v>3445</v>
      </c>
      <c r="B1820" s="5" t="s">
        <v>3446</v>
      </c>
      <c r="C1820" s="3" t="s">
        <v>5</v>
      </c>
    </row>
    <row r="1821" spans="1:3" ht="15.75" thickBot="1">
      <c r="A1821" s="6" t="s">
        <v>3447</v>
      </c>
      <c r="B1821" s="5" t="s">
        <v>3448</v>
      </c>
      <c r="C1821" s="3" t="s">
        <v>5</v>
      </c>
    </row>
    <row r="1822" spans="1:3" ht="15.75" thickBot="1">
      <c r="A1822" s="6" t="s">
        <v>3449</v>
      </c>
      <c r="B1822" s="5" t="s">
        <v>3450</v>
      </c>
      <c r="C1822" s="3" t="s">
        <v>5</v>
      </c>
    </row>
    <row r="1823" spans="1:3" ht="15.75" thickBot="1">
      <c r="A1823" s="6" t="s">
        <v>3451</v>
      </c>
      <c r="B1823" s="5" t="s">
        <v>3452</v>
      </c>
      <c r="C1823" s="3" t="s">
        <v>5</v>
      </c>
    </row>
    <row r="1824" spans="1:3" ht="15.75" thickBot="1">
      <c r="A1824" s="6" t="s">
        <v>3453</v>
      </c>
      <c r="B1824" s="5" t="s">
        <v>3454</v>
      </c>
      <c r="C1824" s="3" t="s">
        <v>5</v>
      </c>
    </row>
    <row r="1825" spans="1:3" ht="15.75" thickBot="1">
      <c r="A1825" s="6" t="s">
        <v>3455</v>
      </c>
      <c r="B1825" s="5" t="s">
        <v>3456</v>
      </c>
      <c r="C1825" s="3" t="s">
        <v>5</v>
      </c>
    </row>
    <row r="1826" spans="1:3" ht="15.75" thickBot="1">
      <c r="A1826" s="6" t="s">
        <v>3457</v>
      </c>
      <c r="B1826" s="5" t="s">
        <v>3458</v>
      </c>
      <c r="C1826" s="3" t="s">
        <v>5</v>
      </c>
    </row>
    <row r="1827" spans="1:3" ht="15.75" thickBot="1">
      <c r="A1827" s="6" t="s">
        <v>3459</v>
      </c>
      <c r="B1827" s="5" t="s">
        <v>3460</v>
      </c>
      <c r="C1827" s="3" t="s">
        <v>5</v>
      </c>
    </row>
    <row r="1828" spans="1:3" ht="15.75" thickBot="1">
      <c r="A1828" s="6" t="s">
        <v>3461</v>
      </c>
      <c r="B1828" s="5" t="s">
        <v>3462</v>
      </c>
      <c r="C1828" s="3" t="s">
        <v>5</v>
      </c>
    </row>
    <row r="1829" spans="1:3" ht="15.75" thickBot="1">
      <c r="A1829" s="6" t="s">
        <v>3463</v>
      </c>
      <c r="B1829" s="5" t="s">
        <v>3464</v>
      </c>
      <c r="C1829" s="3" t="s">
        <v>5</v>
      </c>
    </row>
    <row r="1830" spans="1:3" ht="15.75" thickBot="1">
      <c r="A1830" s="6" t="s">
        <v>3465</v>
      </c>
      <c r="B1830" s="5" t="s">
        <v>3466</v>
      </c>
      <c r="C1830" s="3" t="s">
        <v>5</v>
      </c>
    </row>
    <row r="1831" spans="1:3" ht="15.75" thickBot="1">
      <c r="A1831" s="6" t="s">
        <v>3467</v>
      </c>
      <c r="B1831" s="5" t="s">
        <v>3468</v>
      </c>
      <c r="C1831" s="3" t="s">
        <v>5</v>
      </c>
    </row>
    <row r="1832" spans="1:3" ht="15.75" thickBot="1">
      <c r="A1832" s="6" t="s">
        <v>3469</v>
      </c>
      <c r="B1832" s="5" t="s">
        <v>3470</v>
      </c>
      <c r="C1832" s="3" t="s">
        <v>5</v>
      </c>
    </row>
    <row r="1833" spans="1:3" ht="15.75" thickBot="1">
      <c r="A1833" s="6" t="s">
        <v>3469</v>
      </c>
      <c r="B1833" s="5" t="s">
        <v>3470</v>
      </c>
      <c r="C1833" s="3" t="s">
        <v>5</v>
      </c>
    </row>
    <row r="1834" spans="1:3" ht="15.75" thickBot="1">
      <c r="A1834" s="6" t="s">
        <v>3471</v>
      </c>
      <c r="B1834" s="5" t="s">
        <v>3472</v>
      </c>
      <c r="C1834" s="3" t="s">
        <v>5</v>
      </c>
    </row>
    <row r="1835" spans="1:3" ht="15.75" thickBot="1">
      <c r="A1835" s="6" t="s">
        <v>3473</v>
      </c>
      <c r="B1835" s="5" t="s">
        <v>3474</v>
      </c>
      <c r="C1835" s="3" t="s">
        <v>5</v>
      </c>
    </row>
    <row r="1836" spans="1:3" ht="15.75" thickBot="1">
      <c r="A1836" s="6" t="s">
        <v>3475</v>
      </c>
      <c r="B1836" s="5" t="s">
        <v>3476</v>
      </c>
      <c r="C1836" s="3" t="s">
        <v>5</v>
      </c>
    </row>
    <row r="1837" spans="1:3" ht="15.75" thickBot="1">
      <c r="A1837" s="6" t="s">
        <v>3477</v>
      </c>
      <c r="B1837" s="5" t="s">
        <v>3478</v>
      </c>
      <c r="C1837" s="3" t="s">
        <v>5</v>
      </c>
    </row>
    <row r="1838" spans="1:3" ht="15.75" thickBot="1">
      <c r="A1838" s="6" t="s">
        <v>3479</v>
      </c>
      <c r="B1838" s="5" t="s">
        <v>3480</v>
      </c>
      <c r="C1838" s="3" t="s">
        <v>5</v>
      </c>
    </row>
    <row r="1839" spans="1:3" ht="15.75" thickBot="1">
      <c r="A1839" s="6" t="s">
        <v>3481</v>
      </c>
      <c r="B1839" s="5" t="s">
        <v>3482</v>
      </c>
      <c r="C1839" s="3" t="s">
        <v>5</v>
      </c>
    </row>
    <row r="1840" spans="1:3" ht="15.75" thickBot="1">
      <c r="A1840" s="6" t="s">
        <v>3483</v>
      </c>
      <c r="B1840" s="5" t="s">
        <v>3484</v>
      </c>
      <c r="C1840" s="3" t="s">
        <v>5</v>
      </c>
    </row>
    <row r="1841" spans="1:3" ht="15.75" thickBot="1">
      <c r="A1841" s="6" t="s">
        <v>3485</v>
      </c>
      <c r="B1841" s="5" t="s">
        <v>3486</v>
      </c>
      <c r="C1841" s="3" t="s">
        <v>5</v>
      </c>
    </row>
    <row r="1842" spans="1:3" ht="15.75" thickBot="1">
      <c r="A1842" s="6" t="s">
        <v>3487</v>
      </c>
      <c r="B1842" s="5" t="s">
        <v>3488</v>
      </c>
      <c r="C1842" s="3" t="s">
        <v>5</v>
      </c>
    </row>
    <row r="1843" spans="1:3" ht="15.75" thickBot="1">
      <c r="A1843" s="6" t="s">
        <v>3489</v>
      </c>
      <c r="B1843" s="5" t="s">
        <v>3490</v>
      </c>
      <c r="C1843" s="3" t="s">
        <v>5</v>
      </c>
    </row>
    <row r="1844" spans="1:3" ht="15.75" thickBot="1">
      <c r="A1844" s="6" t="s">
        <v>3491</v>
      </c>
      <c r="B1844" s="5" t="s">
        <v>3492</v>
      </c>
      <c r="C1844" s="3" t="s">
        <v>5</v>
      </c>
    </row>
    <row r="1845" spans="1:3" ht="15.75" thickBot="1">
      <c r="A1845" s="6" t="s">
        <v>3493</v>
      </c>
      <c r="B1845" s="5" t="s">
        <v>3494</v>
      </c>
      <c r="C1845" s="3" t="s">
        <v>5</v>
      </c>
    </row>
    <row r="1846" spans="1:3" ht="15.75" thickBot="1">
      <c r="A1846" s="6" t="s">
        <v>3495</v>
      </c>
      <c r="B1846" s="5" t="s">
        <v>3496</v>
      </c>
      <c r="C1846" s="3" t="s">
        <v>5</v>
      </c>
    </row>
    <row r="1847" spans="1:3" ht="15.75" thickBot="1">
      <c r="A1847" s="6" t="s">
        <v>3497</v>
      </c>
      <c r="B1847" s="5" t="s">
        <v>3498</v>
      </c>
      <c r="C1847" s="3" t="s">
        <v>5</v>
      </c>
    </row>
    <row r="1848" spans="1:3" ht="15.75" thickBot="1">
      <c r="A1848" s="6" t="s">
        <v>3499</v>
      </c>
      <c r="B1848" s="5" t="s">
        <v>3500</v>
      </c>
      <c r="C1848" s="3" t="s">
        <v>5</v>
      </c>
    </row>
    <row r="1849" spans="1:3" ht="15.75" thickBot="1">
      <c r="A1849" s="6" t="s">
        <v>3501</v>
      </c>
      <c r="B1849" s="5" t="s">
        <v>3502</v>
      </c>
      <c r="C1849" s="3" t="s">
        <v>5</v>
      </c>
    </row>
    <row r="1850" spans="1:3" ht="15.75" thickBot="1">
      <c r="A1850" s="6" t="s">
        <v>3503</v>
      </c>
      <c r="B1850" s="5" t="s">
        <v>3504</v>
      </c>
      <c r="C1850" s="3" t="s">
        <v>5</v>
      </c>
    </row>
    <row r="1851" spans="1:3" ht="15.75" thickBot="1">
      <c r="A1851" s="6" t="s">
        <v>3505</v>
      </c>
      <c r="B1851" s="5" t="e">
        <f xml:space="preserve"> convertor</f>
        <v>#NAME?</v>
      </c>
      <c r="C1851" s="3" t="s">
        <v>5</v>
      </c>
    </row>
    <row r="1852" spans="1:3" ht="15.75" thickBot="1">
      <c r="A1852" s="6" t="s">
        <v>3506</v>
      </c>
      <c r="B1852" s="5" t="s">
        <v>3507</v>
      </c>
      <c r="C1852" s="3" t="s">
        <v>5</v>
      </c>
    </row>
    <row r="1853" spans="1:3">
      <c r="A1853" s="1" t="s">
        <v>3508</v>
      </c>
      <c r="B1853" s="2" t="s">
        <v>3509</v>
      </c>
      <c r="C1853" s="3" t="s">
        <v>5</v>
      </c>
    </row>
    <row r="1854" spans="1:3" ht="15.75" thickBot="1">
      <c r="A1854" s="4"/>
      <c r="B1854" s="5" t="s">
        <v>3510</v>
      </c>
      <c r="C1854" s="3" t="s">
        <v>5</v>
      </c>
    </row>
    <row r="1855" spans="1:3" ht="15.75" thickBot="1">
      <c r="A1855" s="6" t="s">
        <v>3511</v>
      </c>
      <c r="B1855" s="5" t="s">
        <v>3512</v>
      </c>
      <c r="C1855" s="3" t="s">
        <v>5</v>
      </c>
    </row>
    <row r="1856" spans="1:3" ht="26.25" thickBot="1">
      <c r="A1856" s="6" t="s">
        <v>3513</v>
      </c>
      <c r="B1856" s="5" t="s">
        <v>3514</v>
      </c>
      <c r="C1856" s="3" t="s">
        <v>5</v>
      </c>
    </row>
    <row r="1857" spans="1:3" ht="15.75" thickBot="1">
      <c r="A1857" s="6" t="s">
        <v>3515</v>
      </c>
      <c r="B1857" s="5" t="s">
        <v>3516</v>
      </c>
      <c r="C1857" s="3" t="s">
        <v>5</v>
      </c>
    </row>
    <row r="1858" spans="1:3" ht="15.75" thickBot="1">
      <c r="A1858" s="6" t="s">
        <v>3517</v>
      </c>
      <c r="B1858" s="5" t="s">
        <v>3518</v>
      </c>
      <c r="C1858" s="3" t="s">
        <v>5</v>
      </c>
    </row>
    <row r="1859" spans="1:3" ht="15.75" thickBot="1">
      <c r="A1859" s="6" t="s">
        <v>3519</v>
      </c>
      <c r="B1859" s="5" t="s">
        <v>3520</v>
      </c>
      <c r="C1859" s="3" t="s">
        <v>5</v>
      </c>
    </row>
    <row r="1860" spans="1:3" ht="15.75" thickBot="1">
      <c r="A1860" s="6" t="s">
        <v>3521</v>
      </c>
      <c r="B1860" s="5" t="s">
        <v>3522</v>
      </c>
      <c r="C1860" s="3" t="s">
        <v>5</v>
      </c>
    </row>
    <row r="1861" spans="1:3" ht="15.75" thickBot="1">
      <c r="A1861" s="6" t="s">
        <v>3523</v>
      </c>
      <c r="B1861" s="5" t="s">
        <v>3524</v>
      </c>
      <c r="C1861" s="3" t="s">
        <v>5</v>
      </c>
    </row>
    <row r="1862" spans="1:3" ht="15.75" thickBot="1">
      <c r="A1862" s="6" t="s">
        <v>3525</v>
      </c>
      <c r="B1862" s="5" t="s">
        <v>3526</v>
      </c>
      <c r="C1862" s="3" t="s">
        <v>5</v>
      </c>
    </row>
    <row r="1863" spans="1:3" ht="15.75" thickBot="1">
      <c r="A1863" s="6" t="s">
        <v>3527</v>
      </c>
      <c r="B1863" s="5" t="s">
        <v>3528</v>
      </c>
      <c r="C1863" s="3" t="s">
        <v>5</v>
      </c>
    </row>
    <row r="1864" spans="1:3" ht="15.75" thickBot="1">
      <c r="A1864" s="6" t="s">
        <v>3529</v>
      </c>
      <c r="B1864" s="5" t="s">
        <v>3530</v>
      </c>
      <c r="C1864" s="3" t="s">
        <v>5</v>
      </c>
    </row>
    <row r="1865" spans="1:3" ht="15.75" thickBot="1">
      <c r="A1865" s="6" t="s">
        <v>3531</v>
      </c>
      <c r="B1865" s="5" t="s">
        <v>3532</v>
      </c>
      <c r="C1865" s="3" t="s">
        <v>5</v>
      </c>
    </row>
    <row r="1866" spans="1:3" ht="15.75" thickBot="1">
      <c r="A1866" s="6" t="s">
        <v>3533</v>
      </c>
      <c r="B1866" s="5" t="s">
        <v>3534</v>
      </c>
      <c r="C1866" s="3" t="s">
        <v>5</v>
      </c>
    </row>
    <row r="1867" spans="1:3" ht="15.75" thickBot="1">
      <c r="A1867" s="6" t="s">
        <v>3535</v>
      </c>
      <c r="B1867" s="5" t="s">
        <v>3536</v>
      </c>
      <c r="C1867" s="3" t="s">
        <v>5</v>
      </c>
    </row>
    <row r="1868" spans="1:3" ht="15.75" thickBot="1">
      <c r="A1868" s="6" t="s">
        <v>3537</v>
      </c>
      <c r="B1868" s="5" t="s">
        <v>3538</v>
      </c>
      <c r="C1868" s="3" t="s">
        <v>5</v>
      </c>
    </row>
    <row r="1869" spans="1:3" ht="15.75" thickBot="1">
      <c r="A1869" s="6" t="s">
        <v>3539</v>
      </c>
      <c r="B1869" s="5" t="s">
        <v>3540</v>
      </c>
      <c r="C1869" s="3" t="s">
        <v>5</v>
      </c>
    </row>
    <row r="1870" spans="1:3" ht="15.75" thickBot="1">
      <c r="A1870" s="6" t="s">
        <v>3541</v>
      </c>
      <c r="B1870" s="5" t="s">
        <v>3542</v>
      </c>
      <c r="C1870" s="3" t="s">
        <v>5</v>
      </c>
    </row>
    <row r="1871" spans="1:3" ht="15.75" thickBot="1">
      <c r="A1871" s="6" t="s">
        <v>3543</v>
      </c>
      <c r="B1871" s="5" t="s">
        <v>3544</v>
      </c>
      <c r="C1871" s="3" t="s">
        <v>5</v>
      </c>
    </row>
    <row r="1872" spans="1:3" ht="15.75" thickBot="1">
      <c r="A1872" s="6" t="s">
        <v>3545</v>
      </c>
      <c r="B1872" s="5" t="s">
        <v>3546</v>
      </c>
      <c r="C1872" s="3" t="s">
        <v>5</v>
      </c>
    </row>
    <row r="1873" spans="1:3" ht="15.75" thickBot="1">
      <c r="A1873" s="6" t="s">
        <v>3547</v>
      </c>
      <c r="B1873" s="5" t="s">
        <v>3548</v>
      </c>
      <c r="C1873" s="3" t="s">
        <v>5</v>
      </c>
    </row>
    <row r="1874" spans="1:3" ht="15.75" thickBot="1">
      <c r="A1874" s="6" t="s">
        <v>3549</v>
      </c>
      <c r="B1874" s="5" t="s">
        <v>3550</v>
      </c>
      <c r="C1874" s="3" t="s">
        <v>5</v>
      </c>
    </row>
    <row r="1875" spans="1:3" ht="15.75" thickBot="1">
      <c r="A1875" s="6" t="s">
        <v>3551</v>
      </c>
      <c r="B1875" s="5" t="s">
        <v>3552</v>
      </c>
      <c r="C1875" s="3" t="s">
        <v>5</v>
      </c>
    </row>
    <row r="1876" spans="1:3" ht="15.75" thickBot="1">
      <c r="A1876" s="6" t="s">
        <v>3553</v>
      </c>
      <c r="B1876" s="5" t="s">
        <v>3554</v>
      </c>
      <c r="C1876" s="3" t="s">
        <v>5</v>
      </c>
    </row>
    <row r="1877" spans="1:3" ht="15.75" thickBot="1">
      <c r="A1877" s="6" t="s">
        <v>3555</v>
      </c>
      <c r="B1877" s="5" t="s">
        <v>3556</v>
      </c>
      <c r="C1877" s="3" t="s">
        <v>5</v>
      </c>
    </row>
    <row r="1878" spans="1:3" ht="15.75" thickBot="1">
      <c r="A1878" s="6" t="s">
        <v>3557</v>
      </c>
      <c r="B1878" s="5" t="s">
        <v>3558</v>
      </c>
      <c r="C1878" s="3" t="s">
        <v>5</v>
      </c>
    </row>
    <row r="1879" spans="1:3" ht="15.75" thickBot="1">
      <c r="A1879" s="6" t="s">
        <v>3559</v>
      </c>
      <c r="B1879" s="5" t="s">
        <v>3560</v>
      </c>
      <c r="C1879" s="3" t="s">
        <v>5</v>
      </c>
    </row>
    <row r="1880" spans="1:3" ht="15.75" thickBot="1">
      <c r="A1880" s="6" t="s">
        <v>3561</v>
      </c>
      <c r="B1880" s="5" t="s">
        <v>3562</v>
      </c>
      <c r="C1880" s="3" t="s">
        <v>5</v>
      </c>
    </row>
    <row r="1881" spans="1:3" ht="15.75" thickBot="1">
      <c r="A1881" s="6" t="s">
        <v>3563</v>
      </c>
      <c r="B1881" s="5" t="s">
        <v>2988</v>
      </c>
      <c r="C1881" s="3" t="s">
        <v>5</v>
      </c>
    </row>
    <row r="1882" spans="1:3" ht="15.75" thickBot="1">
      <c r="A1882" s="6" t="s">
        <v>3564</v>
      </c>
      <c r="B1882" s="5" t="s">
        <v>3565</v>
      </c>
      <c r="C1882" s="3" t="s">
        <v>5</v>
      </c>
    </row>
    <row r="1883" spans="1:3" ht="15.75" thickBot="1">
      <c r="A1883" s="6" t="s">
        <v>3566</v>
      </c>
      <c r="B1883" s="5" t="s">
        <v>3567</v>
      </c>
      <c r="C1883" s="3" t="s">
        <v>5</v>
      </c>
    </row>
    <row r="1884" spans="1:3" ht="15.75" thickBot="1">
      <c r="A1884" s="6" t="s">
        <v>3568</v>
      </c>
      <c r="B1884" s="5" t="s">
        <v>3569</v>
      </c>
      <c r="C1884" s="3" t="s">
        <v>5</v>
      </c>
    </row>
    <row r="1885" spans="1:3" ht="15.75" thickBot="1">
      <c r="A1885" s="6" t="s">
        <v>3570</v>
      </c>
      <c r="B1885" s="5" t="s">
        <v>3571</v>
      </c>
      <c r="C1885" s="3" t="s">
        <v>5</v>
      </c>
    </row>
    <row r="1886" spans="1:3" ht="15.75" thickBot="1">
      <c r="A1886" s="6" t="s">
        <v>3572</v>
      </c>
      <c r="B1886" s="5" t="s">
        <v>3573</v>
      </c>
      <c r="C1886" s="3" t="s">
        <v>5</v>
      </c>
    </row>
    <row r="1887" spans="1:3" ht="15.75" thickBot="1">
      <c r="A1887" s="6" t="s">
        <v>3574</v>
      </c>
      <c r="B1887" s="5" t="s">
        <v>3575</v>
      </c>
      <c r="C1887" s="3" t="s">
        <v>5</v>
      </c>
    </row>
    <row r="1888" spans="1:3" ht="15.75" thickBot="1">
      <c r="A1888" s="6" t="s">
        <v>3576</v>
      </c>
      <c r="B1888" s="5" t="s">
        <v>3577</v>
      </c>
      <c r="C1888" s="3" t="s">
        <v>5</v>
      </c>
    </row>
    <row r="1889" spans="1:3" ht="15.75" thickBot="1">
      <c r="A1889" s="6" t="s">
        <v>3578</v>
      </c>
      <c r="B1889" s="5" t="s">
        <v>3579</v>
      </c>
      <c r="C1889" s="3" t="s">
        <v>5</v>
      </c>
    </row>
    <row r="1890" spans="1:3">
      <c r="A1890" s="1" t="s">
        <v>3580</v>
      </c>
      <c r="B1890" s="2" t="s">
        <v>3581</v>
      </c>
      <c r="C1890" s="3" t="s">
        <v>5</v>
      </c>
    </row>
    <row r="1891" spans="1:3" ht="15.75" thickBot="1">
      <c r="A1891" s="4"/>
      <c r="B1891" s="5" t="s">
        <v>3582</v>
      </c>
      <c r="C1891" s="3" t="s">
        <v>5</v>
      </c>
    </row>
    <row r="1892" spans="1:3" ht="15.75" thickBot="1">
      <c r="A1892" s="6" t="s">
        <v>3583</v>
      </c>
      <c r="B1892" s="5" t="s">
        <v>3584</v>
      </c>
      <c r="C1892" s="3" t="s">
        <v>5</v>
      </c>
    </row>
    <row r="1893" spans="1:3" ht="15.75" thickBot="1">
      <c r="A1893" s="6" t="s">
        <v>3585</v>
      </c>
      <c r="B1893" s="5" t="s">
        <v>3586</v>
      </c>
      <c r="C1893" s="3" t="s">
        <v>5</v>
      </c>
    </row>
    <row r="1894" spans="1:3" ht="15.75" thickBot="1">
      <c r="A1894" s="6" t="s">
        <v>3587</v>
      </c>
      <c r="B1894" s="5" t="s">
        <v>3588</v>
      </c>
      <c r="C1894" s="3" t="s">
        <v>5</v>
      </c>
    </row>
    <row r="1895" spans="1:3" ht="15.75" thickBot="1">
      <c r="A1895" s="6" t="s">
        <v>3589</v>
      </c>
      <c r="B1895" s="5" t="s">
        <v>3590</v>
      </c>
      <c r="C1895" s="3" t="s">
        <v>5</v>
      </c>
    </row>
    <row r="1896" spans="1:3" ht="15.75" thickBot="1">
      <c r="A1896" s="6" t="s">
        <v>3591</v>
      </c>
      <c r="B1896" s="5" t="s">
        <v>3592</v>
      </c>
      <c r="C1896" s="3" t="s">
        <v>5</v>
      </c>
    </row>
    <row r="1897" spans="1:3" ht="15.75" thickBot="1">
      <c r="A1897" s="6" t="s">
        <v>3593</v>
      </c>
      <c r="B1897" s="5" t="s">
        <v>3594</v>
      </c>
      <c r="C1897" s="3" t="s">
        <v>5</v>
      </c>
    </row>
    <row r="1898" spans="1:3" ht="15.75" thickBot="1">
      <c r="A1898" s="6" t="s">
        <v>3595</v>
      </c>
      <c r="B1898" s="5" t="s">
        <v>3596</v>
      </c>
      <c r="C1898" s="3" t="s">
        <v>5</v>
      </c>
    </row>
    <row r="1899" spans="1:3" ht="15.75" thickBot="1">
      <c r="A1899" s="6" t="s">
        <v>3597</v>
      </c>
      <c r="B1899" s="5" t="s">
        <v>3598</v>
      </c>
      <c r="C1899" s="3" t="s">
        <v>5</v>
      </c>
    </row>
    <row r="1900" spans="1:3" ht="15.75" thickBot="1">
      <c r="A1900" s="6" t="s">
        <v>3599</v>
      </c>
      <c r="B1900" s="5" t="s">
        <v>3600</v>
      </c>
      <c r="C1900" s="3" t="s">
        <v>5</v>
      </c>
    </row>
    <row r="1901" spans="1:3" ht="15.75" thickBot="1">
      <c r="A1901" s="6" t="s">
        <v>3601</v>
      </c>
      <c r="B1901" s="5" t="s">
        <v>3602</v>
      </c>
      <c r="C1901" s="3" t="s">
        <v>5</v>
      </c>
    </row>
    <row r="1902" spans="1:3" ht="15.75" thickBot="1">
      <c r="A1902" s="6" t="s">
        <v>3603</v>
      </c>
      <c r="B1902" s="5" t="e">
        <f xml:space="preserve"> back electromotive force</f>
        <v>#NAME?</v>
      </c>
      <c r="C1902" s="3" t="s">
        <v>5</v>
      </c>
    </row>
    <row r="1903" spans="1:3" ht="15.75" thickBot="1">
      <c r="A1903" s="6" t="s">
        <v>3604</v>
      </c>
      <c r="B1903" s="5" t="s">
        <v>3605</v>
      </c>
      <c r="C1903" s="3" t="s">
        <v>5</v>
      </c>
    </row>
    <row r="1904" spans="1:3" ht="15.75" thickBot="1">
      <c r="A1904" s="6" t="s">
        <v>3606</v>
      </c>
      <c r="B1904" s="5" t="s">
        <v>3607</v>
      </c>
      <c r="C1904" s="3" t="s">
        <v>5</v>
      </c>
    </row>
    <row r="1905" spans="1:3" ht="15.75" thickBot="1">
      <c r="A1905" s="6" t="s">
        <v>3608</v>
      </c>
      <c r="B1905" s="5" t="s">
        <v>3609</v>
      </c>
      <c r="C1905" s="3" t="s">
        <v>5</v>
      </c>
    </row>
    <row r="1906" spans="1:3" ht="15.75" thickBot="1">
      <c r="A1906" s="6" t="s">
        <v>3610</v>
      </c>
      <c r="B1906" s="5" t="s">
        <v>3611</v>
      </c>
      <c r="C1906" s="3" t="s">
        <v>5</v>
      </c>
    </row>
    <row r="1907" spans="1:3" ht="15.75" thickBot="1">
      <c r="A1907" s="6" t="s">
        <v>3612</v>
      </c>
      <c r="B1907" s="5" t="s">
        <v>3613</v>
      </c>
      <c r="C1907" s="3" t="s">
        <v>5</v>
      </c>
    </row>
    <row r="1908" spans="1:3" ht="15.75" thickBot="1">
      <c r="A1908" s="6" t="s">
        <v>3614</v>
      </c>
      <c r="B1908" s="5" t="s">
        <v>3615</v>
      </c>
      <c r="C1908" s="3" t="s">
        <v>5</v>
      </c>
    </row>
    <row r="1909" spans="1:3" ht="15.75" thickBot="1">
      <c r="A1909" s="6" t="s">
        <v>3616</v>
      </c>
      <c r="B1909" s="5" t="s">
        <v>3617</v>
      </c>
      <c r="C1909" s="3" t="s">
        <v>5</v>
      </c>
    </row>
    <row r="1910" spans="1:3" ht="15.75" thickBot="1">
      <c r="A1910" s="6" t="s">
        <v>3618</v>
      </c>
      <c r="B1910" s="5" t="s">
        <v>3619</v>
      </c>
      <c r="C1910" s="3" t="s">
        <v>5</v>
      </c>
    </row>
    <row r="1911" spans="1:3" ht="15.75" thickBot="1">
      <c r="A1911" s="6" t="s">
        <v>3620</v>
      </c>
      <c r="B1911" s="5" t="s">
        <v>3621</v>
      </c>
      <c r="C1911" s="3" t="s">
        <v>5</v>
      </c>
    </row>
    <row r="1912" spans="1:3" ht="15.75" thickBot="1">
      <c r="A1912" s="6" t="s">
        <v>3622</v>
      </c>
      <c r="B1912" s="5" t="s">
        <v>3623</v>
      </c>
      <c r="C1912" s="3" t="s">
        <v>5</v>
      </c>
    </row>
    <row r="1913" spans="1:3" ht="15.75" thickBot="1">
      <c r="A1913" s="6" t="s">
        <v>3624</v>
      </c>
      <c r="B1913" s="5" t="s">
        <v>3625</v>
      </c>
      <c r="C1913" s="3" t="s">
        <v>5</v>
      </c>
    </row>
    <row r="1914" spans="1:3" ht="15.75" thickBot="1">
      <c r="A1914" s="6" t="s">
        <v>3626</v>
      </c>
      <c r="B1914" s="5" t="s">
        <v>3627</v>
      </c>
      <c r="C1914" s="3" t="s">
        <v>5</v>
      </c>
    </row>
    <row r="1915" spans="1:3" ht="15.75" thickBot="1">
      <c r="A1915" s="6" t="s">
        <v>3628</v>
      </c>
      <c r="B1915" s="5" t="s">
        <v>2962</v>
      </c>
      <c r="C1915" s="3" t="s">
        <v>5</v>
      </c>
    </row>
    <row r="1916" spans="1:3" ht="15.75" thickBot="1">
      <c r="A1916" s="6" t="s">
        <v>3629</v>
      </c>
      <c r="B1916" s="5" t="s">
        <v>3630</v>
      </c>
      <c r="C1916" s="3" t="s">
        <v>5</v>
      </c>
    </row>
    <row r="1917" spans="1:3" ht="15.75" thickBot="1">
      <c r="A1917" s="6" t="s">
        <v>3631</v>
      </c>
      <c r="B1917" s="5" t="s">
        <v>3632</v>
      </c>
      <c r="C1917" s="3" t="s">
        <v>5</v>
      </c>
    </row>
    <row r="1918" spans="1:3" ht="15.75" thickBot="1">
      <c r="A1918" s="6" t="s">
        <v>3633</v>
      </c>
      <c r="B1918" s="5" t="s">
        <v>3634</v>
      </c>
      <c r="C1918" s="3" t="s">
        <v>5</v>
      </c>
    </row>
    <row r="1919" spans="1:3" ht="15.75" thickBot="1">
      <c r="A1919" s="6" t="s">
        <v>3635</v>
      </c>
      <c r="B1919" s="5" t="s">
        <v>3636</v>
      </c>
      <c r="C1919" s="3" t="s">
        <v>5</v>
      </c>
    </row>
    <row r="1920" spans="1:3" ht="15.75" thickBot="1">
      <c r="A1920" s="6" t="s">
        <v>3637</v>
      </c>
      <c r="B1920" s="5" t="s">
        <v>3638</v>
      </c>
      <c r="C1920" s="3" t="s">
        <v>5</v>
      </c>
    </row>
    <row r="1921" spans="1:3" ht="15.75" thickBot="1">
      <c r="A1921" s="6" t="s">
        <v>3639</v>
      </c>
      <c r="B1921" s="5" t="s">
        <v>3640</v>
      </c>
      <c r="C1921" s="3" t="s">
        <v>5</v>
      </c>
    </row>
    <row r="1922" spans="1:3" ht="15.75" thickBot="1">
      <c r="A1922" s="6" t="s">
        <v>3641</v>
      </c>
      <c r="B1922" s="5" t="s">
        <v>3642</v>
      </c>
      <c r="C1922" s="3" t="s">
        <v>5</v>
      </c>
    </row>
    <row r="1923" spans="1:3" ht="15.75" thickBot="1">
      <c r="A1923" s="6" t="s">
        <v>3643</v>
      </c>
      <c r="B1923" s="5" t="s">
        <v>3644</v>
      </c>
      <c r="C1923" s="3" t="s">
        <v>5</v>
      </c>
    </row>
    <row r="1924" spans="1:3" ht="15.75" thickBot="1">
      <c r="A1924" s="6" t="s">
        <v>3645</v>
      </c>
      <c r="B1924" s="5" t="s">
        <v>3646</v>
      </c>
      <c r="C1924" s="3" t="s">
        <v>5</v>
      </c>
    </row>
    <row r="1925" spans="1:3" ht="15.75" thickBot="1">
      <c r="A1925" s="6" t="s">
        <v>3647</v>
      </c>
      <c r="B1925" s="5" t="s">
        <v>3648</v>
      </c>
      <c r="C1925" s="3" t="s">
        <v>5</v>
      </c>
    </row>
    <row r="1926" spans="1:3" ht="15.75" thickBot="1">
      <c r="A1926" s="6" t="s">
        <v>3649</v>
      </c>
      <c r="B1926" s="5" t="s">
        <v>3650</v>
      </c>
      <c r="C1926" s="3" t="s">
        <v>5</v>
      </c>
    </row>
    <row r="1927" spans="1:3" ht="15.75" thickBot="1">
      <c r="A1927" s="6" t="s">
        <v>3651</v>
      </c>
      <c r="B1927" s="5" t="s">
        <v>3652</v>
      </c>
      <c r="C1927" s="3" t="s">
        <v>5</v>
      </c>
    </row>
    <row r="1928" spans="1:3" ht="15.75" thickBot="1">
      <c r="A1928" s="6" t="s">
        <v>3653</v>
      </c>
      <c r="B1928" s="5" t="s">
        <v>774</v>
      </c>
      <c r="C1928" s="3" t="s">
        <v>5</v>
      </c>
    </row>
    <row r="1929" spans="1:3" ht="15.75" thickBot="1">
      <c r="A1929" s="6" t="s">
        <v>3654</v>
      </c>
      <c r="B1929" s="5" t="s">
        <v>3655</v>
      </c>
      <c r="C1929" s="3" t="s">
        <v>5</v>
      </c>
    </row>
    <row r="1930" spans="1:3" ht="15.75" thickBot="1">
      <c r="A1930" s="6" t="s">
        <v>3656</v>
      </c>
      <c r="B1930" s="5" t="s">
        <v>3657</v>
      </c>
      <c r="C1930" s="3" t="s">
        <v>5</v>
      </c>
    </row>
    <row r="1931" spans="1:3" ht="15.75" thickBot="1">
      <c r="A1931" s="6" t="s">
        <v>3658</v>
      </c>
      <c r="B1931" s="5" t="s">
        <v>3659</v>
      </c>
      <c r="C1931" s="3" t="s">
        <v>5</v>
      </c>
    </row>
    <row r="1932" spans="1:3" ht="15.75" thickBot="1">
      <c r="A1932" s="6" t="s">
        <v>3660</v>
      </c>
      <c r="B1932" s="5" t="s">
        <v>3661</v>
      </c>
      <c r="C1932" s="3" t="s">
        <v>5</v>
      </c>
    </row>
    <row r="1933" spans="1:3" ht="15.75" thickBot="1">
      <c r="A1933" s="6" t="s">
        <v>3662</v>
      </c>
      <c r="B1933" s="5" t="s">
        <v>3663</v>
      </c>
      <c r="C1933" s="3" t="s">
        <v>5</v>
      </c>
    </row>
    <row r="1934" spans="1:3">
      <c r="A1934" s="1" t="s">
        <v>3664</v>
      </c>
      <c r="B1934" s="2" t="s">
        <v>3665</v>
      </c>
      <c r="C1934" s="3" t="s">
        <v>5</v>
      </c>
    </row>
    <row r="1935" spans="1:3" ht="15.75" thickBot="1">
      <c r="A1935" s="4"/>
      <c r="B1935" s="5" t="s">
        <v>3666</v>
      </c>
      <c r="C1935" s="3" t="s">
        <v>5</v>
      </c>
    </row>
    <row r="1936" spans="1:3">
      <c r="A1936" s="1" t="s">
        <v>3667</v>
      </c>
      <c r="B1936" s="2" t="s">
        <v>3668</v>
      </c>
      <c r="C1936" s="3" t="s">
        <v>5</v>
      </c>
    </row>
    <row r="1937" spans="1:3" ht="15.75" thickBot="1">
      <c r="A1937" s="4"/>
      <c r="B1937" s="5" t="s">
        <v>3669</v>
      </c>
      <c r="C1937" s="3" t="s">
        <v>5</v>
      </c>
    </row>
    <row r="1938" spans="1:3" ht="15.75" thickBot="1">
      <c r="A1938" s="6" t="s">
        <v>3670</v>
      </c>
      <c r="B1938" s="5" t="s">
        <v>3671</v>
      </c>
      <c r="C1938" s="3" t="s">
        <v>5</v>
      </c>
    </row>
    <row r="1939" spans="1:3" ht="15.75" thickBot="1">
      <c r="A1939" s="6" t="s">
        <v>3672</v>
      </c>
      <c r="B1939" s="5" t="s">
        <v>3673</v>
      </c>
      <c r="C1939" s="3" t="s">
        <v>5</v>
      </c>
    </row>
    <row r="1940" spans="1:3" ht="15.75" thickBot="1">
      <c r="A1940" s="6" t="s">
        <v>3674</v>
      </c>
      <c r="B1940" s="5" t="s">
        <v>3675</v>
      </c>
      <c r="C1940" s="3" t="s">
        <v>5</v>
      </c>
    </row>
    <row r="1941" spans="1:3" ht="15.75" thickBot="1">
      <c r="A1941" s="6" t="s">
        <v>3676</v>
      </c>
      <c r="B1941" s="5" t="s">
        <v>3677</v>
      </c>
      <c r="C1941" s="3" t="s">
        <v>5</v>
      </c>
    </row>
    <row r="1942" spans="1:3" ht="15.75" thickBot="1">
      <c r="A1942" s="6" t="s">
        <v>3678</v>
      </c>
      <c r="B1942" s="5" t="s">
        <v>3679</v>
      </c>
      <c r="C1942" s="3" t="s">
        <v>5</v>
      </c>
    </row>
    <row r="1943" spans="1:3" ht="15.75" thickBot="1">
      <c r="A1943" s="6" t="s">
        <v>3680</v>
      </c>
      <c r="B1943" s="5" t="s">
        <v>3681</v>
      </c>
      <c r="C1943" s="3" t="s">
        <v>5</v>
      </c>
    </row>
    <row r="1944" spans="1:3" ht="15.75" thickBot="1">
      <c r="A1944" s="6" t="s">
        <v>3682</v>
      </c>
      <c r="B1944" s="5" t="s">
        <v>3683</v>
      </c>
      <c r="C1944" s="3" t="s">
        <v>5</v>
      </c>
    </row>
    <row r="1945" spans="1:3" ht="15.75" thickBot="1">
      <c r="A1945" s="6" t="s">
        <v>3684</v>
      </c>
      <c r="B1945" s="5" t="s">
        <v>3685</v>
      </c>
      <c r="C1945" s="3" t="s">
        <v>5</v>
      </c>
    </row>
    <row r="1946" spans="1:3" ht="15.75" thickBot="1">
      <c r="A1946" s="6" t="s">
        <v>3686</v>
      </c>
      <c r="B1946" s="5" t="s">
        <v>3687</v>
      </c>
      <c r="C1946" s="3" t="s">
        <v>5</v>
      </c>
    </row>
    <row r="1947" spans="1:3" ht="15.75" thickBot="1">
      <c r="A1947" s="6" t="s">
        <v>3688</v>
      </c>
      <c r="B1947" s="5" t="s">
        <v>3689</v>
      </c>
      <c r="C1947" s="3" t="s">
        <v>5</v>
      </c>
    </row>
    <row r="1948" spans="1:3" ht="15.75" thickBot="1">
      <c r="A1948" s="6" t="s">
        <v>3690</v>
      </c>
      <c r="B1948" s="5" t="s">
        <v>3691</v>
      </c>
      <c r="C1948" s="3" t="s">
        <v>5</v>
      </c>
    </row>
    <row r="1949" spans="1:3" ht="15.75" thickBot="1">
      <c r="A1949" s="6" t="s">
        <v>3692</v>
      </c>
      <c r="B1949" s="5" t="s">
        <v>3693</v>
      </c>
      <c r="C1949" s="3" t="s">
        <v>5</v>
      </c>
    </row>
    <row r="1950" spans="1:3" ht="15.75" thickBot="1">
      <c r="A1950" s="6" t="s">
        <v>3694</v>
      </c>
      <c r="B1950" s="5" t="s">
        <v>3695</v>
      </c>
      <c r="C1950" s="3" t="s">
        <v>5</v>
      </c>
    </row>
    <row r="1951" spans="1:3" ht="15.75" thickBot="1">
      <c r="A1951" s="6" t="s">
        <v>3696</v>
      </c>
      <c r="B1951" s="5" t="s">
        <v>3697</v>
      </c>
      <c r="C1951" s="3" t="s">
        <v>5</v>
      </c>
    </row>
    <row r="1952" spans="1:3" ht="15.75" thickBot="1">
      <c r="A1952" s="6" t="s">
        <v>3698</v>
      </c>
      <c r="B1952" s="5" t="s">
        <v>3699</v>
      </c>
      <c r="C1952" s="3" t="s">
        <v>5</v>
      </c>
    </row>
    <row r="1953" spans="1:3" ht="15.75" thickBot="1">
      <c r="A1953" s="6" t="s">
        <v>3700</v>
      </c>
      <c r="B1953" s="5" t="s">
        <v>3701</v>
      </c>
      <c r="C1953" s="3" t="s">
        <v>5</v>
      </c>
    </row>
    <row r="1954" spans="1:3" ht="15.75" thickBot="1">
      <c r="A1954" s="6" t="s">
        <v>3702</v>
      </c>
      <c r="B1954" s="5" t="s">
        <v>3703</v>
      </c>
      <c r="C1954" s="3" t="s">
        <v>5</v>
      </c>
    </row>
    <row r="1955" spans="1:3" ht="15.75" thickBot="1">
      <c r="A1955" s="6" t="s">
        <v>3704</v>
      </c>
      <c r="B1955" s="5" t="s">
        <v>3705</v>
      </c>
      <c r="C1955" s="3" t="s">
        <v>5</v>
      </c>
    </row>
    <row r="1956" spans="1:3" ht="15.75" thickBot="1">
      <c r="A1956" s="6" t="s">
        <v>3706</v>
      </c>
      <c r="B1956" s="5" t="s">
        <v>3707</v>
      </c>
      <c r="C1956" s="3" t="s">
        <v>5</v>
      </c>
    </row>
    <row r="1957" spans="1:3" ht="15.75" thickBot="1">
      <c r="A1957" s="6" t="s">
        <v>3708</v>
      </c>
      <c r="B1957" s="5" t="s">
        <v>3709</v>
      </c>
      <c r="C1957" s="3" t="s">
        <v>5</v>
      </c>
    </row>
    <row r="1958" spans="1:3" ht="15.75" thickBot="1">
      <c r="A1958" s="6" t="s">
        <v>3710</v>
      </c>
      <c r="B1958" s="5" t="s">
        <v>3711</v>
      </c>
      <c r="C1958" s="3" t="s">
        <v>5</v>
      </c>
    </row>
    <row r="1959" spans="1:3" ht="15.75" thickBot="1">
      <c r="A1959" s="6" t="s">
        <v>3712</v>
      </c>
      <c r="B1959" s="5" t="s">
        <v>3713</v>
      </c>
      <c r="C1959" s="3" t="s">
        <v>5</v>
      </c>
    </row>
    <row r="1960" spans="1:3" ht="15.75" thickBot="1">
      <c r="A1960" s="6" t="s">
        <v>3714</v>
      </c>
      <c r="B1960" s="5" t="s">
        <v>3715</v>
      </c>
      <c r="C1960" s="3" t="s">
        <v>5</v>
      </c>
    </row>
    <row r="1961" spans="1:3" ht="15.75" thickBot="1">
      <c r="A1961" s="6" t="s">
        <v>3716</v>
      </c>
      <c r="B1961" s="5" t="s">
        <v>3717</v>
      </c>
      <c r="C1961" s="3" t="s">
        <v>5</v>
      </c>
    </row>
    <row r="1962" spans="1:3" ht="15.75" thickBot="1">
      <c r="A1962" s="6" t="s">
        <v>3718</v>
      </c>
      <c r="B1962" s="5" t="s">
        <v>3719</v>
      </c>
      <c r="C1962" s="3" t="s">
        <v>5</v>
      </c>
    </row>
    <row r="1963" spans="1:3" ht="15.75" thickBot="1">
      <c r="A1963" s="6" t="s">
        <v>3720</v>
      </c>
      <c r="B1963" s="5" t="s">
        <v>3721</v>
      </c>
      <c r="C1963" s="3" t="s">
        <v>5</v>
      </c>
    </row>
    <row r="1964" spans="1:3" ht="15.75" thickBot="1">
      <c r="A1964" s="6" t="s">
        <v>3722</v>
      </c>
      <c r="B1964" s="5" t="s">
        <v>3723</v>
      </c>
      <c r="C1964" s="3" t="s">
        <v>5</v>
      </c>
    </row>
    <row r="1965" spans="1:3" ht="15.75" thickBot="1">
      <c r="A1965" s="6" t="s">
        <v>3724</v>
      </c>
      <c r="B1965" s="5" t="s">
        <v>3725</v>
      </c>
      <c r="C1965" s="3" t="s">
        <v>5</v>
      </c>
    </row>
    <row r="1966" spans="1:3" ht="15.75" thickBot="1">
      <c r="A1966" s="6" t="s">
        <v>3726</v>
      </c>
      <c r="B1966" s="5" t="s">
        <v>3727</v>
      </c>
      <c r="C1966" s="3" t="s">
        <v>5</v>
      </c>
    </row>
    <row r="1967" spans="1:3" ht="15.75" thickBot="1">
      <c r="A1967" s="6" t="s">
        <v>3728</v>
      </c>
      <c r="B1967" s="5" t="s">
        <v>3729</v>
      </c>
      <c r="C1967" s="3" t="s">
        <v>5</v>
      </c>
    </row>
    <row r="1968" spans="1:3" ht="15.75" thickBot="1">
      <c r="A1968" s="6" t="s">
        <v>3730</v>
      </c>
      <c r="B1968" s="5" t="s">
        <v>3731</v>
      </c>
      <c r="C1968" s="3" t="s">
        <v>5</v>
      </c>
    </row>
    <row r="1969" spans="1:3" ht="15.75" thickBot="1">
      <c r="A1969" s="6" t="s">
        <v>3732</v>
      </c>
      <c r="B1969" s="5" t="s">
        <v>3733</v>
      </c>
      <c r="C1969" s="3" t="s">
        <v>5</v>
      </c>
    </row>
    <row r="1970" spans="1:3" ht="15.75" thickBot="1">
      <c r="A1970" s="6" t="s">
        <v>3734</v>
      </c>
      <c r="B1970" s="5" t="s">
        <v>3735</v>
      </c>
      <c r="C1970" s="3" t="s">
        <v>5</v>
      </c>
    </row>
    <row r="1971" spans="1:3" ht="15.75" thickBot="1">
      <c r="A1971" s="6" t="s">
        <v>3736</v>
      </c>
      <c r="B1971" s="5" t="s">
        <v>3737</v>
      </c>
      <c r="C1971" s="3" t="s">
        <v>5</v>
      </c>
    </row>
    <row r="1972" spans="1:3" ht="15.75" thickBot="1">
      <c r="A1972" s="6" t="s">
        <v>3738</v>
      </c>
      <c r="B1972" s="5" t="s">
        <v>3739</v>
      </c>
      <c r="C1972" s="3" t="s">
        <v>5</v>
      </c>
    </row>
    <row r="1973" spans="1:3" ht="15.75" thickBot="1">
      <c r="A1973" s="6" t="s">
        <v>3740</v>
      </c>
      <c r="B1973" s="5" t="s">
        <v>3741</v>
      </c>
      <c r="C1973" s="3" t="s">
        <v>5</v>
      </c>
    </row>
    <row r="1974" spans="1:3" ht="15.75" thickBot="1">
      <c r="A1974" s="6" t="s">
        <v>3742</v>
      </c>
      <c r="B1974" s="5" t="s">
        <v>3743</v>
      </c>
      <c r="C1974" s="3" t="s">
        <v>5</v>
      </c>
    </row>
    <row r="1975" spans="1:3" ht="15.75" thickBot="1">
      <c r="A1975" s="6" t="s">
        <v>3744</v>
      </c>
      <c r="B1975" s="5" t="s">
        <v>3745</v>
      </c>
      <c r="C1975" s="3" t="s">
        <v>5</v>
      </c>
    </row>
    <row r="1976" spans="1:3" ht="15.75" thickBot="1">
      <c r="A1976" s="6" t="s">
        <v>3746</v>
      </c>
      <c r="B1976" s="5" t="s">
        <v>3747</v>
      </c>
      <c r="C1976" s="3" t="s">
        <v>5</v>
      </c>
    </row>
    <row r="1977" spans="1:3" ht="15.75" thickBot="1">
      <c r="A1977" s="6" t="s">
        <v>3748</v>
      </c>
      <c r="B1977" s="5" t="s">
        <v>3749</v>
      </c>
      <c r="C1977" s="3" t="s">
        <v>5</v>
      </c>
    </row>
    <row r="1978" spans="1:3" ht="15.75" thickBot="1">
      <c r="A1978" s="6" t="s">
        <v>3750</v>
      </c>
      <c r="B1978" s="5" t="s">
        <v>3751</v>
      </c>
      <c r="C1978" s="3" t="s">
        <v>5</v>
      </c>
    </row>
    <row r="1979" spans="1:3" ht="15.75" thickBot="1">
      <c r="A1979" s="6" t="s">
        <v>3752</v>
      </c>
      <c r="B1979" s="5" t="s">
        <v>3753</v>
      </c>
      <c r="C1979" s="3" t="s">
        <v>5</v>
      </c>
    </row>
    <row r="1980" spans="1:3" ht="15.75" thickBot="1">
      <c r="A1980" s="6" t="s">
        <v>3754</v>
      </c>
      <c r="B1980" s="5" t="s">
        <v>3755</v>
      </c>
      <c r="C1980" s="3" t="s">
        <v>5</v>
      </c>
    </row>
    <row r="1981" spans="1:3" ht="15.75" thickBot="1">
      <c r="A1981" s="6" t="s">
        <v>3754</v>
      </c>
      <c r="B1981" s="5" t="s">
        <v>3755</v>
      </c>
      <c r="C1981" s="3" t="s">
        <v>5</v>
      </c>
    </row>
    <row r="1982" spans="1:3" ht="15.75" thickBot="1">
      <c r="A1982" s="6" t="s">
        <v>3756</v>
      </c>
      <c r="B1982" s="5" t="s">
        <v>3757</v>
      </c>
      <c r="C1982" s="3" t="s">
        <v>5</v>
      </c>
    </row>
    <row r="1983" spans="1:3" ht="15.75" thickBot="1">
      <c r="A1983" s="6" t="s">
        <v>3758</v>
      </c>
      <c r="B1983" s="5" t="s">
        <v>3759</v>
      </c>
      <c r="C1983" s="3" t="s">
        <v>5</v>
      </c>
    </row>
    <row r="1984" spans="1:3" ht="15.75" thickBot="1">
      <c r="A1984" s="6" t="s">
        <v>3760</v>
      </c>
      <c r="B1984" s="5" t="s">
        <v>3761</v>
      </c>
      <c r="C1984" s="3" t="s">
        <v>5</v>
      </c>
    </row>
    <row r="1985" spans="1:3" ht="15.75" thickBot="1">
      <c r="A1985" s="6" t="s">
        <v>3762</v>
      </c>
      <c r="B1985" s="5" t="s">
        <v>3763</v>
      </c>
      <c r="C1985" s="3" t="s">
        <v>5</v>
      </c>
    </row>
    <row r="1986" spans="1:3" ht="15.75" thickBot="1">
      <c r="A1986" s="6" t="s">
        <v>3764</v>
      </c>
      <c r="B1986" s="5" t="s">
        <v>3765</v>
      </c>
      <c r="C1986" s="3" t="s">
        <v>5</v>
      </c>
    </row>
    <row r="1987" spans="1:3" ht="15.75" thickBot="1">
      <c r="A1987" s="6" t="s">
        <v>3766</v>
      </c>
      <c r="B1987" s="5" t="s">
        <v>3767</v>
      </c>
      <c r="C1987" s="3" t="s">
        <v>5</v>
      </c>
    </row>
    <row r="1988" spans="1:3" ht="15.75" thickBot="1">
      <c r="A1988" s="6" t="s">
        <v>3768</v>
      </c>
      <c r="B1988" s="5" t="s">
        <v>3769</v>
      </c>
      <c r="C1988" s="3" t="s">
        <v>5</v>
      </c>
    </row>
    <row r="1989" spans="1:3" ht="15.75" thickBot="1">
      <c r="A1989" s="6" t="s">
        <v>3770</v>
      </c>
      <c r="B1989" s="5" t="s">
        <v>3771</v>
      </c>
      <c r="C1989" s="3" t="s">
        <v>5</v>
      </c>
    </row>
    <row r="1990" spans="1:3" ht="15.75" thickBot="1">
      <c r="A1990" s="6" t="s">
        <v>3772</v>
      </c>
      <c r="B1990" s="5" t="s">
        <v>3773</v>
      </c>
      <c r="C1990" s="3" t="s">
        <v>5</v>
      </c>
    </row>
    <row r="1991" spans="1:3">
      <c r="A1991" s="1" t="s">
        <v>3774</v>
      </c>
      <c r="B1991" s="2" t="s">
        <v>3775</v>
      </c>
      <c r="C1991" s="3" t="s">
        <v>5</v>
      </c>
    </row>
    <row r="1992" spans="1:3" ht="15.75" thickBot="1">
      <c r="A1992" s="4"/>
      <c r="B1992" s="5" t="s">
        <v>3776</v>
      </c>
      <c r="C1992" s="3" t="s">
        <v>5</v>
      </c>
    </row>
    <row r="1993" spans="1:3" ht="15.75" thickBot="1">
      <c r="A1993" s="6" t="s">
        <v>3777</v>
      </c>
      <c r="B1993" s="5" t="s">
        <v>3778</v>
      </c>
      <c r="C1993" s="3" t="s">
        <v>5</v>
      </c>
    </row>
    <row r="1994" spans="1:3" ht="15.75" thickBot="1">
      <c r="A1994" s="6" t="s">
        <v>3779</v>
      </c>
      <c r="B1994" s="5" t="s">
        <v>3780</v>
      </c>
      <c r="C1994" s="3" t="s">
        <v>5</v>
      </c>
    </row>
    <row r="1995" spans="1:3" ht="15.75" thickBot="1">
      <c r="A1995" s="6" t="s">
        <v>3781</v>
      </c>
      <c r="B1995" s="5" t="s">
        <v>3782</v>
      </c>
      <c r="C1995" s="3" t="s">
        <v>5</v>
      </c>
    </row>
    <row r="1996" spans="1:3" ht="15.75" thickBot="1">
      <c r="A1996" s="6" t="s">
        <v>3783</v>
      </c>
      <c r="B1996" s="5" t="s">
        <v>3784</v>
      </c>
      <c r="C1996" s="3" t="s">
        <v>5</v>
      </c>
    </row>
    <row r="1997" spans="1:3" ht="15.75" thickBot="1">
      <c r="A1997" s="6" t="s">
        <v>3785</v>
      </c>
      <c r="B1997" s="5" t="s">
        <v>3786</v>
      </c>
      <c r="C1997" s="3" t="s">
        <v>5</v>
      </c>
    </row>
    <row r="1998" spans="1:3" ht="15.75" thickBot="1">
      <c r="A1998" s="6" t="s">
        <v>3787</v>
      </c>
      <c r="B1998" s="5" t="s">
        <v>3788</v>
      </c>
      <c r="C1998" s="3" t="s">
        <v>5</v>
      </c>
    </row>
    <row r="1999" spans="1:3" ht="15.75" thickBot="1">
      <c r="A1999" s="6" t="s">
        <v>3789</v>
      </c>
      <c r="B1999" s="5" t="s">
        <v>3790</v>
      </c>
      <c r="C1999" s="3" t="s">
        <v>5</v>
      </c>
    </row>
    <row r="2000" spans="1:3" ht="15.75" thickBot="1">
      <c r="A2000" s="6" t="s">
        <v>3791</v>
      </c>
      <c r="B2000" s="5" t="s">
        <v>3792</v>
      </c>
      <c r="C2000" s="3" t="s">
        <v>5</v>
      </c>
    </row>
    <row r="2001" spans="1:3" ht="15.75" thickBot="1">
      <c r="A2001" s="6" t="s">
        <v>3793</v>
      </c>
      <c r="B2001" s="5" t="s">
        <v>3794</v>
      </c>
      <c r="C2001" s="3" t="s">
        <v>5</v>
      </c>
    </row>
    <row r="2002" spans="1:3" ht="15.75" thickBot="1">
      <c r="A2002" s="6" t="s">
        <v>3795</v>
      </c>
      <c r="B2002" s="5" t="s">
        <v>3796</v>
      </c>
      <c r="C2002" s="3" t="s">
        <v>5</v>
      </c>
    </row>
    <row r="2003" spans="1:3" ht="15.75" thickBot="1">
      <c r="A2003" s="6" t="s">
        <v>3797</v>
      </c>
      <c r="B2003" s="5" t="s">
        <v>3798</v>
      </c>
      <c r="C2003" s="3" t="s">
        <v>5</v>
      </c>
    </row>
    <row r="2004" spans="1:3" ht="15.75" thickBot="1">
      <c r="A2004" s="6" t="s">
        <v>3799</v>
      </c>
      <c r="B2004" s="5" t="s">
        <v>3800</v>
      </c>
      <c r="C2004" s="3" t="s">
        <v>5</v>
      </c>
    </row>
    <row r="2005" spans="1:3" ht="15.75" thickBot="1">
      <c r="A2005" s="6" t="s">
        <v>3801</v>
      </c>
      <c r="B2005" s="5" t="s">
        <v>3802</v>
      </c>
      <c r="C2005" s="3" t="s">
        <v>5</v>
      </c>
    </row>
    <row r="2006" spans="1:3" ht="15.75" thickBot="1">
      <c r="A2006" s="6" t="s">
        <v>3803</v>
      </c>
      <c r="B2006" s="5" t="s">
        <v>3804</v>
      </c>
      <c r="C2006" s="3" t="s">
        <v>5</v>
      </c>
    </row>
    <row r="2007" spans="1:3" ht="15.75" thickBot="1">
      <c r="A2007" s="6" t="s">
        <v>3805</v>
      </c>
      <c r="B2007" s="5" t="s">
        <v>3806</v>
      </c>
      <c r="C2007" s="3" t="s">
        <v>5</v>
      </c>
    </row>
    <row r="2008" spans="1:3" ht="15.75" thickBot="1">
      <c r="A2008" s="6" t="s">
        <v>3807</v>
      </c>
      <c r="B2008" s="5" t="s">
        <v>3808</v>
      </c>
      <c r="C2008" s="3" t="s">
        <v>5</v>
      </c>
    </row>
    <row r="2009" spans="1:3" ht="15.75" thickBot="1">
      <c r="A2009" s="6" t="s">
        <v>3809</v>
      </c>
      <c r="B2009" s="5" t="s">
        <v>3810</v>
      </c>
      <c r="C2009" s="3" t="s">
        <v>5</v>
      </c>
    </row>
    <row r="2010" spans="1:3" ht="15.75" thickBot="1">
      <c r="A2010" s="6" t="s">
        <v>3811</v>
      </c>
      <c r="B2010" s="5" t="s">
        <v>3812</v>
      </c>
      <c r="C2010" s="3" t="s">
        <v>5</v>
      </c>
    </row>
    <row r="2011" spans="1:3" ht="15.75" thickBot="1">
      <c r="A2011" s="6" t="s">
        <v>3813</v>
      </c>
      <c r="B2011" s="5" t="s">
        <v>3814</v>
      </c>
      <c r="C2011" s="3" t="s">
        <v>5</v>
      </c>
    </row>
    <row r="2012" spans="1:3" ht="15.75" thickBot="1">
      <c r="A2012" s="6" t="s">
        <v>3815</v>
      </c>
      <c r="B2012" s="5" t="s">
        <v>3816</v>
      </c>
      <c r="C2012" s="3" t="s">
        <v>5</v>
      </c>
    </row>
    <row r="2013" spans="1:3" ht="15.75" thickBot="1">
      <c r="A2013" s="6" t="s">
        <v>3817</v>
      </c>
      <c r="B2013" s="5" t="s">
        <v>3818</v>
      </c>
      <c r="C2013" s="3" t="s">
        <v>5</v>
      </c>
    </row>
    <row r="2014" spans="1:3" ht="15.75" thickBot="1">
      <c r="A2014" s="6" t="s">
        <v>3819</v>
      </c>
      <c r="B2014" s="5" t="s">
        <v>3820</v>
      </c>
      <c r="C2014" s="3" t="s">
        <v>5</v>
      </c>
    </row>
    <row r="2015" spans="1:3" ht="15.75" thickBot="1">
      <c r="A2015" s="6" t="s">
        <v>3821</v>
      </c>
      <c r="B2015" s="5" t="s">
        <v>3822</v>
      </c>
      <c r="C2015" s="3" t="s">
        <v>5</v>
      </c>
    </row>
    <row r="2016" spans="1:3" ht="15.75" thickBot="1">
      <c r="A2016" s="6" t="s">
        <v>3823</v>
      </c>
      <c r="B2016" s="5" t="s">
        <v>3824</v>
      </c>
      <c r="C2016" s="3" t="s">
        <v>5</v>
      </c>
    </row>
    <row r="2017" spans="1:3" ht="15.75" thickBot="1">
      <c r="A2017" s="6" t="s">
        <v>3825</v>
      </c>
      <c r="B2017" s="5" t="s">
        <v>3826</v>
      </c>
      <c r="C2017" s="3" t="s">
        <v>5</v>
      </c>
    </row>
    <row r="2018" spans="1:3" ht="15.75" thickBot="1">
      <c r="A2018" s="6" t="s">
        <v>3827</v>
      </c>
      <c r="B2018" s="5" t="s">
        <v>3828</v>
      </c>
      <c r="C2018" s="3" t="s">
        <v>5</v>
      </c>
    </row>
    <row r="2019" spans="1:3" ht="15.75" thickBot="1">
      <c r="A2019" s="6" t="s">
        <v>3829</v>
      </c>
      <c r="B2019" s="5" t="s">
        <v>3830</v>
      </c>
      <c r="C2019" s="3" t="s">
        <v>5</v>
      </c>
    </row>
    <row r="2020" spans="1:3" ht="15.75" thickBot="1">
      <c r="A2020" s="6" t="s">
        <v>3831</v>
      </c>
      <c r="B2020" s="5" t="s">
        <v>3832</v>
      </c>
      <c r="C2020" s="3" t="s">
        <v>5</v>
      </c>
    </row>
    <row r="2021" spans="1:3" ht="15.75" thickBot="1">
      <c r="A2021" s="6" t="s">
        <v>3833</v>
      </c>
      <c r="B2021" s="5" t="s">
        <v>3834</v>
      </c>
      <c r="C2021" s="3" t="s">
        <v>5</v>
      </c>
    </row>
    <row r="2022" spans="1:3" ht="15.75" thickBot="1">
      <c r="A2022" s="6" t="s">
        <v>3835</v>
      </c>
      <c r="B2022" s="5" t="s">
        <v>3836</v>
      </c>
      <c r="C2022" s="3" t="s">
        <v>5</v>
      </c>
    </row>
    <row r="2023" spans="1:3" ht="15.75" thickBot="1">
      <c r="A2023" s="6" t="s">
        <v>3837</v>
      </c>
      <c r="B2023" s="5" t="s">
        <v>3838</v>
      </c>
      <c r="C2023" s="3" t="s">
        <v>5</v>
      </c>
    </row>
    <row r="2024" spans="1:3" ht="15.75" thickBot="1">
      <c r="A2024" s="6" t="s">
        <v>3839</v>
      </c>
      <c r="B2024" s="5" t="s">
        <v>3840</v>
      </c>
      <c r="C2024" s="3" t="s">
        <v>5</v>
      </c>
    </row>
    <row r="2025" spans="1:3" ht="15.75" thickBot="1">
      <c r="A2025" s="6" t="s">
        <v>3841</v>
      </c>
      <c r="B2025" s="5" t="s">
        <v>3842</v>
      </c>
      <c r="C2025" s="3" t="s">
        <v>5</v>
      </c>
    </row>
    <row r="2026" spans="1:3" ht="15.75" thickBot="1">
      <c r="A2026" s="6" t="s">
        <v>3843</v>
      </c>
      <c r="B2026" s="5" t="s">
        <v>3844</v>
      </c>
      <c r="C2026" s="3" t="s">
        <v>5</v>
      </c>
    </row>
    <row r="2027" spans="1:3" ht="15.75" thickBot="1">
      <c r="A2027" s="6" t="s">
        <v>3845</v>
      </c>
      <c r="B2027" s="5" t="s">
        <v>3846</v>
      </c>
      <c r="C2027" s="3" t="s">
        <v>5</v>
      </c>
    </row>
    <row r="2028" spans="1:3" ht="15.75" thickBot="1">
      <c r="A2028" s="6" t="s">
        <v>3847</v>
      </c>
      <c r="B2028" s="5" t="s">
        <v>3848</v>
      </c>
      <c r="C2028" s="3" t="s">
        <v>5</v>
      </c>
    </row>
    <row r="2029" spans="1:3" ht="15.75" thickBot="1">
      <c r="A2029" s="6" t="s">
        <v>3849</v>
      </c>
      <c r="B2029" s="5" t="s">
        <v>3850</v>
      </c>
      <c r="C2029" s="3" t="s">
        <v>5</v>
      </c>
    </row>
    <row r="2030" spans="1:3" ht="15.75" thickBot="1">
      <c r="A2030" s="6" t="s">
        <v>3851</v>
      </c>
      <c r="B2030" s="5" t="s">
        <v>3852</v>
      </c>
      <c r="C2030" s="3" t="s">
        <v>5</v>
      </c>
    </row>
    <row r="2031" spans="1:3" ht="15.75" thickBot="1">
      <c r="A2031" s="6" t="s">
        <v>3853</v>
      </c>
      <c r="B2031" s="5" t="s">
        <v>3854</v>
      </c>
      <c r="C2031" s="3" t="s">
        <v>5</v>
      </c>
    </row>
    <row r="2032" spans="1:3" ht="15.75" thickBot="1">
      <c r="A2032" s="6" t="s">
        <v>3855</v>
      </c>
      <c r="B2032" s="5" t="s">
        <v>3856</v>
      </c>
      <c r="C2032" s="3" t="s">
        <v>5</v>
      </c>
    </row>
    <row r="2033" spans="1:3" ht="15.75" thickBot="1">
      <c r="A2033" s="6" t="s">
        <v>3857</v>
      </c>
      <c r="B2033" s="5" t="s">
        <v>3858</v>
      </c>
      <c r="C2033" s="3" t="s">
        <v>5</v>
      </c>
    </row>
    <row r="2034" spans="1:3" ht="15.75" thickBot="1">
      <c r="A2034" s="6" t="s">
        <v>3859</v>
      </c>
      <c r="B2034" s="5" t="s">
        <v>3860</v>
      </c>
      <c r="C2034" s="3" t="s">
        <v>5</v>
      </c>
    </row>
    <row r="2035" spans="1:3" ht="15.75" thickBot="1">
      <c r="A2035" s="6" t="s">
        <v>3861</v>
      </c>
      <c r="B2035" s="5" t="s">
        <v>3862</v>
      </c>
      <c r="C2035" s="3" t="s">
        <v>5</v>
      </c>
    </row>
    <row r="2036" spans="1:3" ht="15.75" thickBot="1">
      <c r="A2036" s="6" t="s">
        <v>3863</v>
      </c>
      <c r="B2036" s="5" t="s">
        <v>3864</v>
      </c>
      <c r="C2036" s="3" t="s">
        <v>5</v>
      </c>
    </row>
    <row r="2037" spans="1:3" ht="15.75" thickBot="1">
      <c r="A2037" s="6" t="s">
        <v>3865</v>
      </c>
      <c r="B2037" s="5" t="s">
        <v>3866</v>
      </c>
      <c r="C2037" s="3" t="s">
        <v>5</v>
      </c>
    </row>
    <row r="2038" spans="1:3" ht="15.75" thickBot="1">
      <c r="A2038" s="6" t="s">
        <v>3867</v>
      </c>
      <c r="B2038" s="5" t="s">
        <v>3868</v>
      </c>
      <c r="C2038" s="3" t="s">
        <v>5</v>
      </c>
    </row>
    <row r="2039" spans="1:3" ht="15.75" thickBot="1">
      <c r="A2039" s="6" t="s">
        <v>3869</v>
      </c>
      <c r="B2039" s="5"/>
      <c r="C2039" s="3" t="s">
        <v>5</v>
      </c>
    </row>
    <row r="2040" spans="1:3" ht="15.75" thickBot="1">
      <c r="A2040" s="6" t="s">
        <v>3870</v>
      </c>
      <c r="B2040" s="5" t="s">
        <v>3871</v>
      </c>
      <c r="C2040" s="3" t="s">
        <v>5</v>
      </c>
    </row>
    <row r="2041" spans="1:3" ht="15.75" thickBot="1">
      <c r="A2041" s="6" t="s">
        <v>3872</v>
      </c>
      <c r="B2041" s="5" t="s">
        <v>3873</v>
      </c>
      <c r="C2041" s="3" t="s">
        <v>5</v>
      </c>
    </row>
    <row r="2042" spans="1:3" ht="15.75" thickBot="1">
      <c r="A2042" s="6" t="s">
        <v>3874</v>
      </c>
      <c r="B2042" s="5" t="s">
        <v>3873</v>
      </c>
      <c r="C2042" s="3" t="s">
        <v>5</v>
      </c>
    </row>
    <row r="2043" spans="1:3" ht="15.75" thickBot="1">
      <c r="A2043" s="6" t="s">
        <v>3875</v>
      </c>
      <c r="B2043" s="5" t="s">
        <v>3876</v>
      </c>
      <c r="C2043" s="3" t="s">
        <v>5</v>
      </c>
    </row>
    <row r="2044" spans="1:3" ht="15.75" thickBot="1">
      <c r="A2044" s="6" t="s">
        <v>3877</v>
      </c>
      <c r="B2044" s="5" t="s">
        <v>3878</v>
      </c>
      <c r="C2044" s="3" t="s">
        <v>5</v>
      </c>
    </row>
    <row r="2045" spans="1:3" ht="15.75" thickBot="1">
      <c r="A2045" s="6" t="s">
        <v>3879</v>
      </c>
      <c r="B2045" s="5" t="s">
        <v>3880</v>
      </c>
      <c r="C2045" s="3" t="s">
        <v>5</v>
      </c>
    </row>
    <row r="2046" spans="1:3" ht="15.75" thickBot="1">
      <c r="A2046" s="6" t="s">
        <v>3881</v>
      </c>
      <c r="B2046" s="5" t="s">
        <v>3882</v>
      </c>
      <c r="C2046" s="3" t="s">
        <v>5</v>
      </c>
    </row>
    <row r="2047" spans="1:3" ht="15.75" thickBot="1">
      <c r="A2047" s="6" t="s">
        <v>3883</v>
      </c>
      <c r="B2047" s="5" t="s">
        <v>3884</v>
      </c>
      <c r="C2047" s="3" t="s">
        <v>5</v>
      </c>
    </row>
    <row r="2048" spans="1:3" ht="15.75" thickBot="1">
      <c r="A2048" s="6" t="s">
        <v>3885</v>
      </c>
      <c r="B2048" s="5" t="s">
        <v>3886</v>
      </c>
      <c r="C2048" s="3" t="s">
        <v>5</v>
      </c>
    </row>
    <row r="2049" spans="1:3" ht="15.75" thickBot="1">
      <c r="A2049" s="6" t="s">
        <v>3887</v>
      </c>
      <c r="B2049" s="5" t="s">
        <v>3888</v>
      </c>
      <c r="C2049" s="3" t="s">
        <v>5</v>
      </c>
    </row>
    <row r="2050" spans="1:3" ht="15.75" thickBot="1">
      <c r="A2050" s="6" t="s">
        <v>3889</v>
      </c>
      <c r="B2050" s="5" t="s">
        <v>3890</v>
      </c>
      <c r="C2050" s="3" t="s">
        <v>5</v>
      </c>
    </row>
    <row r="2051" spans="1:3" ht="15.75" thickBot="1">
      <c r="A2051" s="6" t="s">
        <v>3891</v>
      </c>
      <c r="B2051" s="5" t="s">
        <v>3892</v>
      </c>
      <c r="C2051" s="3" t="s">
        <v>5</v>
      </c>
    </row>
    <row r="2052" spans="1:3" ht="15.75" thickBot="1">
      <c r="A2052" s="6" t="s">
        <v>3893</v>
      </c>
      <c r="B2052" s="5" t="s">
        <v>3894</v>
      </c>
      <c r="C2052" s="3" t="s">
        <v>5</v>
      </c>
    </row>
    <row r="2053" spans="1:3" ht="15.75" thickBot="1">
      <c r="A2053" s="6" t="s">
        <v>3895</v>
      </c>
      <c r="B2053" s="5" t="s">
        <v>3896</v>
      </c>
      <c r="C2053" s="3" t="s">
        <v>5</v>
      </c>
    </row>
    <row r="2054" spans="1:3" ht="15.75" thickBot="1">
      <c r="A2054" s="6" t="s">
        <v>3897</v>
      </c>
      <c r="B2054" s="5" t="s">
        <v>3898</v>
      </c>
      <c r="C2054" s="3" t="s">
        <v>5</v>
      </c>
    </row>
    <row r="2055" spans="1:3" ht="15.75" thickBot="1">
      <c r="A2055" s="6" t="s">
        <v>3899</v>
      </c>
      <c r="B2055" s="5" t="s">
        <v>3900</v>
      </c>
      <c r="C2055" s="3" t="s">
        <v>5</v>
      </c>
    </row>
    <row r="2056" spans="1:3" ht="15.75" thickBot="1">
      <c r="A2056" s="6" t="s">
        <v>3901</v>
      </c>
      <c r="B2056" s="5" t="s">
        <v>3902</v>
      </c>
      <c r="C2056" s="3" t="s">
        <v>5</v>
      </c>
    </row>
    <row r="2057" spans="1:3" ht="15.75" thickBot="1">
      <c r="A2057" s="6" t="s">
        <v>3903</v>
      </c>
      <c r="B2057" s="5" t="s">
        <v>3904</v>
      </c>
      <c r="C2057" s="3" t="s">
        <v>5</v>
      </c>
    </row>
    <row r="2058" spans="1:3" ht="15.75" thickBot="1">
      <c r="A2058" s="6" t="s">
        <v>3905</v>
      </c>
      <c r="B2058" s="5" t="s">
        <v>3906</v>
      </c>
      <c r="C2058" s="3" t="s">
        <v>5</v>
      </c>
    </row>
    <row r="2059" spans="1:3" ht="15.75" thickBot="1">
      <c r="A2059" s="6" t="s">
        <v>3907</v>
      </c>
      <c r="B2059" s="5" t="s">
        <v>3908</v>
      </c>
      <c r="C2059" s="3" t="s">
        <v>5</v>
      </c>
    </row>
    <row r="2060" spans="1:3" ht="15.75" thickBot="1">
      <c r="A2060" s="6" t="s">
        <v>3909</v>
      </c>
      <c r="B2060" s="5" t="s">
        <v>3910</v>
      </c>
      <c r="C2060" s="3" t="s">
        <v>5</v>
      </c>
    </row>
    <row r="2061" spans="1:3" ht="15.75" thickBot="1">
      <c r="A2061" s="6" t="s">
        <v>3911</v>
      </c>
      <c r="B2061" s="5" t="s">
        <v>3912</v>
      </c>
      <c r="C2061" s="3" t="s">
        <v>5</v>
      </c>
    </row>
    <row r="2062" spans="1:3" ht="15.75" thickBot="1">
      <c r="A2062" s="6" t="s">
        <v>3913</v>
      </c>
      <c r="B2062" s="5" t="s">
        <v>3914</v>
      </c>
      <c r="C2062" s="3" t="s">
        <v>5</v>
      </c>
    </row>
    <row r="2063" spans="1:3" ht="15.75" thickBot="1">
      <c r="A2063" s="6" t="s">
        <v>3915</v>
      </c>
      <c r="B2063" s="5" t="s">
        <v>3916</v>
      </c>
      <c r="C2063" s="3" t="s">
        <v>5</v>
      </c>
    </row>
    <row r="2064" spans="1:3" ht="15.75" thickBot="1">
      <c r="A2064" s="6" t="s">
        <v>3917</v>
      </c>
      <c r="B2064" s="5" t="s">
        <v>3918</v>
      </c>
      <c r="C2064" s="3" t="s">
        <v>5</v>
      </c>
    </row>
    <row r="2065" spans="1:3" ht="15.75" thickBot="1">
      <c r="A2065" s="6" t="s">
        <v>3919</v>
      </c>
      <c r="B2065" s="5" t="s">
        <v>3920</v>
      </c>
      <c r="C2065" s="3" t="s">
        <v>5</v>
      </c>
    </row>
    <row r="2066" spans="1:3" ht="15.75" thickBot="1">
      <c r="A2066" s="6" t="s">
        <v>3921</v>
      </c>
      <c r="B2066" s="5" t="s">
        <v>3922</v>
      </c>
      <c r="C2066" s="3" t="s">
        <v>5</v>
      </c>
    </row>
    <row r="2067" spans="1:3" ht="15.75" thickBot="1">
      <c r="A2067" s="6" t="s">
        <v>3923</v>
      </c>
      <c r="B2067" s="5" t="s">
        <v>3924</v>
      </c>
      <c r="C2067" s="3" t="s">
        <v>5</v>
      </c>
    </row>
    <row r="2068" spans="1:3">
      <c r="A2068" s="1" t="s">
        <v>3925</v>
      </c>
      <c r="B2068" s="2" t="s">
        <v>3926</v>
      </c>
      <c r="C2068" s="3" t="s">
        <v>5</v>
      </c>
    </row>
    <row r="2069" spans="1:3" ht="15.75" thickBot="1">
      <c r="A2069" s="4"/>
      <c r="B2069" s="5" t="s">
        <v>3927</v>
      </c>
      <c r="C2069" s="3" t="s">
        <v>5</v>
      </c>
    </row>
    <row r="2070" spans="1:3" ht="15.75" thickBot="1">
      <c r="A2070" s="6" t="s">
        <v>3928</v>
      </c>
      <c r="B2070" s="5" t="s">
        <v>3929</v>
      </c>
      <c r="C2070" s="3" t="s">
        <v>5</v>
      </c>
    </row>
    <row r="2071" spans="1:3" ht="15.75" thickBot="1">
      <c r="A2071" s="6" t="s">
        <v>3930</v>
      </c>
      <c r="B2071" s="5" t="s">
        <v>3931</v>
      </c>
      <c r="C2071" s="3" t="s">
        <v>5</v>
      </c>
    </row>
    <row r="2072" spans="1:3" ht="15.75" thickBot="1">
      <c r="A2072" s="6" t="s">
        <v>3932</v>
      </c>
      <c r="B2072" s="5" t="s">
        <v>3933</v>
      </c>
      <c r="C2072" s="3" t="s">
        <v>5</v>
      </c>
    </row>
    <row r="2073" spans="1:3" ht="15.75" thickBot="1">
      <c r="A2073" s="6" t="s">
        <v>3934</v>
      </c>
      <c r="B2073" s="5" t="s">
        <v>3935</v>
      </c>
      <c r="C2073" s="3" t="s">
        <v>5</v>
      </c>
    </row>
    <row r="2074" spans="1:3" ht="15.75" thickBot="1">
      <c r="A2074" s="6" t="s">
        <v>3936</v>
      </c>
      <c r="B2074" s="5" t="s">
        <v>3937</v>
      </c>
      <c r="C2074" s="3" t="s">
        <v>5</v>
      </c>
    </row>
    <row r="2075" spans="1:3">
      <c r="A2075" s="1" t="s">
        <v>3938</v>
      </c>
      <c r="B2075" s="2" t="s">
        <v>3939</v>
      </c>
      <c r="C2075" s="3" t="s">
        <v>5</v>
      </c>
    </row>
    <row r="2076" spans="1:3" ht="15.75" thickBot="1">
      <c r="A2076" s="4"/>
      <c r="B2076" s="5" t="e">
        <f xml:space="preserve"> decay factor</f>
        <v>#NAME?</v>
      </c>
      <c r="C2076" s="3" t="s">
        <v>5</v>
      </c>
    </row>
    <row r="2077" spans="1:3" ht="15.75" thickBot="1">
      <c r="A2077" s="6" t="s">
        <v>3940</v>
      </c>
      <c r="B2077" s="5" t="s">
        <v>3941</v>
      </c>
      <c r="C2077" s="3" t="s">
        <v>5</v>
      </c>
    </row>
    <row r="2078" spans="1:3" ht="15.75" thickBot="1">
      <c r="A2078" s="6" t="s">
        <v>3942</v>
      </c>
      <c r="B2078" s="5" t="s">
        <v>3943</v>
      </c>
      <c r="C2078" s="3" t="s">
        <v>5</v>
      </c>
    </row>
    <row r="2079" spans="1:3" ht="15.75" thickBot="1">
      <c r="A2079" s="6" t="s">
        <v>3944</v>
      </c>
      <c r="B2079" s="5" t="s">
        <v>3945</v>
      </c>
      <c r="C2079" s="3" t="s">
        <v>5</v>
      </c>
    </row>
    <row r="2080" spans="1:3">
      <c r="A2080" s="1" t="s">
        <v>3946</v>
      </c>
      <c r="B2080" s="2" t="s">
        <v>3947</v>
      </c>
      <c r="C2080" s="3" t="s">
        <v>5</v>
      </c>
    </row>
    <row r="2081" spans="1:3" ht="15.75" thickBot="1">
      <c r="A2081" s="4"/>
      <c r="B2081" s="5" t="s">
        <v>3948</v>
      </c>
      <c r="C2081" s="3" t="s">
        <v>5</v>
      </c>
    </row>
    <row r="2082" spans="1:3" ht="15.75" thickBot="1">
      <c r="A2082" s="6" t="s">
        <v>3949</v>
      </c>
      <c r="B2082" s="5" t="s">
        <v>3950</v>
      </c>
      <c r="C2082" s="3" t="s">
        <v>5</v>
      </c>
    </row>
    <row r="2083" spans="1:3" ht="15.75" thickBot="1">
      <c r="A2083" s="6" t="s">
        <v>3951</v>
      </c>
      <c r="B2083" s="5" t="s">
        <v>3952</v>
      </c>
      <c r="C2083" s="3" t="s">
        <v>5</v>
      </c>
    </row>
    <row r="2084" spans="1:3" ht="15.75" thickBot="1">
      <c r="A2084" s="6" t="s">
        <v>3953</v>
      </c>
      <c r="B2084" s="5" t="s">
        <v>3954</v>
      </c>
      <c r="C2084" s="3" t="s">
        <v>5</v>
      </c>
    </row>
    <row r="2085" spans="1:3" ht="15.75" thickBot="1">
      <c r="A2085" s="6" t="s">
        <v>3955</v>
      </c>
      <c r="B2085" s="5" t="s">
        <v>3956</v>
      </c>
      <c r="C2085" s="3" t="s">
        <v>5</v>
      </c>
    </row>
    <row r="2086" spans="1:3" ht="15.75" thickBot="1">
      <c r="A2086" s="6" t="s">
        <v>3957</v>
      </c>
      <c r="B2086" s="5" t="s">
        <v>3958</v>
      </c>
      <c r="C2086" s="3" t="s">
        <v>5</v>
      </c>
    </row>
    <row r="2087" spans="1:3" ht="15.75" thickBot="1">
      <c r="A2087" s="6" t="s">
        <v>3959</v>
      </c>
      <c r="B2087" s="5" t="s">
        <v>3960</v>
      </c>
      <c r="C2087" s="3" t="s">
        <v>5</v>
      </c>
    </row>
    <row r="2088" spans="1:3" ht="15.75" thickBot="1">
      <c r="A2088" s="6" t="s">
        <v>3961</v>
      </c>
      <c r="B2088" s="5" t="s">
        <v>3962</v>
      </c>
      <c r="C2088" s="3" t="s">
        <v>5</v>
      </c>
    </row>
    <row r="2089" spans="1:3" ht="15.75" thickBot="1">
      <c r="A2089" s="6" t="s">
        <v>3963</v>
      </c>
      <c r="B2089" s="5" t="s">
        <v>3964</v>
      </c>
      <c r="C2089" s="3" t="s">
        <v>5</v>
      </c>
    </row>
    <row r="2090" spans="1:3" ht="15.75" thickBot="1">
      <c r="A2090" s="6" t="s">
        <v>3965</v>
      </c>
      <c r="B2090" s="5" t="s">
        <v>3966</v>
      </c>
      <c r="C2090" s="3" t="s">
        <v>5</v>
      </c>
    </row>
    <row r="2091" spans="1:3" ht="15.75" thickBot="1">
      <c r="A2091" s="6" t="s">
        <v>3967</v>
      </c>
      <c r="B2091" s="5" t="s">
        <v>3968</v>
      </c>
      <c r="C2091" s="3" t="s">
        <v>5</v>
      </c>
    </row>
    <row r="2092" spans="1:3" ht="15.75" thickBot="1">
      <c r="A2092" s="6" t="s">
        <v>3969</v>
      </c>
      <c r="B2092" s="5" t="s">
        <v>3970</v>
      </c>
      <c r="C2092" s="3" t="s">
        <v>5</v>
      </c>
    </row>
    <row r="2093" spans="1:3" ht="15.75" thickBot="1">
      <c r="A2093" s="6" t="s">
        <v>3971</v>
      </c>
      <c r="B2093" s="5" t="s">
        <v>3972</v>
      </c>
      <c r="C2093" s="3" t="s">
        <v>5</v>
      </c>
    </row>
    <row r="2094" spans="1:3" ht="15.75" thickBot="1">
      <c r="A2094" s="6" t="s">
        <v>3973</v>
      </c>
      <c r="B2094" s="5" t="s">
        <v>3974</v>
      </c>
      <c r="C2094" s="3" t="s">
        <v>5</v>
      </c>
    </row>
    <row r="2095" spans="1:3" ht="15.75" thickBot="1">
      <c r="A2095" s="6" t="s">
        <v>3975</v>
      </c>
      <c r="B2095" s="5" t="e">
        <f xml:space="preserve"> constant time-lag</f>
        <v>#NAME?</v>
      </c>
      <c r="C2095" s="3" t="s">
        <v>5</v>
      </c>
    </row>
    <row r="2096" spans="1:3" ht="15.75" thickBot="1">
      <c r="A2096" s="6" t="s">
        <v>3976</v>
      </c>
      <c r="B2096" s="5" t="s">
        <v>3977</v>
      </c>
      <c r="C2096" s="3" t="s">
        <v>5</v>
      </c>
    </row>
    <row r="2097" spans="1:3" ht="15.75" thickBot="1">
      <c r="A2097" s="6" t="s">
        <v>3978</v>
      </c>
      <c r="B2097" s="5" t="s">
        <v>3979</v>
      </c>
      <c r="C2097" s="3" t="s">
        <v>5</v>
      </c>
    </row>
    <row r="2098" spans="1:3" ht="15.75" thickBot="1">
      <c r="A2098" s="6" t="s">
        <v>3980</v>
      </c>
      <c r="B2098" s="5" t="s">
        <v>3981</v>
      </c>
      <c r="C2098" s="3" t="s">
        <v>5</v>
      </c>
    </row>
    <row r="2099" spans="1:3" ht="15.75" thickBot="1">
      <c r="A2099" s="6" t="s">
        <v>3982</v>
      </c>
      <c r="B2099" s="5" t="s">
        <v>3983</v>
      </c>
      <c r="C2099" s="3" t="s">
        <v>5</v>
      </c>
    </row>
    <row r="2100" spans="1:3" ht="15.75" thickBot="1">
      <c r="A2100" s="6" t="s">
        <v>3984</v>
      </c>
      <c r="B2100" s="5" t="s">
        <v>3985</v>
      </c>
      <c r="C2100" s="3" t="s">
        <v>5</v>
      </c>
    </row>
    <row r="2101" spans="1:3" ht="15.75" thickBot="1">
      <c r="A2101" s="6" t="s">
        <v>3986</v>
      </c>
      <c r="B2101" s="5" t="s">
        <v>3987</v>
      </c>
      <c r="C2101" s="3" t="s">
        <v>5</v>
      </c>
    </row>
    <row r="2102" spans="1:3" ht="15.75" thickBot="1">
      <c r="A2102" s="6" t="s">
        <v>3988</v>
      </c>
      <c r="B2102" s="5" t="s">
        <v>3989</v>
      </c>
      <c r="C2102" s="3" t="s">
        <v>5</v>
      </c>
    </row>
    <row r="2103" spans="1:3" ht="15.75" thickBot="1">
      <c r="A2103" s="6" t="s">
        <v>3990</v>
      </c>
      <c r="B2103" s="5" t="s">
        <v>3991</v>
      </c>
      <c r="C2103" s="3" t="s">
        <v>5</v>
      </c>
    </row>
    <row r="2104" spans="1:3" ht="15.75" thickBot="1">
      <c r="A2104" s="6" t="s">
        <v>3992</v>
      </c>
      <c r="B2104" s="5" t="s">
        <v>3993</v>
      </c>
      <c r="C2104" s="3" t="s">
        <v>5</v>
      </c>
    </row>
    <row r="2105" spans="1:3" ht="15.75" thickBot="1">
      <c r="A2105" s="6" t="s">
        <v>3994</v>
      </c>
      <c r="B2105" s="5" t="s">
        <v>3995</v>
      </c>
      <c r="C2105" s="3" t="s">
        <v>5</v>
      </c>
    </row>
    <row r="2106" spans="1:3" ht="15.75" thickBot="1">
      <c r="A2106" s="6" t="s">
        <v>3996</v>
      </c>
      <c r="B2106" s="5" t="s">
        <v>3997</v>
      </c>
      <c r="C2106" s="3" t="s">
        <v>5</v>
      </c>
    </row>
    <row r="2107" spans="1:3" ht="15.75" thickBot="1">
      <c r="A2107" s="6" t="s">
        <v>3998</v>
      </c>
      <c r="B2107" s="5" t="s">
        <v>3999</v>
      </c>
      <c r="C2107" s="3" t="s">
        <v>5</v>
      </c>
    </row>
    <row r="2108" spans="1:3" ht="15.75" thickBot="1">
      <c r="A2108" s="6" t="s">
        <v>4000</v>
      </c>
      <c r="B2108" s="5" t="s">
        <v>4001</v>
      </c>
      <c r="C2108" s="3" t="s">
        <v>5</v>
      </c>
    </row>
    <row r="2109" spans="1:3" ht="15.75" thickBot="1">
      <c r="A2109" s="6" t="s">
        <v>4002</v>
      </c>
      <c r="B2109" s="5" t="s">
        <v>4003</v>
      </c>
      <c r="C2109" s="3" t="s">
        <v>5</v>
      </c>
    </row>
    <row r="2110" spans="1:3" ht="15.75" thickBot="1">
      <c r="A2110" s="6" t="s">
        <v>4004</v>
      </c>
      <c r="B2110" s="5" t="s">
        <v>4005</v>
      </c>
      <c r="C2110" s="3" t="s">
        <v>5</v>
      </c>
    </row>
    <row r="2111" spans="1:3" ht="15.75" thickBot="1">
      <c r="A2111" s="6" t="s">
        <v>4006</v>
      </c>
      <c r="B2111" s="5" t="s">
        <v>4007</v>
      </c>
      <c r="C2111" s="3" t="s">
        <v>5</v>
      </c>
    </row>
    <row r="2112" spans="1:3" ht="15.75" thickBot="1">
      <c r="A2112" s="6" t="s">
        <v>4008</v>
      </c>
      <c r="B2112" s="5" t="s">
        <v>4009</v>
      </c>
      <c r="C2112" s="3" t="s">
        <v>5</v>
      </c>
    </row>
    <row r="2113" spans="1:3" ht="15.75" thickBot="1">
      <c r="A2113" s="6" t="s">
        <v>4010</v>
      </c>
      <c r="B2113" s="5" t="s">
        <v>4011</v>
      </c>
      <c r="C2113" s="3" t="s">
        <v>5</v>
      </c>
    </row>
    <row r="2114" spans="1:3" ht="15.75" thickBot="1">
      <c r="A2114" s="6" t="s">
        <v>4012</v>
      </c>
      <c r="B2114" s="5" t="s">
        <v>4013</v>
      </c>
      <c r="C2114" s="3" t="s">
        <v>5</v>
      </c>
    </row>
    <row r="2115" spans="1:3" ht="15.75" thickBot="1">
      <c r="A2115" s="6" t="s">
        <v>4014</v>
      </c>
      <c r="B2115" s="5" t="s">
        <v>4015</v>
      </c>
      <c r="C2115" s="3" t="s">
        <v>5</v>
      </c>
    </row>
    <row r="2116" spans="1:3" ht="15.75" thickBot="1">
      <c r="A2116" s="6" t="s">
        <v>4016</v>
      </c>
      <c r="B2116" s="5" t="s">
        <v>4017</v>
      </c>
      <c r="C2116" s="3" t="s">
        <v>5</v>
      </c>
    </row>
    <row r="2117" spans="1:3" ht="15.75" thickBot="1">
      <c r="A2117" s="6" t="s">
        <v>4018</v>
      </c>
      <c r="B2117" s="5" t="s">
        <v>4019</v>
      </c>
      <c r="C2117" s="3" t="s">
        <v>5</v>
      </c>
    </row>
    <row r="2118" spans="1:3">
      <c r="A2118" s="1" t="s">
        <v>4020</v>
      </c>
      <c r="B2118" s="2" t="s">
        <v>4021</v>
      </c>
      <c r="C2118" s="3" t="s">
        <v>5</v>
      </c>
    </row>
    <row r="2119" spans="1:3" ht="15.75" thickBot="1">
      <c r="A2119" s="4"/>
      <c r="B2119" s="5" t="s">
        <v>4022</v>
      </c>
      <c r="C2119" s="3" t="s">
        <v>5</v>
      </c>
    </row>
    <row r="2120" spans="1:3" ht="15.75" thickBot="1">
      <c r="A2120" s="6" t="s">
        <v>4023</v>
      </c>
      <c r="B2120" s="5" t="s">
        <v>4024</v>
      </c>
      <c r="C2120" s="3" t="s">
        <v>5</v>
      </c>
    </row>
    <row r="2121" spans="1:3" ht="15.75" thickBot="1">
      <c r="A2121" s="6" t="s">
        <v>4025</v>
      </c>
      <c r="B2121" s="5" t="s">
        <v>4026</v>
      </c>
      <c r="C2121" s="3" t="s">
        <v>5</v>
      </c>
    </row>
    <row r="2122" spans="1:3" ht="15.75" thickBot="1">
      <c r="A2122" s="6" t="s">
        <v>4027</v>
      </c>
      <c r="B2122" s="5" t="s">
        <v>4028</v>
      </c>
      <c r="C2122" s="3" t="s">
        <v>5</v>
      </c>
    </row>
    <row r="2123" spans="1:3" ht="15.75" thickBot="1">
      <c r="A2123" s="6" t="s">
        <v>4029</v>
      </c>
      <c r="B2123" s="5" t="s">
        <v>4030</v>
      </c>
      <c r="C2123" s="3" t="s">
        <v>5</v>
      </c>
    </row>
    <row r="2124" spans="1:3" ht="15.75" thickBot="1">
      <c r="A2124" s="6" t="s">
        <v>4031</v>
      </c>
      <c r="B2124" s="5" t="s">
        <v>4032</v>
      </c>
      <c r="C2124" s="3" t="s">
        <v>5</v>
      </c>
    </row>
    <row r="2125" spans="1:3" ht="15.75" thickBot="1">
      <c r="A2125" s="6" t="s">
        <v>4033</v>
      </c>
      <c r="B2125" s="5" t="s">
        <v>4034</v>
      </c>
      <c r="C2125" s="3" t="s">
        <v>5</v>
      </c>
    </row>
    <row r="2126" spans="1:3">
      <c r="A2126" s="1" t="s">
        <v>4035</v>
      </c>
      <c r="B2126" s="2" t="s">
        <v>4036</v>
      </c>
      <c r="C2126" s="3" t="s">
        <v>5</v>
      </c>
    </row>
    <row r="2127" spans="1:3" ht="15.75" thickBot="1">
      <c r="A2127" s="4"/>
      <c r="B2127" s="5" t="s">
        <v>4037</v>
      </c>
      <c r="C2127" s="3" t="s">
        <v>5</v>
      </c>
    </row>
    <row r="2128" spans="1:3" ht="15.75" thickBot="1">
      <c r="A2128" s="6" t="s">
        <v>4038</v>
      </c>
      <c r="B2128" s="5" t="s">
        <v>4039</v>
      </c>
      <c r="C2128" s="3" t="s">
        <v>5</v>
      </c>
    </row>
    <row r="2129" spans="1:3" ht="15.75" thickBot="1">
      <c r="A2129" s="6" t="s">
        <v>4040</v>
      </c>
      <c r="B2129" s="5" t="s">
        <v>4041</v>
      </c>
      <c r="C2129" s="3" t="s">
        <v>5</v>
      </c>
    </row>
    <row r="2130" spans="1:3" ht="15.75" thickBot="1">
      <c r="A2130" s="6" t="s">
        <v>4042</v>
      </c>
      <c r="B2130" s="5" t="s">
        <v>4043</v>
      </c>
      <c r="C2130" s="3" t="s">
        <v>5</v>
      </c>
    </row>
    <row r="2131" spans="1:3" ht="15.75" thickBot="1">
      <c r="A2131" s="6" t="s">
        <v>4044</v>
      </c>
      <c r="B2131" s="5" t="s">
        <v>4045</v>
      </c>
      <c r="C2131" s="3" t="s">
        <v>5</v>
      </c>
    </row>
    <row r="2132" spans="1:3" ht="15.75" thickBot="1">
      <c r="A2132" s="6" t="s">
        <v>4046</v>
      </c>
      <c r="B2132" s="5" t="s">
        <v>4047</v>
      </c>
      <c r="C2132" s="3" t="s">
        <v>5</v>
      </c>
    </row>
    <row r="2133" spans="1:3" ht="15.75" thickBot="1">
      <c r="A2133" s="6" t="s">
        <v>4048</v>
      </c>
      <c r="B2133" s="5" t="s">
        <v>2974</v>
      </c>
      <c r="C2133" s="3" t="s">
        <v>5</v>
      </c>
    </row>
    <row r="2134" spans="1:3" ht="15.75" thickBot="1">
      <c r="A2134" s="6" t="s">
        <v>4049</v>
      </c>
      <c r="B2134" s="5" t="s">
        <v>4050</v>
      </c>
      <c r="C2134" s="3" t="s">
        <v>5</v>
      </c>
    </row>
    <row r="2135" spans="1:3" ht="15.75" thickBot="1">
      <c r="A2135" s="6" t="s">
        <v>4051</v>
      </c>
      <c r="B2135" s="5" t="s">
        <v>4052</v>
      </c>
      <c r="C2135" s="3" t="s">
        <v>5</v>
      </c>
    </row>
    <row r="2136" spans="1:3">
      <c r="A2136" s="1" t="s">
        <v>4053</v>
      </c>
      <c r="B2136" s="2" t="s">
        <v>4054</v>
      </c>
      <c r="C2136" s="3" t="s">
        <v>5</v>
      </c>
    </row>
    <row r="2137" spans="1:3" ht="15.75" thickBot="1">
      <c r="A2137" s="4"/>
      <c r="B2137" s="5" t="e">
        <f xml:space="preserve"> demand integration period</f>
        <v>#NAME?</v>
      </c>
      <c r="C2137" s="3" t="s">
        <v>5</v>
      </c>
    </row>
    <row r="2138" spans="1:3" ht="15.75" thickBot="1">
      <c r="A2138" s="6" t="s">
        <v>4055</v>
      </c>
      <c r="B2138" s="5" t="s">
        <v>4056</v>
      </c>
      <c r="C2138" s="3" t="s">
        <v>5</v>
      </c>
    </row>
    <row r="2139" spans="1:3" ht="15.75" thickBot="1">
      <c r="A2139" s="6" t="s">
        <v>4057</v>
      </c>
      <c r="B2139" s="5" t="s">
        <v>4058</v>
      </c>
      <c r="C2139" s="3" t="s">
        <v>5</v>
      </c>
    </row>
    <row r="2140" spans="1:3" ht="15.75" thickBot="1">
      <c r="A2140" s="6" t="s">
        <v>4059</v>
      </c>
      <c r="B2140" s="5" t="s">
        <v>4060</v>
      </c>
      <c r="C2140" s="3" t="s">
        <v>5</v>
      </c>
    </row>
    <row r="2141" spans="1:3" ht="15.75" thickBot="1">
      <c r="A2141" s="6" t="s">
        <v>4061</v>
      </c>
      <c r="B2141" s="5" t="s">
        <v>4062</v>
      </c>
      <c r="C2141" s="3" t="s">
        <v>5</v>
      </c>
    </row>
    <row r="2142" spans="1:3" ht="15.75" thickBot="1">
      <c r="A2142" s="6" t="s">
        <v>4063</v>
      </c>
      <c r="B2142" s="5" t="s">
        <v>4064</v>
      </c>
      <c r="C2142" s="3" t="s">
        <v>5</v>
      </c>
    </row>
    <row r="2143" spans="1:3" ht="15.75" thickBot="1">
      <c r="A2143" s="6" t="s">
        <v>4065</v>
      </c>
      <c r="B2143" s="5" t="s">
        <v>4066</v>
      </c>
      <c r="C2143" s="3" t="s">
        <v>5</v>
      </c>
    </row>
    <row r="2144" spans="1:3" ht="15.75" thickBot="1">
      <c r="A2144" s="6" t="s">
        <v>4067</v>
      </c>
      <c r="B2144" s="5" t="s">
        <v>4068</v>
      </c>
      <c r="C2144" s="3" t="s">
        <v>5</v>
      </c>
    </row>
    <row r="2145" spans="1:3" ht="15.75" thickBot="1">
      <c r="A2145" s="6" t="s">
        <v>4069</v>
      </c>
      <c r="B2145" s="5" t="s">
        <v>2648</v>
      </c>
      <c r="C2145" s="3" t="s">
        <v>5</v>
      </c>
    </row>
    <row r="2146" spans="1:3" ht="15.75" thickBot="1">
      <c r="A2146" s="6" t="s">
        <v>4070</v>
      </c>
      <c r="B2146" s="5" t="s">
        <v>3794</v>
      </c>
      <c r="C2146" s="3" t="s">
        <v>5</v>
      </c>
    </row>
    <row r="2147" spans="1:3" ht="15.75" thickBot="1">
      <c r="A2147" s="6" t="s">
        <v>4071</v>
      </c>
      <c r="B2147" s="5" t="s">
        <v>4072</v>
      </c>
      <c r="C2147" s="3" t="s">
        <v>5</v>
      </c>
    </row>
    <row r="2148" spans="1:3" ht="15.75" thickBot="1">
      <c r="A2148" s="6" t="s">
        <v>4073</v>
      </c>
      <c r="B2148" s="5" t="s">
        <v>4074</v>
      </c>
      <c r="C2148" s="3" t="s">
        <v>5</v>
      </c>
    </row>
    <row r="2149" spans="1:3" ht="15.75" thickBot="1">
      <c r="A2149" s="6" t="s">
        <v>4075</v>
      </c>
      <c r="B2149" s="5" t="s">
        <v>4076</v>
      </c>
      <c r="C2149" s="3" t="s">
        <v>5</v>
      </c>
    </row>
    <row r="2150" spans="1:3" ht="15.75" thickBot="1">
      <c r="A2150" s="6" t="s">
        <v>4077</v>
      </c>
      <c r="B2150" s="5" t="s">
        <v>4078</v>
      </c>
      <c r="C2150" s="3" t="s">
        <v>5</v>
      </c>
    </row>
    <row r="2151" spans="1:3" ht="15.75" thickBot="1">
      <c r="A2151" s="6" t="s">
        <v>4079</v>
      </c>
      <c r="B2151" s="5" t="s">
        <v>4080</v>
      </c>
      <c r="C2151" s="3" t="s">
        <v>5</v>
      </c>
    </row>
    <row r="2152" spans="1:3" ht="15.75" thickBot="1">
      <c r="A2152" s="6" t="s">
        <v>4081</v>
      </c>
      <c r="B2152" s="5" t="s">
        <v>4082</v>
      </c>
      <c r="C2152" s="3" t="s">
        <v>5</v>
      </c>
    </row>
    <row r="2153" spans="1:3" ht="15.75" thickBot="1">
      <c r="A2153" s="6" t="s">
        <v>4083</v>
      </c>
      <c r="B2153" s="5" t="s">
        <v>4084</v>
      </c>
      <c r="C2153" s="3" t="s">
        <v>5</v>
      </c>
    </row>
    <row r="2154" spans="1:3" ht="15.75" thickBot="1">
      <c r="A2154" s="6" t="s">
        <v>4085</v>
      </c>
      <c r="B2154" s="5" t="s">
        <v>4086</v>
      </c>
      <c r="C2154" s="3" t="s">
        <v>5</v>
      </c>
    </row>
    <row r="2155" spans="1:3" ht="15.75" thickBot="1">
      <c r="A2155" s="6" t="s">
        <v>4087</v>
      </c>
      <c r="B2155" s="5" t="s">
        <v>4088</v>
      </c>
      <c r="C2155" s="3" t="s">
        <v>5</v>
      </c>
    </row>
    <row r="2156" spans="1:3" ht="15.75" thickBot="1">
      <c r="A2156" s="6" t="s">
        <v>4089</v>
      </c>
      <c r="B2156" s="5" t="s">
        <v>4090</v>
      </c>
      <c r="C2156" s="3" t="s">
        <v>5</v>
      </c>
    </row>
    <row r="2157" spans="1:3" ht="15.75" thickBot="1">
      <c r="A2157" s="6" t="s">
        <v>4091</v>
      </c>
      <c r="B2157" s="5" t="s">
        <v>4092</v>
      </c>
      <c r="C2157" s="3" t="s">
        <v>5</v>
      </c>
    </row>
    <row r="2158" spans="1:3" ht="15.75" thickBot="1">
      <c r="A2158" s="6" t="s">
        <v>4093</v>
      </c>
      <c r="B2158" s="5" t="s">
        <v>4094</v>
      </c>
      <c r="C2158" s="3" t="s">
        <v>5</v>
      </c>
    </row>
    <row r="2159" spans="1:3" ht="15.75" thickBot="1">
      <c r="A2159" s="6" t="s">
        <v>4095</v>
      </c>
      <c r="B2159" s="5" t="s">
        <v>4096</v>
      </c>
      <c r="C2159" s="3" t="s">
        <v>5</v>
      </c>
    </row>
    <row r="2160" spans="1:3" ht="15.75" thickBot="1">
      <c r="A2160" s="6" t="s">
        <v>4097</v>
      </c>
      <c r="B2160" s="5" t="s">
        <v>4098</v>
      </c>
      <c r="C2160" s="3" t="s">
        <v>5</v>
      </c>
    </row>
    <row r="2161" spans="1:3" ht="15.75" thickBot="1">
      <c r="A2161" s="6" t="s">
        <v>4099</v>
      </c>
      <c r="B2161" s="5" t="s">
        <v>4100</v>
      </c>
      <c r="C2161" s="3" t="s">
        <v>5</v>
      </c>
    </row>
    <row r="2162" spans="1:3" ht="15.75" thickBot="1">
      <c r="A2162" s="6" t="s">
        <v>4101</v>
      </c>
      <c r="B2162" s="5" t="s">
        <v>4102</v>
      </c>
      <c r="C2162" s="3" t="s">
        <v>5</v>
      </c>
    </row>
    <row r="2163" spans="1:3" ht="15.75" thickBot="1">
      <c r="A2163" s="6" t="s">
        <v>4103</v>
      </c>
      <c r="B2163" s="5" t="s">
        <v>4104</v>
      </c>
      <c r="C2163" s="3" t="s">
        <v>5</v>
      </c>
    </row>
    <row r="2164" spans="1:3">
      <c r="A2164" s="1" t="s">
        <v>4105</v>
      </c>
      <c r="B2164" s="2" t="s">
        <v>4106</v>
      </c>
      <c r="C2164" s="3" t="s">
        <v>5</v>
      </c>
    </row>
    <row r="2165" spans="1:3" ht="15.75" thickBot="1">
      <c r="A2165" s="4"/>
      <c r="B2165" s="5" t="s">
        <v>4107</v>
      </c>
      <c r="C2165" s="3" t="s">
        <v>5</v>
      </c>
    </row>
    <row r="2166" spans="1:3">
      <c r="A2166" s="1" t="s">
        <v>4108</v>
      </c>
      <c r="B2166" s="2" t="s">
        <v>4109</v>
      </c>
      <c r="C2166" s="3" t="s">
        <v>5</v>
      </c>
    </row>
    <row r="2167" spans="1:3" ht="15.75" thickBot="1">
      <c r="A2167" s="4"/>
      <c r="B2167" s="5" t="s">
        <v>4110</v>
      </c>
      <c r="C2167" s="3" t="s">
        <v>5</v>
      </c>
    </row>
    <row r="2168" spans="1:3" ht="15.75" thickBot="1">
      <c r="A2168" s="6" t="s">
        <v>4111</v>
      </c>
      <c r="B2168" s="5" t="e">
        <f xml:space="preserve"> destructive read - out</f>
        <v>#NAME?</v>
      </c>
      <c r="C2168" s="3" t="s">
        <v>5</v>
      </c>
    </row>
    <row r="2169" spans="1:3" ht="15.75" thickBot="1">
      <c r="A2169" s="6" t="s">
        <v>4112</v>
      </c>
      <c r="B2169" s="5" t="e">
        <f xml:space="preserve"> destructive read-in</f>
        <v>#NAME?</v>
      </c>
      <c r="C2169" s="3" t="s">
        <v>5</v>
      </c>
    </row>
    <row r="2170" spans="1:3" ht="15.75" thickBot="1">
      <c r="A2170" s="6" t="s">
        <v>4113</v>
      </c>
      <c r="B2170" s="5" t="s">
        <v>4114</v>
      </c>
      <c r="C2170" s="3" t="s">
        <v>5</v>
      </c>
    </row>
    <row r="2171" spans="1:3" ht="15.75" thickBot="1">
      <c r="A2171" s="6" t="s">
        <v>4115</v>
      </c>
      <c r="B2171" s="5" t="s">
        <v>4116</v>
      </c>
      <c r="C2171" s="3" t="s">
        <v>5</v>
      </c>
    </row>
    <row r="2172" spans="1:3" ht="15.75" thickBot="1">
      <c r="A2172" s="6" t="s">
        <v>4117</v>
      </c>
      <c r="B2172" s="5" t="s">
        <v>4118</v>
      </c>
      <c r="C2172" s="3" t="s">
        <v>5</v>
      </c>
    </row>
    <row r="2173" spans="1:3" ht="15.75" thickBot="1">
      <c r="A2173" s="6" t="s">
        <v>4119</v>
      </c>
      <c r="B2173" s="5" t="s">
        <v>4120</v>
      </c>
      <c r="C2173" s="3" t="s">
        <v>5</v>
      </c>
    </row>
    <row r="2174" spans="1:3" ht="15.75" thickBot="1">
      <c r="A2174" s="6" t="s">
        <v>4121</v>
      </c>
      <c r="B2174" s="5" t="s">
        <v>4122</v>
      </c>
      <c r="C2174" s="3" t="s">
        <v>5</v>
      </c>
    </row>
    <row r="2175" spans="1:3" ht="26.25" thickBot="1">
      <c r="A2175" s="6" t="s">
        <v>4123</v>
      </c>
      <c r="B2175" s="5" t="s">
        <v>4124</v>
      </c>
      <c r="C2175" s="3" t="s">
        <v>5</v>
      </c>
    </row>
    <row r="2176" spans="1:3" ht="15.75" thickBot="1">
      <c r="A2176" s="6" t="s">
        <v>4125</v>
      </c>
      <c r="B2176" s="5" t="s">
        <v>4126</v>
      </c>
      <c r="C2176" s="3" t="s">
        <v>5</v>
      </c>
    </row>
    <row r="2177" spans="1:3" ht="15.75" thickBot="1">
      <c r="A2177" s="6" t="s">
        <v>4125</v>
      </c>
      <c r="B2177" s="5" t="s">
        <v>4126</v>
      </c>
      <c r="C2177" s="3" t="s">
        <v>5</v>
      </c>
    </row>
    <row r="2178" spans="1:3" ht="15.75" thickBot="1">
      <c r="A2178" s="6" t="s">
        <v>4127</v>
      </c>
      <c r="B2178" s="5" t="s">
        <v>4128</v>
      </c>
      <c r="C2178" s="3" t="s">
        <v>5</v>
      </c>
    </row>
    <row r="2179" spans="1:3" ht="15.75" thickBot="1">
      <c r="A2179" s="6" t="s">
        <v>4129</v>
      </c>
      <c r="B2179" s="5" t="s">
        <v>4130</v>
      </c>
      <c r="C2179" s="3" t="s">
        <v>5</v>
      </c>
    </row>
    <row r="2180" spans="1:3" ht="15.75" thickBot="1">
      <c r="A2180" s="6" t="s">
        <v>4131</v>
      </c>
      <c r="B2180" s="5" t="s">
        <v>4132</v>
      </c>
      <c r="C2180" s="3" t="s">
        <v>5</v>
      </c>
    </row>
    <row r="2181" spans="1:3" ht="15.75" thickBot="1">
      <c r="A2181" s="6" t="s">
        <v>4133</v>
      </c>
      <c r="B2181" s="5" t="s">
        <v>4134</v>
      </c>
      <c r="C2181" s="3" t="s">
        <v>5</v>
      </c>
    </row>
    <row r="2182" spans="1:3" ht="15.75" thickBot="1">
      <c r="A2182" s="6" t="s">
        <v>4135</v>
      </c>
      <c r="B2182" s="5" t="s">
        <v>4136</v>
      </c>
      <c r="C2182" s="3" t="s">
        <v>5</v>
      </c>
    </row>
    <row r="2183" spans="1:3" ht="15.75" thickBot="1">
      <c r="A2183" s="6" t="s">
        <v>4137</v>
      </c>
      <c r="B2183" s="5" t="s">
        <v>4138</v>
      </c>
      <c r="C2183" s="3" t="s">
        <v>5</v>
      </c>
    </row>
    <row r="2184" spans="1:3" ht="15.75" thickBot="1">
      <c r="A2184" s="6" t="s">
        <v>4139</v>
      </c>
      <c r="B2184" s="5" t="s">
        <v>4140</v>
      </c>
      <c r="C2184" s="3" t="s">
        <v>5</v>
      </c>
    </row>
    <row r="2185" spans="1:3" ht="15.75" thickBot="1">
      <c r="A2185" s="6" t="s">
        <v>4141</v>
      </c>
      <c r="B2185" s="5" t="s">
        <v>4142</v>
      </c>
      <c r="C2185" s="3" t="s">
        <v>5</v>
      </c>
    </row>
    <row r="2186" spans="1:3" ht="15.75" thickBot="1">
      <c r="A2186" s="6" t="s">
        <v>4143</v>
      </c>
      <c r="B2186" s="5" t="s">
        <v>4144</v>
      </c>
      <c r="C2186" s="3" t="s">
        <v>5</v>
      </c>
    </row>
    <row r="2187" spans="1:3" ht="15.75" thickBot="1">
      <c r="A2187" s="6" t="s">
        <v>4145</v>
      </c>
      <c r="B2187" s="5" t="s">
        <v>4146</v>
      </c>
      <c r="C2187" s="3" t="s">
        <v>5</v>
      </c>
    </row>
    <row r="2188" spans="1:3" ht="15.75" thickBot="1">
      <c r="A2188" s="6" t="s">
        <v>4147</v>
      </c>
      <c r="B2188" s="5" t="s">
        <v>4148</v>
      </c>
      <c r="C2188" s="3" t="s">
        <v>5</v>
      </c>
    </row>
    <row r="2189" spans="1:3" ht="15.75" thickBot="1">
      <c r="A2189" s="6" t="s">
        <v>4149</v>
      </c>
      <c r="B2189" s="5" t="s">
        <v>4150</v>
      </c>
      <c r="C2189" s="3" t="s">
        <v>5</v>
      </c>
    </row>
    <row r="2190" spans="1:3" ht="15.75" thickBot="1">
      <c r="A2190" s="6" t="s">
        <v>4151</v>
      </c>
      <c r="B2190" s="5" t="s">
        <v>4152</v>
      </c>
      <c r="C2190" s="3" t="s">
        <v>5</v>
      </c>
    </row>
    <row r="2191" spans="1:3" ht="15.75" thickBot="1">
      <c r="A2191" s="6" t="s">
        <v>4153</v>
      </c>
      <c r="B2191" s="5" t="s">
        <v>4152</v>
      </c>
      <c r="C2191" s="3" t="s">
        <v>5</v>
      </c>
    </row>
    <row r="2192" spans="1:3" ht="15.75" thickBot="1">
      <c r="A2192" s="6" t="s">
        <v>4154</v>
      </c>
      <c r="B2192" s="5" t="s">
        <v>4155</v>
      </c>
      <c r="C2192" s="3" t="s">
        <v>5</v>
      </c>
    </row>
    <row r="2193" spans="1:3" ht="15.75" thickBot="1">
      <c r="A2193" s="6" t="s">
        <v>4156</v>
      </c>
      <c r="B2193" s="5" t="s">
        <v>4157</v>
      </c>
      <c r="C2193" s="3" t="s">
        <v>5</v>
      </c>
    </row>
    <row r="2194" spans="1:3" ht="15.75" thickBot="1">
      <c r="A2194" s="6" t="s">
        <v>4158</v>
      </c>
      <c r="B2194" s="5" t="s">
        <v>4159</v>
      </c>
      <c r="C2194" s="3" t="s">
        <v>5</v>
      </c>
    </row>
    <row r="2195" spans="1:3" ht="26.25" thickBot="1">
      <c r="A2195" s="6" t="s">
        <v>4160</v>
      </c>
      <c r="B2195" s="5" t="s">
        <v>4161</v>
      </c>
      <c r="C2195" s="3" t="s">
        <v>5</v>
      </c>
    </row>
    <row r="2196" spans="1:3" ht="15.75" thickBot="1">
      <c r="A2196" s="6" t="s">
        <v>4162</v>
      </c>
      <c r="B2196" s="5" t="s">
        <v>4163</v>
      </c>
      <c r="C2196" s="3" t="s">
        <v>5</v>
      </c>
    </row>
    <row r="2197" spans="1:3" ht="15.75" thickBot="1">
      <c r="A2197" s="6" t="s">
        <v>4164</v>
      </c>
      <c r="B2197" s="5" t="s">
        <v>4165</v>
      </c>
      <c r="C2197" s="3" t="s">
        <v>5</v>
      </c>
    </row>
    <row r="2198" spans="1:3" ht="15.75" thickBot="1">
      <c r="A2198" s="6" t="s">
        <v>4166</v>
      </c>
      <c r="B2198" s="5" t="s">
        <v>4167</v>
      </c>
      <c r="C2198" s="3" t="s">
        <v>5</v>
      </c>
    </row>
    <row r="2199" spans="1:3" ht="15.75" thickBot="1">
      <c r="A2199" s="6" t="s">
        <v>4168</v>
      </c>
      <c r="B2199" s="5" t="s">
        <v>4169</v>
      </c>
      <c r="C2199" s="3" t="s">
        <v>5</v>
      </c>
    </row>
    <row r="2200" spans="1:3" ht="15.75" thickBot="1">
      <c r="A2200" s="6" t="s">
        <v>4170</v>
      </c>
      <c r="B2200" s="5" t="s">
        <v>4171</v>
      </c>
      <c r="C2200" s="3" t="s">
        <v>5</v>
      </c>
    </row>
    <row r="2201" spans="1:3">
      <c r="A2201" s="1" t="s">
        <v>4172</v>
      </c>
      <c r="B2201" s="2" t="s">
        <v>4173</v>
      </c>
      <c r="C2201" s="3" t="s">
        <v>5</v>
      </c>
    </row>
    <row r="2202" spans="1:3" ht="15.75" thickBot="1">
      <c r="A2202" s="4"/>
      <c r="B2202" s="5" t="s">
        <v>4174</v>
      </c>
      <c r="C2202" s="3" t="s">
        <v>5</v>
      </c>
    </row>
    <row r="2203" spans="1:3" ht="15.75" thickBot="1">
      <c r="A2203" s="6" t="s">
        <v>4175</v>
      </c>
      <c r="B2203" s="5" t="s">
        <v>4176</v>
      </c>
      <c r="C2203" s="3" t="s">
        <v>5</v>
      </c>
    </row>
    <row r="2204" spans="1:3" ht="15.75" thickBot="1">
      <c r="A2204" s="6" t="s">
        <v>4177</v>
      </c>
      <c r="B2204" s="5" t="e">
        <f xml:space="preserve"> diametral connection</f>
        <v>#NAME?</v>
      </c>
      <c r="C2204" s="3" t="s">
        <v>5</v>
      </c>
    </row>
    <row r="2205" spans="1:3" ht="25.5">
      <c r="A2205" s="1" t="s">
        <v>4178</v>
      </c>
      <c r="B2205" s="2" t="s">
        <v>4179</v>
      </c>
      <c r="C2205" s="3" t="s">
        <v>5</v>
      </c>
    </row>
    <row r="2206" spans="1:3" ht="15.75" thickBot="1">
      <c r="A2206" s="4"/>
      <c r="B2206" s="5" t="s">
        <v>4180</v>
      </c>
      <c r="C2206" s="3" t="s">
        <v>5</v>
      </c>
    </row>
    <row r="2207" spans="1:3" ht="15.75" thickBot="1">
      <c r="A2207" s="6" t="s">
        <v>4181</v>
      </c>
      <c r="B2207" s="5" t="s">
        <v>4182</v>
      </c>
      <c r="C2207" s="3" t="s">
        <v>5</v>
      </c>
    </row>
    <row r="2208" spans="1:3" ht="15.75" thickBot="1">
      <c r="A2208" s="6" t="s">
        <v>4183</v>
      </c>
      <c r="B2208" s="5" t="s">
        <v>4184</v>
      </c>
      <c r="C2208" s="3" t="s">
        <v>5</v>
      </c>
    </row>
    <row r="2209" spans="1:3" ht="15.75" thickBot="1">
      <c r="A2209" s="6" t="s">
        <v>4185</v>
      </c>
      <c r="B2209" s="5" t="s">
        <v>4186</v>
      </c>
      <c r="C2209" s="3" t="s">
        <v>5</v>
      </c>
    </row>
    <row r="2210" spans="1:3" ht="15.75" thickBot="1">
      <c r="A2210" s="6" t="s">
        <v>4187</v>
      </c>
      <c r="B2210" s="5" t="s">
        <v>4188</v>
      </c>
      <c r="C2210" s="3" t="s">
        <v>5</v>
      </c>
    </row>
    <row r="2211" spans="1:3" ht="15.75" thickBot="1">
      <c r="A2211" s="6" t="s">
        <v>4189</v>
      </c>
      <c r="B2211" s="5" t="s">
        <v>4190</v>
      </c>
      <c r="C2211" s="3" t="s">
        <v>5</v>
      </c>
    </row>
    <row r="2212" spans="1:3" ht="26.25" thickBot="1">
      <c r="A2212" s="6" t="s">
        <v>4191</v>
      </c>
      <c r="B2212" s="5" t="s">
        <v>4192</v>
      </c>
      <c r="C2212" s="3" t="s">
        <v>5</v>
      </c>
    </row>
    <row r="2213" spans="1:3" ht="15.75" thickBot="1">
      <c r="A2213" s="6" t="s">
        <v>4193</v>
      </c>
      <c r="B2213" s="5" t="s">
        <v>4194</v>
      </c>
      <c r="C2213" s="3" t="s">
        <v>5</v>
      </c>
    </row>
    <row r="2214" spans="1:3" ht="15.75" thickBot="1">
      <c r="A2214" s="6" t="s">
        <v>4195</v>
      </c>
      <c r="B2214" s="5" t="s">
        <v>4196</v>
      </c>
      <c r="C2214" s="3" t="s">
        <v>5</v>
      </c>
    </row>
    <row r="2215" spans="1:3" ht="15.75" thickBot="1">
      <c r="A2215" s="6" t="s">
        <v>4197</v>
      </c>
      <c r="B2215" s="5" t="s">
        <v>4198</v>
      </c>
      <c r="C2215" s="3" t="s">
        <v>5</v>
      </c>
    </row>
    <row r="2216" spans="1:3" ht="15.75" thickBot="1">
      <c r="A2216" s="6" t="s">
        <v>4199</v>
      </c>
      <c r="B2216" s="5" t="s">
        <v>4200</v>
      </c>
      <c r="C2216" s="3" t="s">
        <v>5</v>
      </c>
    </row>
    <row r="2217" spans="1:3" ht="15.75" thickBot="1">
      <c r="A2217" s="6" t="s">
        <v>4201</v>
      </c>
      <c r="B2217" s="5" t="s">
        <v>4202</v>
      </c>
      <c r="C2217" s="3" t="s">
        <v>5</v>
      </c>
    </row>
    <row r="2218" spans="1:3" ht="15.75" thickBot="1">
      <c r="A2218" s="6" t="s">
        <v>4203</v>
      </c>
      <c r="B2218" s="5" t="s">
        <v>4204</v>
      </c>
      <c r="C2218" s="3" t="s">
        <v>5</v>
      </c>
    </row>
    <row r="2219" spans="1:3" ht="15.75" thickBot="1">
      <c r="A2219" s="6" t="s">
        <v>4205</v>
      </c>
      <c r="B2219" s="5" t="s">
        <v>4206</v>
      </c>
      <c r="C2219" s="3" t="s">
        <v>5</v>
      </c>
    </row>
    <row r="2220" spans="1:3" ht="15.75" thickBot="1">
      <c r="A2220" s="6" t="s">
        <v>4207</v>
      </c>
      <c r="B2220" s="5" t="s">
        <v>4208</v>
      </c>
      <c r="C2220" s="3" t="s">
        <v>5</v>
      </c>
    </row>
    <row r="2221" spans="1:3" ht="15.75" thickBot="1">
      <c r="A2221" s="6" t="s">
        <v>4209</v>
      </c>
      <c r="B2221" s="5" t="s">
        <v>4210</v>
      </c>
      <c r="C2221" s="3" t="s">
        <v>5</v>
      </c>
    </row>
    <row r="2222" spans="1:3" ht="15.75" thickBot="1">
      <c r="A2222" s="6" t="s">
        <v>4211</v>
      </c>
      <c r="B2222" s="5" t="s">
        <v>4212</v>
      </c>
      <c r="C2222" s="3" t="s">
        <v>5</v>
      </c>
    </row>
    <row r="2223" spans="1:3" ht="15.75" thickBot="1">
      <c r="A2223" s="6" t="s">
        <v>4213</v>
      </c>
      <c r="B2223" s="5" t="s">
        <v>4214</v>
      </c>
      <c r="C2223" s="3" t="s">
        <v>5</v>
      </c>
    </row>
    <row r="2224" spans="1:3" ht="15.75" thickBot="1">
      <c r="A2224" s="6" t="s">
        <v>4215</v>
      </c>
      <c r="B2224" s="5" t="s">
        <v>4216</v>
      </c>
      <c r="C2224" s="3" t="s">
        <v>5</v>
      </c>
    </row>
    <row r="2225" spans="1:3" ht="15.75" thickBot="1">
      <c r="A2225" s="6" t="s">
        <v>4217</v>
      </c>
      <c r="B2225" s="5" t="s">
        <v>4218</v>
      </c>
      <c r="C2225" s="3" t="s">
        <v>5</v>
      </c>
    </row>
    <row r="2226" spans="1:3" ht="15.75" thickBot="1">
      <c r="A2226" s="6" t="s">
        <v>4219</v>
      </c>
      <c r="B2226" s="5" t="s">
        <v>4220</v>
      </c>
      <c r="C2226" s="3" t="s">
        <v>5</v>
      </c>
    </row>
    <row r="2227" spans="1:3" ht="15.75" thickBot="1">
      <c r="A2227" s="6" t="s">
        <v>4221</v>
      </c>
      <c r="B2227" s="5" t="s">
        <v>4222</v>
      </c>
      <c r="C2227" s="3" t="s">
        <v>5</v>
      </c>
    </row>
    <row r="2228" spans="1:3" ht="15.75" thickBot="1">
      <c r="A2228" s="6" t="s">
        <v>4223</v>
      </c>
      <c r="B2228" s="5" t="s">
        <v>4224</v>
      </c>
      <c r="C2228" s="3" t="s">
        <v>5</v>
      </c>
    </row>
    <row r="2229" spans="1:3" ht="15.75" thickBot="1">
      <c r="A2229" s="6" t="s">
        <v>4225</v>
      </c>
      <c r="B2229" s="5" t="s">
        <v>4226</v>
      </c>
      <c r="C2229" s="3" t="s">
        <v>5</v>
      </c>
    </row>
    <row r="2230" spans="1:3" ht="15.75" thickBot="1">
      <c r="A2230" s="6" t="s">
        <v>4227</v>
      </c>
      <c r="B2230" s="5" t="s">
        <v>4228</v>
      </c>
      <c r="C2230" s="3" t="s">
        <v>5</v>
      </c>
    </row>
    <row r="2231" spans="1:3" ht="15.75" thickBot="1">
      <c r="A2231" s="6" t="s">
        <v>4229</v>
      </c>
      <c r="B2231" s="5" t="s">
        <v>4230</v>
      </c>
      <c r="C2231" s="3" t="s">
        <v>5</v>
      </c>
    </row>
    <row r="2232" spans="1:3" ht="15.75" thickBot="1">
      <c r="A2232" s="6" t="s">
        <v>4231</v>
      </c>
      <c r="B2232" s="5" t="s">
        <v>4232</v>
      </c>
      <c r="C2232" s="3" t="s">
        <v>5</v>
      </c>
    </row>
    <row r="2233" spans="1:3" ht="15.75" thickBot="1">
      <c r="A2233" s="6" t="s">
        <v>4233</v>
      </c>
      <c r="B2233" s="5" t="s">
        <v>4234</v>
      </c>
      <c r="C2233" s="3" t="s">
        <v>5</v>
      </c>
    </row>
    <row r="2234" spans="1:3" ht="15.75" thickBot="1">
      <c r="A2234" s="6" t="s">
        <v>4235</v>
      </c>
      <c r="B2234" s="5" t="s">
        <v>4236</v>
      </c>
      <c r="C2234" s="3" t="s">
        <v>5</v>
      </c>
    </row>
    <row r="2235" spans="1:3" ht="15.75" thickBot="1">
      <c r="A2235" s="6" t="s">
        <v>4237</v>
      </c>
      <c r="B2235" s="5" t="s">
        <v>4238</v>
      </c>
      <c r="C2235" s="3" t="s">
        <v>5</v>
      </c>
    </row>
    <row r="2236" spans="1:3" ht="15.75" thickBot="1">
      <c r="A2236" s="6" t="s">
        <v>4239</v>
      </c>
      <c r="B2236" s="5" t="s">
        <v>4240</v>
      </c>
      <c r="C2236" s="3" t="s">
        <v>5</v>
      </c>
    </row>
    <row r="2237" spans="1:3" ht="15.75" thickBot="1">
      <c r="A2237" s="6" t="s">
        <v>4241</v>
      </c>
      <c r="B2237" s="5" t="s">
        <v>4242</v>
      </c>
      <c r="C2237" s="3" t="s">
        <v>5</v>
      </c>
    </row>
    <row r="2238" spans="1:3" ht="15.75" thickBot="1">
      <c r="A2238" s="6" t="s">
        <v>4243</v>
      </c>
      <c r="B2238" s="5" t="s">
        <v>4244</v>
      </c>
      <c r="C2238" s="3" t="s">
        <v>5</v>
      </c>
    </row>
    <row r="2239" spans="1:3" ht="15.75" thickBot="1">
      <c r="A2239" s="6" t="s">
        <v>4245</v>
      </c>
      <c r="B2239" s="5" t="s">
        <v>4246</v>
      </c>
      <c r="C2239" s="3" t="s">
        <v>5</v>
      </c>
    </row>
    <row r="2240" spans="1:3" ht="15.75" thickBot="1">
      <c r="A2240" s="6" t="s">
        <v>4247</v>
      </c>
      <c r="B2240" s="5" t="s">
        <v>4248</v>
      </c>
      <c r="C2240" s="3" t="s">
        <v>5</v>
      </c>
    </row>
    <row r="2241" spans="1:3" ht="15.75" thickBot="1">
      <c r="A2241" s="6" t="s">
        <v>4249</v>
      </c>
      <c r="B2241" s="5" t="s">
        <v>4250</v>
      </c>
      <c r="C2241" s="3" t="s">
        <v>5</v>
      </c>
    </row>
    <row r="2242" spans="1:3" ht="15.75" thickBot="1">
      <c r="A2242" s="6" t="s">
        <v>4251</v>
      </c>
      <c r="B2242" s="5" t="s">
        <v>4252</v>
      </c>
      <c r="C2242" s="3" t="s">
        <v>5</v>
      </c>
    </row>
    <row r="2243" spans="1:3" ht="15.75" thickBot="1">
      <c r="A2243" s="6" t="s">
        <v>4253</v>
      </c>
      <c r="B2243" s="5" t="s">
        <v>4254</v>
      </c>
      <c r="C2243" s="3" t="s">
        <v>5</v>
      </c>
    </row>
    <row r="2244" spans="1:3" ht="15.75" thickBot="1">
      <c r="A2244" s="6" t="s">
        <v>4255</v>
      </c>
      <c r="B2244" s="5" t="s">
        <v>4256</v>
      </c>
      <c r="C2244" s="3" t="s">
        <v>5</v>
      </c>
    </row>
    <row r="2245" spans="1:3" ht="15.75" thickBot="1">
      <c r="A2245" s="6" t="s">
        <v>4257</v>
      </c>
      <c r="B2245" s="5" t="s">
        <v>4258</v>
      </c>
      <c r="C2245" s="3" t="s">
        <v>5</v>
      </c>
    </row>
    <row r="2246" spans="1:3" ht="15.75" thickBot="1">
      <c r="A2246" s="6" t="s">
        <v>4259</v>
      </c>
      <c r="B2246" s="5" t="s">
        <v>4260</v>
      </c>
      <c r="C2246" s="3" t="s">
        <v>5</v>
      </c>
    </row>
    <row r="2247" spans="1:3" ht="15.75" thickBot="1">
      <c r="A2247" s="6" t="s">
        <v>4261</v>
      </c>
      <c r="B2247" s="5" t="s">
        <v>4262</v>
      </c>
      <c r="C2247" s="3" t="s">
        <v>5</v>
      </c>
    </row>
    <row r="2248" spans="1:3" ht="15.75" thickBot="1">
      <c r="A2248" s="6" t="s">
        <v>4263</v>
      </c>
      <c r="B2248" s="5" t="s">
        <v>4264</v>
      </c>
      <c r="C2248" s="3" t="s">
        <v>5</v>
      </c>
    </row>
    <row r="2249" spans="1:3" ht="15.75" thickBot="1">
      <c r="A2249" s="6" t="s">
        <v>4265</v>
      </c>
      <c r="B2249" s="5" t="s">
        <v>4266</v>
      </c>
      <c r="C2249" s="3" t="s">
        <v>5</v>
      </c>
    </row>
    <row r="2250" spans="1:3" ht="26.25" thickBot="1">
      <c r="A2250" s="6" t="s">
        <v>4267</v>
      </c>
      <c r="B2250" s="5" t="s">
        <v>4268</v>
      </c>
      <c r="C2250" s="3" t="s">
        <v>5</v>
      </c>
    </row>
    <row r="2251" spans="1:3" ht="15.75" thickBot="1">
      <c r="A2251" s="6" t="s">
        <v>4269</v>
      </c>
      <c r="B2251" s="5" t="s">
        <v>4270</v>
      </c>
      <c r="C2251" s="3" t="s">
        <v>5</v>
      </c>
    </row>
    <row r="2252" spans="1:3" ht="15.75" thickBot="1">
      <c r="A2252" s="6" t="s">
        <v>4271</v>
      </c>
      <c r="B2252" s="5" t="s">
        <v>4272</v>
      </c>
      <c r="C2252" s="3" t="s">
        <v>5</v>
      </c>
    </row>
    <row r="2253" spans="1:3" ht="15.75" thickBot="1">
      <c r="A2253" s="6" t="s">
        <v>4273</v>
      </c>
      <c r="B2253" s="5" t="s">
        <v>4274</v>
      </c>
      <c r="C2253" s="3" t="s">
        <v>5</v>
      </c>
    </row>
    <row r="2254" spans="1:3" ht="15.75" thickBot="1">
      <c r="A2254" s="6" t="s">
        <v>4275</v>
      </c>
      <c r="B2254" s="5" t="s">
        <v>4276</v>
      </c>
      <c r="C2254" s="3" t="s">
        <v>5</v>
      </c>
    </row>
    <row r="2255" spans="1:3" ht="15.75" thickBot="1">
      <c r="A2255" s="6" t="s">
        <v>4277</v>
      </c>
      <c r="B2255" s="5" t="s">
        <v>4278</v>
      </c>
      <c r="C2255" s="3" t="s">
        <v>5</v>
      </c>
    </row>
    <row r="2256" spans="1:3" ht="15.75" thickBot="1">
      <c r="A2256" s="6" t="s">
        <v>4279</v>
      </c>
      <c r="B2256" s="5" t="s">
        <v>4280</v>
      </c>
      <c r="C2256" s="3" t="s">
        <v>5</v>
      </c>
    </row>
    <row r="2257" spans="1:3" ht="15.75" thickBot="1">
      <c r="A2257" s="6" t="s">
        <v>4281</v>
      </c>
      <c r="B2257" s="5" t="s">
        <v>4282</v>
      </c>
      <c r="C2257" s="3" t="s">
        <v>5</v>
      </c>
    </row>
    <row r="2258" spans="1:3" ht="15.75" thickBot="1">
      <c r="A2258" s="6" t="s">
        <v>4283</v>
      </c>
      <c r="B2258" s="5" t="s">
        <v>4284</v>
      </c>
      <c r="C2258" s="3" t="s">
        <v>5</v>
      </c>
    </row>
    <row r="2259" spans="1:3" ht="15.75" thickBot="1">
      <c r="A2259" s="6" t="s">
        <v>4285</v>
      </c>
      <c r="B2259" s="5" t="s">
        <v>4286</v>
      </c>
      <c r="C2259" s="3" t="s">
        <v>5</v>
      </c>
    </row>
    <row r="2260" spans="1:3" ht="15.75" thickBot="1">
      <c r="A2260" s="6" t="s">
        <v>4287</v>
      </c>
      <c r="B2260" s="5" t="s">
        <v>4288</v>
      </c>
      <c r="C2260" s="3" t="s">
        <v>5</v>
      </c>
    </row>
    <row r="2261" spans="1:3" ht="15.75" thickBot="1">
      <c r="A2261" s="6" t="s">
        <v>4289</v>
      </c>
      <c r="B2261" s="5" t="s">
        <v>4290</v>
      </c>
      <c r="C2261" s="3" t="s">
        <v>5</v>
      </c>
    </row>
    <row r="2262" spans="1:3" ht="15.75" thickBot="1">
      <c r="A2262" s="6" t="s">
        <v>4291</v>
      </c>
      <c r="B2262" s="5" t="s">
        <v>4292</v>
      </c>
      <c r="C2262" s="3" t="s">
        <v>5</v>
      </c>
    </row>
    <row r="2263" spans="1:3" ht="15.75" thickBot="1">
      <c r="A2263" s="6" t="s">
        <v>4293</v>
      </c>
      <c r="B2263" s="5" t="s">
        <v>4294</v>
      </c>
      <c r="C2263" s="3" t="s">
        <v>5</v>
      </c>
    </row>
    <row r="2264" spans="1:3" ht="15.75" thickBot="1">
      <c r="A2264" s="6" t="s">
        <v>4295</v>
      </c>
      <c r="B2264" s="5" t="s">
        <v>4296</v>
      </c>
      <c r="C2264" s="3" t="s">
        <v>5</v>
      </c>
    </row>
    <row r="2265" spans="1:3" ht="15.75" thickBot="1">
      <c r="A2265" s="6" t="s">
        <v>4297</v>
      </c>
      <c r="B2265" s="5" t="s">
        <v>4298</v>
      </c>
      <c r="C2265" s="3" t="s">
        <v>5</v>
      </c>
    </row>
    <row r="2266" spans="1:3" ht="15.75" thickBot="1">
      <c r="A2266" s="6" t="s">
        <v>4299</v>
      </c>
      <c r="B2266" s="5" t="s">
        <v>4300</v>
      </c>
      <c r="C2266" s="3" t="s">
        <v>5</v>
      </c>
    </row>
    <row r="2267" spans="1:3" ht="15.75" thickBot="1">
      <c r="A2267" s="6" t="s">
        <v>4301</v>
      </c>
      <c r="B2267" s="5" t="s">
        <v>4302</v>
      </c>
      <c r="C2267" s="3" t="s">
        <v>5</v>
      </c>
    </row>
    <row r="2268" spans="1:3" ht="15.75" thickBot="1">
      <c r="A2268" s="6" t="s">
        <v>4303</v>
      </c>
      <c r="B2268" s="5" t="s">
        <v>4304</v>
      </c>
      <c r="C2268" s="3" t="s">
        <v>5</v>
      </c>
    </row>
    <row r="2269" spans="1:3" ht="15.75" thickBot="1">
      <c r="A2269" s="6" t="s">
        <v>4305</v>
      </c>
      <c r="B2269" s="5" t="s">
        <v>4306</v>
      </c>
      <c r="C2269" s="3" t="s">
        <v>5</v>
      </c>
    </row>
    <row r="2270" spans="1:3" ht="15.75" thickBot="1">
      <c r="A2270" s="6" t="s">
        <v>4307</v>
      </c>
      <c r="B2270" s="5" t="s">
        <v>4308</v>
      </c>
      <c r="C2270" s="3" t="s">
        <v>5</v>
      </c>
    </row>
    <row r="2271" spans="1:3" ht="15.75" thickBot="1">
      <c r="A2271" s="6" t="s">
        <v>4309</v>
      </c>
      <c r="B2271" s="5" t="s">
        <v>4310</v>
      </c>
      <c r="C2271" s="3" t="s">
        <v>5</v>
      </c>
    </row>
    <row r="2272" spans="1:3" ht="15.75" thickBot="1">
      <c r="A2272" s="6" t="s">
        <v>4311</v>
      </c>
      <c r="B2272" s="5" t="s">
        <v>4312</v>
      </c>
      <c r="C2272" s="3" t="s">
        <v>5</v>
      </c>
    </row>
    <row r="2273" spans="1:3" ht="15.75" thickBot="1">
      <c r="A2273" s="6" t="s">
        <v>4313</v>
      </c>
      <c r="B2273" s="5" t="s">
        <v>4314</v>
      </c>
      <c r="C2273" s="3" t="s">
        <v>5</v>
      </c>
    </row>
    <row r="2274" spans="1:3" ht="15.75" thickBot="1">
      <c r="A2274" s="6" t="s">
        <v>4315</v>
      </c>
      <c r="B2274" s="5" t="s">
        <v>4316</v>
      </c>
      <c r="C2274" s="3" t="s">
        <v>5</v>
      </c>
    </row>
    <row r="2275" spans="1:3" ht="15.75" thickBot="1">
      <c r="A2275" s="6" t="s">
        <v>4317</v>
      </c>
      <c r="B2275" s="5" t="s">
        <v>4318</v>
      </c>
      <c r="C2275" s="3" t="s">
        <v>5</v>
      </c>
    </row>
    <row r="2276" spans="1:3" ht="15.75" thickBot="1">
      <c r="A2276" s="6" t="s">
        <v>4319</v>
      </c>
      <c r="B2276" s="5" t="s">
        <v>4320</v>
      </c>
      <c r="C2276" s="3" t="s">
        <v>5</v>
      </c>
    </row>
    <row r="2277" spans="1:3" ht="15.75" thickBot="1">
      <c r="A2277" s="6" t="s">
        <v>4321</v>
      </c>
      <c r="B2277" s="5" t="s">
        <v>4322</v>
      </c>
      <c r="C2277" s="3" t="s">
        <v>5</v>
      </c>
    </row>
    <row r="2278" spans="1:3" ht="15.75" thickBot="1">
      <c r="A2278" s="6" t="s">
        <v>4323</v>
      </c>
      <c r="B2278" s="5" t="s">
        <v>4324</v>
      </c>
      <c r="C2278" s="3" t="s">
        <v>5</v>
      </c>
    </row>
    <row r="2279" spans="1:3" ht="15.75" thickBot="1">
      <c r="A2279" s="6" t="s">
        <v>4325</v>
      </c>
      <c r="B2279" s="5" t="s">
        <v>4326</v>
      </c>
      <c r="C2279" s="3" t="s">
        <v>5</v>
      </c>
    </row>
    <row r="2280" spans="1:3" ht="15.75" thickBot="1">
      <c r="A2280" s="6" t="s">
        <v>4327</v>
      </c>
      <c r="B2280" s="5" t="s">
        <v>4328</v>
      </c>
      <c r="C2280" s="3" t="s">
        <v>5</v>
      </c>
    </row>
    <row r="2281" spans="1:3" ht="15.75" thickBot="1">
      <c r="A2281" s="6" t="s">
        <v>4329</v>
      </c>
      <c r="B2281" s="5" t="s">
        <v>4330</v>
      </c>
      <c r="C2281" s="3" t="s">
        <v>5</v>
      </c>
    </row>
    <row r="2282" spans="1:3" ht="15.75" thickBot="1">
      <c r="A2282" s="6" t="s">
        <v>4331</v>
      </c>
      <c r="B2282" s="5" t="s">
        <v>4332</v>
      </c>
      <c r="C2282" s="3" t="s">
        <v>5</v>
      </c>
    </row>
    <row r="2283" spans="1:3" ht="15.75" thickBot="1">
      <c r="A2283" s="6" t="s">
        <v>4333</v>
      </c>
      <c r="B2283" s="5" t="s">
        <v>4334</v>
      </c>
      <c r="C2283" s="3" t="s">
        <v>5</v>
      </c>
    </row>
    <row r="2284" spans="1:3" ht="15.75" thickBot="1">
      <c r="A2284" s="6" t="s">
        <v>4335</v>
      </c>
      <c r="B2284" s="5" t="s">
        <v>4336</v>
      </c>
      <c r="C2284" s="3" t="s">
        <v>5</v>
      </c>
    </row>
    <row r="2285" spans="1:3" ht="15.75" thickBot="1">
      <c r="A2285" s="6" t="s">
        <v>4337</v>
      </c>
      <c r="B2285" s="5" t="s">
        <v>4338</v>
      </c>
      <c r="C2285" s="3" t="s">
        <v>5</v>
      </c>
    </row>
    <row r="2286" spans="1:3" ht="15.75" thickBot="1">
      <c r="A2286" s="6" t="s">
        <v>4339</v>
      </c>
      <c r="B2286" s="5" t="s">
        <v>4340</v>
      </c>
      <c r="C2286" s="3" t="s">
        <v>5</v>
      </c>
    </row>
    <row r="2287" spans="1:3" ht="15.75" thickBot="1">
      <c r="A2287" s="6" t="s">
        <v>4341</v>
      </c>
      <c r="B2287" s="5" t="e">
        <f xml:space="preserve"> biphase</f>
        <v>#NAME?</v>
      </c>
      <c r="C2287" s="3" t="s">
        <v>5</v>
      </c>
    </row>
    <row r="2288" spans="1:3">
      <c r="A2288" s="1" t="s">
        <v>4342</v>
      </c>
      <c r="B2288" s="2" t="s">
        <v>4343</v>
      </c>
      <c r="C2288" s="3" t="s">
        <v>5</v>
      </c>
    </row>
    <row r="2289" spans="1:3" ht="15.75" thickBot="1">
      <c r="A2289" s="4"/>
      <c r="B2289" s="5" t="s">
        <v>4344</v>
      </c>
      <c r="C2289" s="3" t="s">
        <v>5</v>
      </c>
    </row>
    <row r="2290" spans="1:3" ht="15.75" thickBot="1">
      <c r="A2290" s="6" t="s">
        <v>4345</v>
      </c>
      <c r="B2290" s="5" t="s">
        <v>4346</v>
      </c>
      <c r="C2290" s="3" t="s">
        <v>5</v>
      </c>
    </row>
    <row r="2291" spans="1:3" ht="15.75" thickBot="1">
      <c r="A2291" s="6" t="s">
        <v>4347</v>
      </c>
      <c r="B2291" s="5" t="s">
        <v>4348</v>
      </c>
      <c r="C2291" s="3" t="s">
        <v>5</v>
      </c>
    </row>
    <row r="2292" spans="1:3" ht="15.75" thickBot="1">
      <c r="A2292" s="6" t="s">
        <v>4349</v>
      </c>
      <c r="B2292" s="5" t="e">
        <f xml:space="preserve"> bipolar</f>
        <v>#NAME?</v>
      </c>
      <c r="C2292" s="3" t="s">
        <v>5</v>
      </c>
    </row>
    <row r="2293" spans="1:3" ht="15.75" thickBot="1">
      <c r="A2293" s="6" t="s">
        <v>4350</v>
      </c>
      <c r="B2293" s="5" t="s">
        <v>4351</v>
      </c>
      <c r="C2293" s="3" t="s">
        <v>5</v>
      </c>
    </row>
    <row r="2294" spans="1:3" ht="15.75" thickBot="1">
      <c r="A2294" s="6" t="s">
        <v>4352</v>
      </c>
      <c r="B2294" s="5" t="s">
        <v>4353</v>
      </c>
      <c r="C2294" s="3" t="s">
        <v>5</v>
      </c>
    </row>
    <row r="2295" spans="1:3" ht="15.75" thickBot="1">
      <c r="A2295" s="6" t="s">
        <v>4354</v>
      </c>
      <c r="B2295" s="5" t="s">
        <v>4355</v>
      </c>
      <c r="C2295" s="3" t="s">
        <v>5</v>
      </c>
    </row>
    <row r="2296" spans="1:3" ht="15.75" thickBot="1">
      <c r="A2296" s="6" t="s">
        <v>4356</v>
      </c>
      <c r="B2296" s="5" t="s">
        <v>4357</v>
      </c>
      <c r="C2296" s="3" t="s">
        <v>5</v>
      </c>
    </row>
    <row r="2297" spans="1:3" ht="15.75" thickBot="1">
      <c r="A2297" s="6" t="s">
        <v>4358</v>
      </c>
      <c r="B2297" s="5" t="s">
        <v>4359</v>
      </c>
      <c r="C2297" s="3" t="s">
        <v>5</v>
      </c>
    </row>
    <row r="2298" spans="1:3" ht="15.75" thickBot="1">
      <c r="A2298" s="6" t="s">
        <v>4360</v>
      </c>
      <c r="B2298" s="5" t="s">
        <v>4361</v>
      </c>
      <c r="C2298" s="3" t="s">
        <v>5</v>
      </c>
    </row>
    <row r="2299" spans="1:3" ht="15.75" thickBot="1">
      <c r="A2299" s="6" t="s">
        <v>4362</v>
      </c>
      <c r="B2299" s="5" t="s">
        <v>4363</v>
      </c>
      <c r="C2299" s="3" t="s">
        <v>5</v>
      </c>
    </row>
    <row r="2300" spans="1:3">
      <c r="A2300" s="1" t="s">
        <v>4364</v>
      </c>
      <c r="B2300" s="2" t="s">
        <v>4365</v>
      </c>
      <c r="C2300" s="3" t="s">
        <v>5</v>
      </c>
    </row>
    <row r="2301" spans="1:3" ht="15.75" thickBot="1">
      <c r="A2301" s="4"/>
      <c r="B2301" s="5" t="s">
        <v>4366</v>
      </c>
      <c r="C2301" s="3" t="s">
        <v>5</v>
      </c>
    </row>
    <row r="2302" spans="1:3" ht="15.75" thickBot="1">
      <c r="A2302" s="6" t="s">
        <v>4367</v>
      </c>
      <c r="B2302" s="5" t="s">
        <v>4368</v>
      </c>
      <c r="C2302" s="3" t="s">
        <v>5</v>
      </c>
    </row>
    <row r="2303" spans="1:3" ht="15.75" thickBot="1">
      <c r="A2303" s="6" t="s">
        <v>4369</v>
      </c>
      <c r="B2303" s="5" t="s">
        <v>4370</v>
      </c>
      <c r="C2303" s="3" t="s">
        <v>5</v>
      </c>
    </row>
    <row r="2304" spans="1:3" ht="15.75" thickBot="1">
      <c r="A2304" s="6" t="s">
        <v>4371</v>
      </c>
      <c r="B2304" s="5" t="s">
        <v>4372</v>
      </c>
      <c r="C2304" s="3" t="s">
        <v>5</v>
      </c>
    </row>
    <row r="2305" spans="1:3" ht="15.75" thickBot="1">
      <c r="A2305" s="6" t="s">
        <v>4373</v>
      </c>
      <c r="B2305" s="5" t="s">
        <v>4374</v>
      </c>
      <c r="C2305" s="3" t="s">
        <v>5</v>
      </c>
    </row>
    <row r="2306" spans="1:3">
      <c r="A2306" s="1" t="s">
        <v>4375</v>
      </c>
      <c r="B2306" s="2" t="s">
        <v>4376</v>
      </c>
      <c r="C2306" s="3" t="s">
        <v>5</v>
      </c>
    </row>
    <row r="2307" spans="1:3" ht="15.75" thickBot="1">
      <c r="A2307" s="4"/>
      <c r="B2307" s="5" t="s">
        <v>4377</v>
      </c>
      <c r="C2307" s="3" t="s">
        <v>5</v>
      </c>
    </row>
    <row r="2308" spans="1:3" ht="15.75" thickBot="1">
      <c r="A2308" s="6" t="s">
        <v>4378</v>
      </c>
      <c r="B2308" s="5" t="s">
        <v>4379</v>
      </c>
      <c r="C2308" s="3" t="s">
        <v>5</v>
      </c>
    </row>
    <row r="2309" spans="1:3" ht="15.75" thickBot="1">
      <c r="A2309" s="6" t="s">
        <v>4380</v>
      </c>
      <c r="B2309" s="5" t="s">
        <v>4381</v>
      </c>
      <c r="C2309" s="3" t="s">
        <v>5</v>
      </c>
    </row>
    <row r="2310" spans="1:3" ht="15.75" thickBot="1">
      <c r="A2310" s="6" t="s">
        <v>4382</v>
      </c>
      <c r="B2310" s="5" t="s">
        <v>4383</v>
      </c>
      <c r="C2310" s="3" t="s">
        <v>5</v>
      </c>
    </row>
    <row r="2311" spans="1:3">
      <c r="A2311" s="1" t="s">
        <v>4384</v>
      </c>
      <c r="B2311" s="2" t="s">
        <v>4385</v>
      </c>
      <c r="C2311" s="3" t="s">
        <v>5</v>
      </c>
    </row>
    <row r="2312" spans="1:3" ht="15.75" thickBot="1">
      <c r="A2312" s="4"/>
      <c r="B2312" s="5" t="s">
        <v>4386</v>
      </c>
      <c r="C2312" s="3" t="s">
        <v>5</v>
      </c>
    </row>
    <row r="2313" spans="1:3">
      <c r="A2313" s="1" t="s">
        <v>4387</v>
      </c>
      <c r="B2313" s="2" t="s">
        <v>4388</v>
      </c>
      <c r="C2313" s="3" t="s">
        <v>5</v>
      </c>
    </row>
    <row r="2314" spans="1:3" ht="15.75" thickBot="1">
      <c r="A2314" s="4"/>
      <c r="B2314" s="5" t="s">
        <v>4389</v>
      </c>
      <c r="C2314" s="3" t="s">
        <v>5</v>
      </c>
    </row>
    <row r="2315" spans="1:3" ht="15.75" thickBot="1">
      <c r="A2315" s="6" t="s">
        <v>4390</v>
      </c>
      <c r="B2315" s="5" t="s">
        <v>4391</v>
      </c>
      <c r="C2315" s="3" t="s">
        <v>5</v>
      </c>
    </row>
    <row r="2316" spans="1:3" ht="15.75" thickBot="1">
      <c r="A2316" s="6" t="s">
        <v>4392</v>
      </c>
      <c r="B2316" s="5" t="s">
        <v>4393</v>
      </c>
      <c r="C2316" s="3" t="s">
        <v>5</v>
      </c>
    </row>
    <row r="2317" spans="1:3" ht="15.75" thickBot="1">
      <c r="A2317" s="6" t="s">
        <v>4394</v>
      </c>
      <c r="B2317" s="5" t="s">
        <v>4395</v>
      </c>
      <c r="C2317" s="3" t="s">
        <v>5</v>
      </c>
    </row>
    <row r="2318" spans="1:3" ht="15.75" thickBot="1">
      <c r="A2318" s="6" t="s">
        <v>4396</v>
      </c>
      <c r="B2318" s="5" t="s">
        <v>4397</v>
      </c>
      <c r="C2318" s="3" t="s">
        <v>5</v>
      </c>
    </row>
    <row r="2319" spans="1:3" ht="15.75" thickBot="1">
      <c r="A2319" s="6" t="s">
        <v>4398</v>
      </c>
      <c r="B2319" s="5" t="s">
        <v>4399</v>
      </c>
      <c r="C2319" s="3" t="s">
        <v>5</v>
      </c>
    </row>
    <row r="2320" spans="1:3" ht="26.25" thickBot="1">
      <c r="A2320" s="6" t="s">
        <v>4400</v>
      </c>
      <c r="B2320" s="5" t="s">
        <v>4401</v>
      </c>
      <c r="C2320" s="3" t="s">
        <v>5</v>
      </c>
    </row>
    <row r="2321" spans="1:3" ht="26.25" thickBot="1">
      <c r="A2321" s="6" t="s">
        <v>4402</v>
      </c>
      <c r="B2321" s="5" t="s">
        <v>4403</v>
      </c>
      <c r="C2321" s="3" t="s">
        <v>5</v>
      </c>
    </row>
    <row r="2322" spans="1:3" ht="15.75" thickBot="1">
      <c r="A2322" s="6" t="s">
        <v>4404</v>
      </c>
      <c r="B2322" s="5" t="s">
        <v>4405</v>
      </c>
      <c r="C2322" s="3" t="s">
        <v>5</v>
      </c>
    </row>
    <row r="2323" spans="1:3" ht="15.75" thickBot="1">
      <c r="A2323" s="6" t="s">
        <v>4406</v>
      </c>
      <c r="B2323" s="5" t="s">
        <v>4407</v>
      </c>
      <c r="C2323" s="3" t="s">
        <v>5</v>
      </c>
    </row>
    <row r="2324" spans="1:3" ht="15.75" thickBot="1">
      <c r="A2324" s="6" t="s">
        <v>4408</v>
      </c>
      <c r="B2324" s="5" t="s">
        <v>4409</v>
      </c>
      <c r="C2324" s="3" t="s">
        <v>5</v>
      </c>
    </row>
    <row r="2325" spans="1:3" ht="15.75" thickBot="1">
      <c r="A2325" s="6" t="s">
        <v>4410</v>
      </c>
      <c r="B2325" s="5" t="s">
        <v>4411</v>
      </c>
      <c r="C2325" s="3" t="s">
        <v>5</v>
      </c>
    </row>
    <row r="2326" spans="1:3" ht="15.75" thickBot="1">
      <c r="A2326" s="6" t="s">
        <v>4412</v>
      </c>
      <c r="B2326" s="5" t="s">
        <v>4413</v>
      </c>
      <c r="C2326" s="3" t="s">
        <v>5</v>
      </c>
    </row>
    <row r="2327" spans="1:3" ht="15.75" thickBot="1">
      <c r="A2327" s="6" t="s">
        <v>4414</v>
      </c>
      <c r="B2327" s="5" t="s">
        <v>4415</v>
      </c>
      <c r="C2327" s="3" t="s">
        <v>5</v>
      </c>
    </row>
    <row r="2328" spans="1:3" ht="15.75" thickBot="1">
      <c r="A2328" s="6" t="s">
        <v>4416</v>
      </c>
      <c r="B2328" s="5" t="s">
        <v>4417</v>
      </c>
      <c r="C2328" s="3" t="s">
        <v>5</v>
      </c>
    </row>
    <row r="2329" spans="1:3" ht="15.75" thickBot="1">
      <c r="A2329" s="6" t="s">
        <v>4418</v>
      </c>
      <c r="B2329" s="5" t="s">
        <v>4419</v>
      </c>
      <c r="C2329" s="3" t="s">
        <v>5</v>
      </c>
    </row>
    <row r="2330" spans="1:3" ht="15.75" thickBot="1">
      <c r="A2330" s="6" t="s">
        <v>4420</v>
      </c>
      <c r="B2330" s="5" t="s">
        <v>4421</v>
      </c>
      <c r="C2330" s="3" t="s">
        <v>5</v>
      </c>
    </row>
    <row r="2331" spans="1:3" ht="15.75" thickBot="1">
      <c r="A2331" s="6" t="s">
        <v>4422</v>
      </c>
      <c r="B2331" s="5" t="s">
        <v>4423</v>
      </c>
      <c r="C2331" s="3" t="s">
        <v>5</v>
      </c>
    </row>
    <row r="2332" spans="1:3" ht="15.75" thickBot="1">
      <c r="A2332" s="6" t="s">
        <v>4424</v>
      </c>
      <c r="B2332" s="5" t="s">
        <v>4425</v>
      </c>
      <c r="C2332" s="3" t="s">
        <v>5</v>
      </c>
    </row>
    <row r="2333" spans="1:3" ht="15.75" thickBot="1">
      <c r="A2333" s="6" t="s">
        <v>4426</v>
      </c>
      <c r="B2333" s="5" t="s">
        <v>4427</v>
      </c>
      <c r="C2333" s="3" t="s">
        <v>5</v>
      </c>
    </row>
    <row r="2334" spans="1:3" ht="15.75" thickBot="1">
      <c r="A2334" s="6" t="s">
        <v>4428</v>
      </c>
      <c r="B2334" s="5" t="s">
        <v>4429</v>
      </c>
      <c r="C2334" s="3" t="s">
        <v>5</v>
      </c>
    </row>
    <row r="2335" spans="1:3" ht="15.75" thickBot="1">
      <c r="A2335" s="6" t="s">
        <v>4430</v>
      </c>
      <c r="B2335" s="5" t="s">
        <v>4431</v>
      </c>
      <c r="C2335" s="3" t="s">
        <v>5</v>
      </c>
    </row>
    <row r="2336" spans="1:3" ht="15.75" thickBot="1">
      <c r="A2336" s="6" t="s">
        <v>4432</v>
      </c>
      <c r="B2336" s="5" t="s">
        <v>4433</v>
      </c>
      <c r="C2336" s="3" t="s">
        <v>5</v>
      </c>
    </row>
    <row r="2337" spans="1:3" ht="15.75" thickBot="1">
      <c r="A2337" s="6" t="s">
        <v>4434</v>
      </c>
      <c r="B2337" s="5" t="s">
        <v>4435</v>
      </c>
      <c r="C2337" s="3" t="s">
        <v>5</v>
      </c>
    </row>
    <row r="2338" spans="1:3" ht="26.25" thickBot="1">
      <c r="A2338" s="6" t="s">
        <v>4436</v>
      </c>
      <c r="B2338" s="5" t="s">
        <v>4437</v>
      </c>
      <c r="C2338" s="3" t="s">
        <v>5</v>
      </c>
    </row>
    <row r="2339" spans="1:3" ht="15.75" thickBot="1">
      <c r="A2339" s="6" t="s">
        <v>4438</v>
      </c>
      <c r="B2339" s="5" t="s">
        <v>4439</v>
      </c>
      <c r="C2339" s="3" t="s">
        <v>5</v>
      </c>
    </row>
    <row r="2340" spans="1:3" ht="15.75" thickBot="1">
      <c r="A2340" s="6" t="s">
        <v>4440</v>
      </c>
      <c r="B2340" s="5" t="s">
        <v>4441</v>
      </c>
      <c r="C2340" s="3" t="s">
        <v>5</v>
      </c>
    </row>
    <row r="2341" spans="1:3" ht="15.75" thickBot="1">
      <c r="A2341" s="6" t="s">
        <v>4442</v>
      </c>
      <c r="B2341" s="5" t="s">
        <v>4443</v>
      </c>
      <c r="C2341" s="3" t="s">
        <v>5</v>
      </c>
    </row>
    <row r="2342" spans="1:3" ht="15.75" thickBot="1">
      <c r="A2342" s="6" t="s">
        <v>4444</v>
      </c>
      <c r="B2342" s="5" t="s">
        <v>4445</v>
      </c>
      <c r="C2342" s="3" t="s">
        <v>5</v>
      </c>
    </row>
    <row r="2343" spans="1:3" ht="15.75" thickBot="1">
      <c r="A2343" s="6" t="s">
        <v>4446</v>
      </c>
      <c r="B2343" s="5" t="s">
        <v>4447</v>
      </c>
      <c r="C2343" s="3" t="s">
        <v>5</v>
      </c>
    </row>
    <row r="2344" spans="1:3" ht="15.75" thickBot="1">
      <c r="A2344" s="6" t="s">
        <v>4448</v>
      </c>
      <c r="B2344" s="5" t="s">
        <v>4449</v>
      </c>
      <c r="C2344" s="3" t="s">
        <v>5</v>
      </c>
    </row>
    <row r="2345" spans="1:3" ht="15.75" thickBot="1">
      <c r="A2345" s="6" t="s">
        <v>4450</v>
      </c>
      <c r="B2345" s="5" t="s">
        <v>4451</v>
      </c>
      <c r="C2345" s="3" t="s">
        <v>5</v>
      </c>
    </row>
    <row r="2346" spans="1:3" ht="15.75" thickBot="1">
      <c r="A2346" s="6" t="s">
        <v>4452</v>
      </c>
      <c r="B2346" s="5" t="s">
        <v>4453</v>
      </c>
      <c r="C2346" s="3" t="s">
        <v>5</v>
      </c>
    </row>
    <row r="2347" spans="1:3" ht="15.75" thickBot="1">
      <c r="A2347" s="6" t="s">
        <v>4454</v>
      </c>
      <c r="B2347" s="5" t="s">
        <v>4455</v>
      </c>
      <c r="C2347" s="3" t="s">
        <v>5</v>
      </c>
    </row>
    <row r="2348" spans="1:3" ht="15.75" thickBot="1">
      <c r="A2348" s="6" t="s">
        <v>4456</v>
      </c>
      <c r="B2348" s="5" t="s">
        <v>4457</v>
      </c>
      <c r="C2348" s="3" t="s">
        <v>5</v>
      </c>
    </row>
    <row r="2349" spans="1:3" ht="15.75" thickBot="1">
      <c r="A2349" s="6" t="s">
        <v>4458</v>
      </c>
      <c r="B2349" s="5" t="s">
        <v>4459</v>
      </c>
      <c r="C2349" s="3" t="s">
        <v>5</v>
      </c>
    </row>
    <row r="2350" spans="1:3" ht="15.75" thickBot="1">
      <c r="A2350" s="6" t="s">
        <v>4460</v>
      </c>
      <c r="B2350" s="5" t="s">
        <v>4461</v>
      </c>
      <c r="C2350" s="3" t="s">
        <v>5</v>
      </c>
    </row>
    <row r="2351" spans="1:3" ht="15.75" thickBot="1">
      <c r="A2351" s="6" t="s">
        <v>4462</v>
      </c>
      <c r="B2351" s="5" t="s">
        <v>4463</v>
      </c>
      <c r="C2351" s="3" t="s">
        <v>5</v>
      </c>
    </row>
    <row r="2352" spans="1:3" ht="15.75" thickBot="1">
      <c r="A2352" s="6" t="s">
        <v>4464</v>
      </c>
      <c r="B2352" s="5" t="s">
        <v>4465</v>
      </c>
      <c r="C2352" s="3" t="s">
        <v>5</v>
      </c>
    </row>
    <row r="2353" spans="1:3" ht="15.75" thickBot="1">
      <c r="A2353" s="6" t="s">
        <v>4466</v>
      </c>
      <c r="B2353" s="5" t="s">
        <v>4467</v>
      </c>
      <c r="C2353" s="3" t="s">
        <v>5</v>
      </c>
    </row>
    <row r="2354" spans="1:3" ht="15.75" thickBot="1">
      <c r="A2354" s="6" t="s">
        <v>4468</v>
      </c>
      <c r="B2354" s="5" t="s">
        <v>4469</v>
      </c>
      <c r="C2354" s="3" t="s">
        <v>5</v>
      </c>
    </row>
    <row r="2355" spans="1:3" ht="15.75" thickBot="1">
      <c r="A2355" s="6" t="s">
        <v>4470</v>
      </c>
      <c r="B2355" s="5" t="s">
        <v>4471</v>
      </c>
      <c r="C2355" s="3" t="s">
        <v>5</v>
      </c>
    </row>
    <row r="2356" spans="1:3" ht="15.75" thickBot="1">
      <c r="A2356" s="6" t="s">
        <v>4472</v>
      </c>
      <c r="B2356" s="5" t="s">
        <v>4473</v>
      </c>
      <c r="C2356" s="3" t="s">
        <v>5</v>
      </c>
    </row>
    <row r="2357" spans="1:3" ht="15.75" thickBot="1">
      <c r="A2357" s="6" t="s">
        <v>4474</v>
      </c>
      <c r="B2357" s="5" t="s">
        <v>4475</v>
      </c>
      <c r="C2357" s="3" t="s">
        <v>5</v>
      </c>
    </row>
    <row r="2358" spans="1:3" ht="15.75" thickBot="1">
      <c r="A2358" s="6" t="s">
        <v>4476</v>
      </c>
      <c r="B2358" s="5" t="s">
        <v>4477</v>
      </c>
      <c r="C2358" s="3" t="s">
        <v>5</v>
      </c>
    </row>
    <row r="2359" spans="1:3" ht="15.75" thickBot="1">
      <c r="A2359" s="6" t="s">
        <v>4478</v>
      </c>
      <c r="B2359" s="5" t="s">
        <v>4479</v>
      </c>
      <c r="C2359" s="3" t="s">
        <v>5</v>
      </c>
    </row>
    <row r="2360" spans="1:3" ht="15.75" thickBot="1">
      <c r="A2360" s="6" t="s">
        <v>4480</v>
      </c>
      <c r="B2360" s="5" t="s">
        <v>4481</v>
      </c>
      <c r="C2360" s="3" t="s">
        <v>5</v>
      </c>
    </row>
    <row r="2361" spans="1:3" ht="15.75" thickBot="1">
      <c r="A2361" s="6" t="s">
        <v>4482</v>
      </c>
      <c r="B2361" s="5" t="s">
        <v>4483</v>
      </c>
      <c r="C2361" s="3" t="s">
        <v>5</v>
      </c>
    </row>
    <row r="2362" spans="1:3" ht="15.75" thickBot="1">
      <c r="A2362" s="6" t="s">
        <v>4484</v>
      </c>
      <c r="B2362" s="5" t="s">
        <v>4485</v>
      </c>
      <c r="C2362" s="3" t="s">
        <v>5</v>
      </c>
    </row>
    <row r="2363" spans="1:3">
      <c r="A2363" s="1" t="s">
        <v>4486</v>
      </c>
      <c r="B2363" s="2" t="s">
        <v>4487</v>
      </c>
      <c r="C2363" s="3" t="s">
        <v>5</v>
      </c>
    </row>
    <row r="2364" spans="1:3" ht="15.75" thickBot="1">
      <c r="A2364" s="4"/>
      <c r="B2364" s="5" t="s">
        <v>4488</v>
      </c>
      <c r="C2364" s="3" t="s">
        <v>5</v>
      </c>
    </row>
    <row r="2365" spans="1:3" ht="15.75" thickBot="1">
      <c r="A2365" s="6" t="s">
        <v>4489</v>
      </c>
      <c r="B2365" s="5" t="s">
        <v>4490</v>
      </c>
      <c r="C2365" s="3" t="s">
        <v>5</v>
      </c>
    </row>
    <row r="2366" spans="1:3" ht="15.75" thickBot="1">
      <c r="A2366" s="6" t="s">
        <v>4491</v>
      </c>
      <c r="B2366" s="5" t="s">
        <v>4492</v>
      </c>
      <c r="C2366" s="3" t="s">
        <v>5</v>
      </c>
    </row>
    <row r="2367" spans="1:3" ht="15.75" thickBot="1">
      <c r="A2367" s="6" t="s">
        <v>4493</v>
      </c>
      <c r="B2367" s="5" t="s">
        <v>4494</v>
      </c>
      <c r="C2367" s="3" t="s">
        <v>5</v>
      </c>
    </row>
    <row r="2368" spans="1:3" ht="15.75" thickBot="1">
      <c r="A2368" s="6" t="s">
        <v>4495</v>
      </c>
      <c r="B2368" s="5" t="s">
        <v>4496</v>
      </c>
      <c r="C2368" s="3" t="s">
        <v>5</v>
      </c>
    </row>
    <row r="2369" spans="1:3" ht="15.75" thickBot="1">
      <c r="A2369" s="6" t="s">
        <v>4497</v>
      </c>
      <c r="B2369" s="5" t="s">
        <v>4498</v>
      </c>
      <c r="C2369" s="3" t="s">
        <v>5</v>
      </c>
    </row>
    <row r="2370" spans="1:3" ht="15.75" thickBot="1">
      <c r="A2370" s="6" t="s">
        <v>4499</v>
      </c>
      <c r="B2370" s="5" t="s">
        <v>4500</v>
      </c>
      <c r="C2370" s="3" t="s">
        <v>5</v>
      </c>
    </row>
    <row r="2371" spans="1:3" ht="15.75" thickBot="1">
      <c r="A2371" s="6" t="s">
        <v>4501</v>
      </c>
      <c r="B2371" s="5" t="s">
        <v>4502</v>
      </c>
      <c r="C2371" s="3" t="s">
        <v>5</v>
      </c>
    </row>
    <row r="2372" spans="1:3" ht="15.75" thickBot="1">
      <c r="A2372" s="6" t="s">
        <v>4503</v>
      </c>
      <c r="B2372" s="5" t="s">
        <v>4504</v>
      </c>
      <c r="C2372" s="3" t="s">
        <v>5</v>
      </c>
    </row>
    <row r="2373" spans="1:3" ht="15.75" thickBot="1">
      <c r="A2373" s="6" t="s">
        <v>4505</v>
      </c>
      <c r="B2373" s="5" t="s">
        <v>4506</v>
      </c>
      <c r="C2373" s="3" t="s">
        <v>5</v>
      </c>
    </row>
    <row r="2374" spans="1:3" ht="15.75" thickBot="1">
      <c r="A2374" s="6" t="s">
        <v>4507</v>
      </c>
      <c r="B2374" s="5" t="s">
        <v>4508</v>
      </c>
      <c r="C2374" s="3" t="s">
        <v>5</v>
      </c>
    </row>
    <row r="2375" spans="1:3" ht="15.75" thickBot="1">
      <c r="A2375" s="6" t="s">
        <v>4509</v>
      </c>
      <c r="B2375" s="5" t="s">
        <v>4510</v>
      </c>
      <c r="C2375" s="3" t="s">
        <v>5</v>
      </c>
    </row>
    <row r="2376" spans="1:3" ht="15.75" thickBot="1">
      <c r="A2376" s="6" t="s">
        <v>4511</v>
      </c>
      <c r="B2376" s="5" t="s">
        <v>4512</v>
      </c>
      <c r="C2376" s="3" t="s">
        <v>5</v>
      </c>
    </row>
    <row r="2377" spans="1:3" ht="15.75" thickBot="1">
      <c r="A2377" s="6" t="s">
        <v>4513</v>
      </c>
      <c r="B2377" s="5" t="s">
        <v>4514</v>
      </c>
      <c r="C2377" s="3" t="s">
        <v>5</v>
      </c>
    </row>
    <row r="2378" spans="1:3" ht="15.75" thickBot="1">
      <c r="A2378" s="6" t="s">
        <v>4515</v>
      </c>
      <c r="B2378" s="5" t="s">
        <v>4516</v>
      </c>
      <c r="C2378" s="3" t="s">
        <v>5</v>
      </c>
    </row>
    <row r="2379" spans="1:3" ht="26.25" thickBot="1">
      <c r="A2379" s="6" t="s">
        <v>4517</v>
      </c>
      <c r="B2379" s="5" t="s">
        <v>4518</v>
      </c>
      <c r="C2379" s="3" t="s">
        <v>5</v>
      </c>
    </row>
    <row r="2380" spans="1:3" ht="15.75" thickBot="1">
      <c r="A2380" s="6" t="s">
        <v>4519</v>
      </c>
      <c r="B2380" s="5" t="s">
        <v>4520</v>
      </c>
      <c r="C2380" s="3" t="s">
        <v>5</v>
      </c>
    </row>
    <row r="2381" spans="1:3" ht="15.75" thickBot="1">
      <c r="A2381" s="6" t="s">
        <v>4521</v>
      </c>
      <c r="B2381" s="5" t="s">
        <v>4522</v>
      </c>
      <c r="C2381" s="3" t="s">
        <v>5</v>
      </c>
    </row>
    <row r="2382" spans="1:3" ht="15.75" thickBot="1">
      <c r="A2382" s="6" t="s">
        <v>4523</v>
      </c>
      <c r="B2382" s="5" t="s">
        <v>4524</v>
      </c>
      <c r="C2382" s="3" t="s">
        <v>5</v>
      </c>
    </row>
    <row r="2383" spans="1:3" ht="15.75" thickBot="1">
      <c r="A2383" s="6" t="s">
        <v>4525</v>
      </c>
      <c r="B2383" s="5" t="s">
        <v>4526</v>
      </c>
      <c r="C2383" s="3" t="s">
        <v>5</v>
      </c>
    </row>
    <row r="2384" spans="1:3" ht="15.75" thickBot="1">
      <c r="A2384" s="6" t="s">
        <v>4527</v>
      </c>
      <c r="B2384" s="5" t="s">
        <v>4528</v>
      </c>
      <c r="C2384" s="3" t="s">
        <v>5</v>
      </c>
    </row>
    <row r="2385" spans="1:3" ht="15.75" thickBot="1">
      <c r="A2385" s="6" t="s">
        <v>4529</v>
      </c>
      <c r="B2385" s="5" t="s">
        <v>4530</v>
      </c>
      <c r="C2385" s="3" t="s">
        <v>5</v>
      </c>
    </row>
    <row r="2386" spans="1:3" ht="15.75" thickBot="1">
      <c r="A2386" s="6" t="s">
        <v>4531</v>
      </c>
      <c r="B2386" s="5" t="s">
        <v>4532</v>
      </c>
      <c r="C2386" s="3" t="s">
        <v>5</v>
      </c>
    </row>
    <row r="2387" spans="1:3" ht="15.75" thickBot="1">
      <c r="A2387" s="6" t="s">
        <v>4531</v>
      </c>
      <c r="B2387" s="5" t="s">
        <v>4533</v>
      </c>
      <c r="C2387" s="3" t="s">
        <v>5</v>
      </c>
    </row>
    <row r="2388" spans="1:3" ht="15.75" thickBot="1">
      <c r="A2388" s="6" t="s">
        <v>4534</v>
      </c>
      <c r="B2388" s="5" t="s">
        <v>4535</v>
      </c>
      <c r="C2388" s="3" t="s">
        <v>5</v>
      </c>
    </row>
    <row r="2389" spans="1:3" ht="15.75" thickBot="1">
      <c r="A2389" s="6" t="s">
        <v>4536</v>
      </c>
      <c r="B2389" s="5" t="s">
        <v>4537</v>
      </c>
      <c r="C2389" s="3" t="s">
        <v>5</v>
      </c>
    </row>
    <row r="2390" spans="1:3" ht="15.75" thickBot="1">
      <c r="A2390" s="6" t="s">
        <v>4538</v>
      </c>
      <c r="B2390" s="5" t="s">
        <v>4539</v>
      </c>
      <c r="C2390" s="3" t="s">
        <v>5</v>
      </c>
    </row>
    <row r="2391" spans="1:3" ht="15.75" thickBot="1">
      <c r="A2391" s="6" t="s">
        <v>4540</v>
      </c>
      <c r="B2391" s="5" t="s">
        <v>4541</v>
      </c>
      <c r="C2391" s="3" t="s">
        <v>5</v>
      </c>
    </row>
    <row r="2392" spans="1:3" ht="15.75" thickBot="1">
      <c r="A2392" s="6" t="s">
        <v>4542</v>
      </c>
      <c r="B2392" s="5" t="s">
        <v>4543</v>
      </c>
      <c r="C2392" s="3" t="s">
        <v>5</v>
      </c>
    </row>
    <row r="2393" spans="1:3" ht="15.75" thickBot="1">
      <c r="A2393" s="6" t="s">
        <v>4544</v>
      </c>
      <c r="B2393" s="5" t="s">
        <v>4545</v>
      </c>
      <c r="C2393" s="3" t="s">
        <v>5</v>
      </c>
    </row>
    <row r="2394" spans="1:3" ht="15.75" thickBot="1">
      <c r="A2394" s="6" t="s">
        <v>4546</v>
      </c>
      <c r="B2394" s="5" t="s">
        <v>4547</v>
      </c>
      <c r="C2394" s="3" t="s">
        <v>5</v>
      </c>
    </row>
    <row r="2395" spans="1:3" ht="15.75" thickBot="1">
      <c r="A2395" s="6" t="s">
        <v>4548</v>
      </c>
      <c r="B2395" s="5" t="s">
        <v>4549</v>
      </c>
      <c r="C2395" s="3" t="s">
        <v>5</v>
      </c>
    </row>
    <row r="2396" spans="1:3" ht="15.75" thickBot="1">
      <c r="A2396" s="6" t="s">
        <v>4550</v>
      </c>
      <c r="B2396" s="5" t="s">
        <v>4551</v>
      </c>
      <c r="C2396" s="3" t="s">
        <v>5</v>
      </c>
    </row>
    <row r="2397" spans="1:3" ht="15.75" thickBot="1">
      <c r="A2397" s="6" t="s">
        <v>4552</v>
      </c>
      <c r="B2397" s="5" t="s">
        <v>4553</v>
      </c>
      <c r="C2397" s="3" t="s">
        <v>5</v>
      </c>
    </row>
    <row r="2398" spans="1:3" ht="15.75" thickBot="1">
      <c r="A2398" s="6" t="s">
        <v>4554</v>
      </c>
      <c r="B2398" s="5" t="s">
        <v>4555</v>
      </c>
      <c r="C2398" s="3" t="s">
        <v>5</v>
      </c>
    </row>
    <row r="2399" spans="1:3" ht="15.75" thickBot="1">
      <c r="A2399" s="6" t="s">
        <v>4556</v>
      </c>
      <c r="B2399" s="5" t="s">
        <v>4557</v>
      </c>
      <c r="C2399" s="3" t="s">
        <v>5</v>
      </c>
    </row>
    <row r="2400" spans="1:3" ht="15.75" thickBot="1">
      <c r="A2400" s="6" t="s">
        <v>4558</v>
      </c>
      <c r="B2400" s="5" t="s">
        <v>4559</v>
      </c>
      <c r="C2400" s="3" t="s">
        <v>5</v>
      </c>
    </row>
    <row r="2401" spans="1:3" ht="15.75" thickBot="1">
      <c r="A2401" s="6" t="s">
        <v>4560</v>
      </c>
      <c r="B2401" s="5" t="s">
        <v>4561</v>
      </c>
      <c r="C2401" s="3" t="s">
        <v>5</v>
      </c>
    </row>
    <row r="2402" spans="1:3" ht="15.75" thickBot="1">
      <c r="A2402" s="6" t="s">
        <v>4562</v>
      </c>
      <c r="B2402" s="5" t="s">
        <v>4563</v>
      </c>
      <c r="C2402" s="3" t="s">
        <v>5</v>
      </c>
    </row>
    <row r="2403" spans="1:3" ht="15.75" thickBot="1">
      <c r="A2403" s="6" t="s">
        <v>4564</v>
      </c>
      <c r="B2403" s="5" t="s">
        <v>4565</v>
      </c>
      <c r="C2403" s="3" t="s">
        <v>5</v>
      </c>
    </row>
    <row r="2404" spans="1:3" ht="15.75" thickBot="1">
      <c r="A2404" s="6" t="s">
        <v>4566</v>
      </c>
      <c r="B2404" s="5" t="s">
        <v>4567</v>
      </c>
      <c r="C2404" s="3" t="s">
        <v>5</v>
      </c>
    </row>
    <row r="2405" spans="1:3" ht="15.75" thickBot="1">
      <c r="A2405" s="6" t="s">
        <v>4568</v>
      </c>
      <c r="B2405" s="5" t="s">
        <v>4569</v>
      </c>
      <c r="C2405" s="3" t="s">
        <v>5</v>
      </c>
    </row>
    <row r="2406" spans="1:3" ht="15.75" thickBot="1">
      <c r="A2406" s="6" t="s">
        <v>4570</v>
      </c>
      <c r="B2406" s="5" t="s">
        <v>4571</v>
      </c>
      <c r="C2406" s="3" t="s">
        <v>5</v>
      </c>
    </row>
    <row r="2407" spans="1:3" ht="15.75" thickBot="1">
      <c r="A2407" s="6" t="s">
        <v>4572</v>
      </c>
      <c r="B2407" s="5" t="s">
        <v>4573</v>
      </c>
      <c r="C2407" s="3" t="s">
        <v>5</v>
      </c>
    </row>
    <row r="2408" spans="1:3" ht="15.75" thickBot="1">
      <c r="A2408" s="6" t="s">
        <v>4574</v>
      </c>
      <c r="B2408" s="5" t="s">
        <v>4575</v>
      </c>
      <c r="C2408" s="3" t="s">
        <v>5</v>
      </c>
    </row>
    <row r="2409" spans="1:3" ht="15.75" thickBot="1">
      <c r="A2409" s="6" t="s">
        <v>4576</v>
      </c>
      <c r="B2409" s="5" t="s">
        <v>4577</v>
      </c>
      <c r="C2409" s="3" t="s">
        <v>5</v>
      </c>
    </row>
    <row r="2410" spans="1:3" ht="15.75" thickBot="1">
      <c r="A2410" s="6" t="s">
        <v>4578</v>
      </c>
      <c r="B2410" s="5" t="s">
        <v>4579</v>
      </c>
      <c r="C2410" s="3" t="s">
        <v>5</v>
      </c>
    </row>
    <row r="2411" spans="1:3" ht="15.75" thickBot="1">
      <c r="A2411" s="6" t="s">
        <v>4580</v>
      </c>
      <c r="B2411" s="5" t="s">
        <v>4581</v>
      </c>
      <c r="C2411" s="3" t="s">
        <v>5</v>
      </c>
    </row>
    <row r="2412" spans="1:3" ht="15.75" thickBot="1">
      <c r="A2412" s="6" t="s">
        <v>4582</v>
      </c>
      <c r="B2412" s="5" t="s">
        <v>4583</v>
      </c>
      <c r="C2412" s="3" t="s">
        <v>5</v>
      </c>
    </row>
    <row r="2413" spans="1:3" ht="15.75" thickBot="1">
      <c r="A2413" s="6" t="s">
        <v>4584</v>
      </c>
      <c r="B2413" s="5" t="s">
        <v>4585</v>
      </c>
      <c r="C2413" s="3" t="s">
        <v>5</v>
      </c>
    </row>
    <row r="2414" spans="1:3" ht="15.75" thickBot="1">
      <c r="A2414" s="6" t="s">
        <v>4586</v>
      </c>
      <c r="B2414" s="5" t="s">
        <v>4587</v>
      </c>
      <c r="C2414" s="3" t="s">
        <v>5</v>
      </c>
    </row>
    <row r="2415" spans="1:3" ht="15.75" thickBot="1">
      <c r="A2415" s="6" t="s">
        <v>4588</v>
      </c>
      <c r="B2415" s="5" t="s">
        <v>4589</v>
      </c>
      <c r="C2415" s="3" t="s">
        <v>5</v>
      </c>
    </row>
    <row r="2416" spans="1:3" ht="15.75" thickBot="1">
      <c r="A2416" s="6" t="s">
        <v>4590</v>
      </c>
      <c r="B2416" s="5" t="s">
        <v>4591</v>
      </c>
      <c r="C2416" s="3" t="s">
        <v>5</v>
      </c>
    </row>
    <row r="2417" spans="1:3" ht="15.75" thickBot="1">
      <c r="A2417" s="6" t="s">
        <v>4592</v>
      </c>
      <c r="B2417" s="5" t="s">
        <v>4593</v>
      </c>
      <c r="C2417" s="3" t="s">
        <v>5</v>
      </c>
    </row>
    <row r="2418" spans="1:3" ht="15.75" thickBot="1">
      <c r="A2418" s="6" t="s">
        <v>4594</v>
      </c>
      <c r="B2418" s="5" t="s">
        <v>4595</v>
      </c>
      <c r="C2418" s="3" t="s">
        <v>5</v>
      </c>
    </row>
    <row r="2419" spans="1:3" ht="15.75" thickBot="1">
      <c r="A2419" s="6" t="s">
        <v>4596</v>
      </c>
      <c r="B2419" s="5" t="s">
        <v>4597</v>
      </c>
      <c r="C2419" s="3" t="s">
        <v>5</v>
      </c>
    </row>
    <row r="2420" spans="1:3" ht="15.75" thickBot="1">
      <c r="A2420" s="6" t="s">
        <v>4598</v>
      </c>
      <c r="B2420" s="5" t="s">
        <v>4599</v>
      </c>
      <c r="C2420" s="3" t="s">
        <v>5</v>
      </c>
    </row>
    <row r="2421" spans="1:3" ht="15.75" thickBot="1">
      <c r="A2421" s="6" t="s">
        <v>4600</v>
      </c>
      <c r="B2421" s="5" t="s">
        <v>4601</v>
      </c>
      <c r="C2421" s="3" t="s">
        <v>5</v>
      </c>
    </row>
    <row r="2422" spans="1:3" ht="15.75" thickBot="1">
      <c r="A2422" s="6" t="s">
        <v>4602</v>
      </c>
      <c r="B2422" s="5" t="s">
        <v>4603</v>
      </c>
      <c r="C2422" s="3" t="s">
        <v>5</v>
      </c>
    </row>
    <row r="2423" spans="1:3" ht="15.75" thickBot="1">
      <c r="A2423" s="6" t="s">
        <v>4604</v>
      </c>
      <c r="B2423" s="5" t="s">
        <v>4605</v>
      </c>
      <c r="C2423" s="3" t="s">
        <v>5</v>
      </c>
    </row>
    <row r="2424" spans="1:3" ht="15.75" thickBot="1">
      <c r="A2424" s="6" t="s">
        <v>4606</v>
      </c>
      <c r="B2424" s="5" t="s">
        <v>4607</v>
      </c>
      <c r="C2424" s="3" t="s">
        <v>5</v>
      </c>
    </row>
    <row r="2425" spans="1:3" ht="15.75" thickBot="1">
      <c r="A2425" s="6" t="s">
        <v>4608</v>
      </c>
      <c r="B2425" s="5" t="s">
        <v>4609</v>
      </c>
      <c r="C2425" s="3" t="s">
        <v>5</v>
      </c>
    </row>
    <row r="2426" spans="1:3" ht="15.75" thickBot="1">
      <c r="A2426" s="6" t="s">
        <v>4610</v>
      </c>
      <c r="B2426" s="5" t="s">
        <v>4611</v>
      </c>
      <c r="C2426" s="3" t="s">
        <v>5</v>
      </c>
    </row>
    <row r="2427" spans="1:3" ht="15.75" thickBot="1">
      <c r="A2427" s="6" t="s">
        <v>4612</v>
      </c>
      <c r="B2427" s="5" t="s">
        <v>4613</v>
      </c>
      <c r="C2427" s="3" t="s">
        <v>5</v>
      </c>
    </row>
    <row r="2428" spans="1:3" ht="15.75" thickBot="1">
      <c r="A2428" s="6" t="s">
        <v>4614</v>
      </c>
      <c r="B2428" s="5" t="s">
        <v>4615</v>
      </c>
      <c r="C2428" s="3" t="s">
        <v>5</v>
      </c>
    </row>
    <row r="2429" spans="1:3" ht="15.75" thickBot="1">
      <c r="A2429" s="6" t="s">
        <v>4616</v>
      </c>
      <c r="B2429" s="5" t="s">
        <v>4617</v>
      </c>
      <c r="C2429" s="3" t="s">
        <v>5</v>
      </c>
    </row>
    <row r="2430" spans="1:3" ht="15.75" thickBot="1">
      <c r="A2430" s="6" t="s">
        <v>4618</v>
      </c>
      <c r="B2430" s="5" t="s">
        <v>4619</v>
      </c>
      <c r="C2430" s="3" t="s">
        <v>5</v>
      </c>
    </row>
    <row r="2431" spans="1:3" ht="15.75" thickBot="1">
      <c r="A2431" s="6" t="s">
        <v>4620</v>
      </c>
      <c r="B2431" s="5" t="s">
        <v>4621</v>
      </c>
      <c r="C2431" s="3" t="s">
        <v>5</v>
      </c>
    </row>
    <row r="2432" spans="1:3" ht="15.75" thickBot="1">
      <c r="A2432" s="6" t="s">
        <v>4622</v>
      </c>
      <c r="B2432" s="5" t="s">
        <v>4623</v>
      </c>
      <c r="C2432" s="3" t="s">
        <v>5</v>
      </c>
    </row>
    <row r="2433" spans="1:3" ht="15.75" thickBot="1">
      <c r="A2433" s="6" t="s">
        <v>4624</v>
      </c>
      <c r="B2433" s="5" t="s">
        <v>4625</v>
      </c>
      <c r="C2433" s="3" t="s">
        <v>5</v>
      </c>
    </row>
    <row r="2434" spans="1:3" ht="15.75" thickBot="1">
      <c r="A2434" s="6" t="s">
        <v>4626</v>
      </c>
      <c r="B2434" s="5" t="s">
        <v>4627</v>
      </c>
      <c r="C2434" s="3" t="s">
        <v>5</v>
      </c>
    </row>
    <row r="2435" spans="1:3" ht="15.75" thickBot="1">
      <c r="A2435" s="6" t="s">
        <v>4628</v>
      </c>
      <c r="B2435" s="5" t="s">
        <v>4629</v>
      </c>
      <c r="C2435" s="3" t="s">
        <v>5</v>
      </c>
    </row>
    <row r="2436" spans="1:3" ht="15.75" thickBot="1">
      <c r="A2436" s="6" t="s">
        <v>4630</v>
      </c>
      <c r="B2436" s="5" t="s">
        <v>4631</v>
      </c>
      <c r="C2436" s="3" t="s">
        <v>5</v>
      </c>
    </row>
    <row r="2437" spans="1:3" ht="15.75" thickBot="1">
      <c r="A2437" s="6" t="s">
        <v>4632</v>
      </c>
      <c r="B2437" s="5" t="s">
        <v>4633</v>
      </c>
      <c r="C2437" s="3" t="s">
        <v>5</v>
      </c>
    </row>
    <row r="2438" spans="1:3" ht="15.75" thickBot="1">
      <c r="A2438" s="6" t="s">
        <v>4634</v>
      </c>
      <c r="B2438" s="5" t="s">
        <v>4635</v>
      </c>
      <c r="C2438" s="3" t="s">
        <v>5</v>
      </c>
    </row>
    <row r="2439" spans="1:3">
      <c r="A2439" s="1" t="s">
        <v>4636</v>
      </c>
      <c r="B2439" s="2" t="s">
        <v>4637</v>
      </c>
      <c r="C2439" s="3" t="s">
        <v>5</v>
      </c>
    </row>
    <row r="2440" spans="1:3" ht="15.75" thickBot="1">
      <c r="A2440" s="4"/>
      <c r="B2440" s="5" t="s">
        <v>4638</v>
      </c>
      <c r="C2440" s="3" t="s">
        <v>5</v>
      </c>
    </row>
    <row r="2441" spans="1:3" ht="15.75" thickBot="1">
      <c r="A2441" s="6" t="s">
        <v>4639</v>
      </c>
      <c r="B2441" s="5" t="s">
        <v>4640</v>
      </c>
      <c r="C2441" s="3" t="s">
        <v>5</v>
      </c>
    </row>
    <row r="2442" spans="1:3" ht="15.75" thickBot="1">
      <c r="A2442" s="6" t="s">
        <v>4641</v>
      </c>
      <c r="B2442" s="5" t="s">
        <v>4642</v>
      </c>
      <c r="C2442" s="3" t="s">
        <v>5</v>
      </c>
    </row>
    <row r="2443" spans="1:3" ht="15.75" thickBot="1">
      <c r="A2443" s="6" t="s">
        <v>4643</v>
      </c>
      <c r="B2443" s="5" t="e">
        <f xml:space="preserve"> distributing board</f>
        <v>#NAME?</v>
      </c>
      <c r="C2443" s="3" t="s">
        <v>5</v>
      </c>
    </row>
    <row r="2444" spans="1:3" ht="15.75" thickBot="1">
      <c r="A2444" s="6" t="s">
        <v>4644</v>
      </c>
      <c r="B2444" s="5" t="s">
        <v>4645</v>
      </c>
      <c r="C2444" s="3" t="s">
        <v>5</v>
      </c>
    </row>
    <row r="2445" spans="1:3" ht="15.75" thickBot="1">
      <c r="A2445" s="6" t="s">
        <v>4646</v>
      </c>
      <c r="B2445" s="5" t="s">
        <v>4647</v>
      </c>
      <c r="C2445" s="3" t="s">
        <v>5</v>
      </c>
    </row>
    <row r="2446" spans="1:3" ht="15.75" thickBot="1">
      <c r="A2446" s="6" t="s">
        <v>4648</v>
      </c>
      <c r="B2446" s="5" t="s">
        <v>4649</v>
      </c>
      <c r="C2446" s="3" t="s">
        <v>5</v>
      </c>
    </row>
    <row r="2447" spans="1:3" ht="15.75" thickBot="1">
      <c r="A2447" s="6" t="s">
        <v>4650</v>
      </c>
      <c r="B2447" s="5" t="s">
        <v>4651</v>
      </c>
      <c r="C2447" s="3" t="s">
        <v>5</v>
      </c>
    </row>
    <row r="2448" spans="1:3" ht="15.75" thickBot="1">
      <c r="A2448" s="6" t="s">
        <v>4652</v>
      </c>
      <c r="B2448" s="5" t="s">
        <v>4653</v>
      </c>
      <c r="C2448" s="3" t="s">
        <v>5</v>
      </c>
    </row>
    <row r="2449" spans="1:3" ht="15.75" thickBot="1">
      <c r="A2449" s="6" t="s">
        <v>4654</v>
      </c>
      <c r="B2449" s="5" t="s">
        <v>4655</v>
      </c>
      <c r="C2449" s="3" t="s">
        <v>5</v>
      </c>
    </row>
    <row r="2450" spans="1:3" ht="26.25" thickBot="1">
      <c r="A2450" s="6" t="s">
        <v>4656</v>
      </c>
      <c r="B2450" s="5" t="s">
        <v>4657</v>
      </c>
      <c r="C2450" s="3" t="s">
        <v>5</v>
      </c>
    </row>
    <row r="2451" spans="1:3" ht="15.75" thickBot="1">
      <c r="A2451" s="6" t="s">
        <v>4658</v>
      </c>
      <c r="B2451" s="5" t="s">
        <v>4659</v>
      </c>
      <c r="C2451" s="3" t="s">
        <v>5</v>
      </c>
    </row>
    <row r="2452" spans="1:3" ht="15.75" thickBot="1">
      <c r="A2452" s="6" t="s">
        <v>4660</v>
      </c>
      <c r="B2452" s="5" t="s">
        <v>4661</v>
      </c>
      <c r="C2452" s="3" t="s">
        <v>5</v>
      </c>
    </row>
    <row r="2453" spans="1:3" ht="15.75" thickBot="1">
      <c r="A2453" s="6" t="s">
        <v>4662</v>
      </c>
      <c r="B2453" s="5" t="s">
        <v>3871</v>
      </c>
      <c r="C2453" s="3" t="s">
        <v>5</v>
      </c>
    </row>
    <row r="2454" spans="1:3" ht="15.75" thickBot="1">
      <c r="A2454" s="6" t="s">
        <v>4663</v>
      </c>
      <c r="B2454" s="5" t="s">
        <v>4664</v>
      </c>
      <c r="C2454" s="3" t="s">
        <v>5</v>
      </c>
    </row>
    <row r="2455" spans="1:3" ht="15.75" thickBot="1">
      <c r="A2455" s="6" t="s">
        <v>4665</v>
      </c>
      <c r="B2455" s="5" t="s">
        <v>4666</v>
      </c>
      <c r="C2455" s="3" t="s">
        <v>5</v>
      </c>
    </row>
    <row r="2456" spans="1:3" ht="15.75" thickBot="1">
      <c r="A2456" s="6" t="s">
        <v>4667</v>
      </c>
      <c r="B2456" s="5" t="s">
        <v>4668</v>
      </c>
      <c r="C2456" s="3" t="s">
        <v>5</v>
      </c>
    </row>
    <row r="2457" spans="1:3" ht="15.75" thickBot="1">
      <c r="A2457" s="6" t="s">
        <v>4669</v>
      </c>
      <c r="B2457" s="5" t="s">
        <v>4670</v>
      </c>
      <c r="C2457" s="3" t="s">
        <v>5</v>
      </c>
    </row>
    <row r="2458" spans="1:3" ht="15.75" thickBot="1">
      <c r="A2458" s="6" t="s">
        <v>4671</v>
      </c>
      <c r="B2458" s="5" t="s">
        <v>4672</v>
      </c>
      <c r="C2458" s="3" t="s">
        <v>5</v>
      </c>
    </row>
    <row r="2459" spans="1:3" ht="15.75" thickBot="1">
      <c r="A2459" s="6" t="s">
        <v>4673</v>
      </c>
      <c r="B2459" s="5" t="s">
        <v>4674</v>
      </c>
      <c r="C2459" s="3" t="s">
        <v>5</v>
      </c>
    </row>
    <row r="2460" spans="1:3">
      <c r="A2460" s="1" t="s">
        <v>4675</v>
      </c>
      <c r="B2460" s="2" t="s">
        <v>4676</v>
      </c>
      <c r="C2460" s="3" t="s">
        <v>5</v>
      </c>
    </row>
    <row r="2461" spans="1:3" ht="15.75" thickBot="1">
      <c r="A2461" s="4"/>
      <c r="B2461" s="5" t="s">
        <v>4677</v>
      </c>
      <c r="C2461" s="3" t="s">
        <v>5</v>
      </c>
    </row>
    <row r="2462" spans="1:3" ht="15.75" thickBot="1">
      <c r="A2462" s="6" t="s">
        <v>4678</v>
      </c>
      <c r="B2462" s="5" t="s">
        <v>4679</v>
      </c>
      <c r="C2462" s="3" t="s">
        <v>5</v>
      </c>
    </row>
    <row r="2463" spans="1:3" ht="15.75" thickBot="1">
      <c r="A2463" s="6" t="s">
        <v>4680</v>
      </c>
      <c r="B2463" s="5" t="s">
        <v>4681</v>
      </c>
      <c r="C2463" s="3" t="s">
        <v>5</v>
      </c>
    </row>
    <row r="2464" spans="1:3" ht="15.75" thickBot="1">
      <c r="A2464" s="6" t="s">
        <v>4682</v>
      </c>
      <c r="B2464" s="5" t="s">
        <v>4683</v>
      </c>
      <c r="C2464" s="3" t="s">
        <v>5</v>
      </c>
    </row>
    <row r="2465" spans="1:3" ht="15.75" thickBot="1">
      <c r="A2465" s="6" t="s">
        <v>4684</v>
      </c>
      <c r="B2465" s="5" t="s">
        <v>4685</v>
      </c>
      <c r="C2465" s="3" t="s">
        <v>5</v>
      </c>
    </row>
    <row r="2466" spans="1:3" ht="15.75" thickBot="1">
      <c r="A2466" s="6" t="s">
        <v>4686</v>
      </c>
      <c r="B2466" s="5" t="s">
        <v>4687</v>
      </c>
      <c r="C2466" s="3" t="s">
        <v>5</v>
      </c>
    </row>
    <row r="2467" spans="1:3" ht="15.75" thickBot="1">
      <c r="A2467" s="6" t="s">
        <v>4688</v>
      </c>
      <c r="B2467" s="5" t="s">
        <v>4689</v>
      </c>
      <c r="C2467" s="3" t="s">
        <v>5</v>
      </c>
    </row>
    <row r="2468" spans="1:3" ht="15.75" thickBot="1">
      <c r="A2468" s="6" t="s">
        <v>4690</v>
      </c>
      <c r="B2468" s="5" t="s">
        <v>4691</v>
      </c>
      <c r="C2468" s="3" t="s">
        <v>5</v>
      </c>
    </row>
    <row r="2469" spans="1:3">
      <c r="A2469" s="1" t="s">
        <v>4692</v>
      </c>
      <c r="B2469" s="2" t="s">
        <v>4693</v>
      </c>
      <c r="C2469" s="3" t="s">
        <v>5</v>
      </c>
    </row>
    <row r="2470" spans="1:3" ht="15.75" thickBot="1">
      <c r="A2470" s="4"/>
      <c r="B2470" s="5" t="s">
        <v>4694</v>
      </c>
      <c r="C2470" s="3" t="s">
        <v>5</v>
      </c>
    </row>
    <row r="2471" spans="1:3" ht="15.75" thickBot="1">
      <c r="A2471" s="6" t="s">
        <v>4695</v>
      </c>
      <c r="B2471" s="5" t="s">
        <v>4696</v>
      </c>
      <c r="C2471" s="3" t="s">
        <v>5</v>
      </c>
    </row>
    <row r="2472" spans="1:3" ht="15.75" thickBot="1">
      <c r="A2472" s="6" t="s">
        <v>4697</v>
      </c>
      <c r="B2472" s="5" t="s">
        <v>4698</v>
      </c>
      <c r="C2472" s="3" t="s">
        <v>5</v>
      </c>
    </row>
    <row r="2473" spans="1:3" ht="15.75" thickBot="1">
      <c r="A2473" s="6" t="s">
        <v>4699</v>
      </c>
      <c r="B2473" s="5" t="s">
        <v>4700</v>
      </c>
      <c r="C2473" s="3" t="s">
        <v>5</v>
      </c>
    </row>
    <row r="2474" spans="1:3" ht="15.75" thickBot="1">
      <c r="A2474" s="6" t="s">
        <v>4701</v>
      </c>
      <c r="B2474" s="5" t="s">
        <v>4702</v>
      </c>
      <c r="C2474" s="3" t="s">
        <v>5</v>
      </c>
    </row>
    <row r="2475" spans="1:3" ht="15.75" thickBot="1">
      <c r="A2475" s="6" t="s">
        <v>4703</v>
      </c>
      <c r="B2475" s="5" t="s">
        <v>4704</v>
      </c>
      <c r="C2475" s="3" t="s">
        <v>5</v>
      </c>
    </row>
    <row r="2476" spans="1:3" ht="15.75" thickBot="1">
      <c r="A2476" s="6" t="s">
        <v>4705</v>
      </c>
      <c r="B2476" s="5" t="s">
        <v>4706</v>
      </c>
      <c r="C2476" s="3" t="s">
        <v>5</v>
      </c>
    </row>
    <row r="2477" spans="1:3">
      <c r="A2477" s="1" t="s">
        <v>4707</v>
      </c>
      <c r="B2477" s="2" t="s">
        <v>4708</v>
      </c>
      <c r="C2477" s="3" t="s">
        <v>5</v>
      </c>
    </row>
    <row r="2478" spans="1:3" ht="15.75" thickBot="1">
      <c r="A2478" s="4"/>
      <c r="B2478" s="5" t="s">
        <v>4709</v>
      </c>
      <c r="C2478" s="3" t="s">
        <v>5</v>
      </c>
    </row>
    <row r="2479" spans="1:3" ht="15.75" thickBot="1">
      <c r="A2479" s="6" t="s">
        <v>4710</v>
      </c>
      <c r="B2479" s="5" t="s">
        <v>4711</v>
      </c>
      <c r="C2479" s="3" t="s">
        <v>5</v>
      </c>
    </row>
    <row r="2480" spans="1:3" ht="15.75" thickBot="1">
      <c r="A2480" s="6" t="s">
        <v>4712</v>
      </c>
      <c r="B2480" s="5" t="s">
        <v>4713</v>
      </c>
      <c r="C2480" s="3" t="s">
        <v>5</v>
      </c>
    </row>
    <row r="2481" spans="1:3" ht="15.75" thickBot="1">
      <c r="A2481" s="6" t="s">
        <v>4714</v>
      </c>
      <c r="B2481" s="5" t="s">
        <v>4715</v>
      </c>
      <c r="C2481" s="3" t="s">
        <v>5</v>
      </c>
    </row>
    <row r="2482" spans="1:3" ht="15.75" thickBot="1">
      <c r="A2482" s="6" t="s">
        <v>4716</v>
      </c>
      <c r="B2482" s="5" t="s">
        <v>4717</v>
      </c>
      <c r="C2482" s="3" t="s">
        <v>5</v>
      </c>
    </row>
    <row r="2483" spans="1:3" ht="15.75" thickBot="1">
      <c r="A2483" s="6" t="s">
        <v>4718</v>
      </c>
      <c r="B2483" s="5" t="s">
        <v>4719</v>
      </c>
      <c r="C2483" s="3" t="s">
        <v>5</v>
      </c>
    </row>
    <row r="2484" spans="1:3" ht="15.75" thickBot="1">
      <c r="A2484" s="6" t="s">
        <v>4720</v>
      </c>
      <c r="B2484" s="5" t="s">
        <v>4721</v>
      </c>
      <c r="C2484" s="3" t="s">
        <v>5</v>
      </c>
    </row>
    <row r="2485" spans="1:3" ht="15.75" thickBot="1">
      <c r="A2485" s="6" t="s">
        <v>4722</v>
      </c>
      <c r="B2485" s="5" t="s">
        <v>4723</v>
      </c>
      <c r="C2485" s="3" t="s">
        <v>5</v>
      </c>
    </row>
    <row r="2486" spans="1:3" ht="15.75" thickBot="1">
      <c r="A2486" s="6" t="s">
        <v>4724</v>
      </c>
      <c r="B2486" s="5" t="s">
        <v>4725</v>
      </c>
      <c r="C2486" s="3" t="s">
        <v>5</v>
      </c>
    </row>
    <row r="2487" spans="1:3" ht="15.75" thickBot="1">
      <c r="A2487" s="6" t="s">
        <v>4726</v>
      </c>
      <c r="B2487" s="5" t="e">
        <f xml:space="preserve"> binode</f>
        <v>#NAME?</v>
      </c>
      <c r="C2487" s="3" t="s">
        <v>5</v>
      </c>
    </row>
    <row r="2488" spans="1:3" ht="15.75" thickBot="1">
      <c r="A2488" s="6" t="s">
        <v>4727</v>
      </c>
      <c r="B2488" s="5" t="s">
        <v>4728</v>
      </c>
      <c r="C2488" s="3" t="s">
        <v>5</v>
      </c>
    </row>
    <row r="2489" spans="1:3" ht="15.75" thickBot="1">
      <c r="A2489" s="6" t="s">
        <v>4729</v>
      </c>
      <c r="B2489" s="5" t="s">
        <v>4730</v>
      </c>
      <c r="C2489" s="3" t="s">
        <v>5</v>
      </c>
    </row>
    <row r="2490" spans="1:3" ht="15.75" thickBot="1">
      <c r="A2490" s="6" t="s">
        <v>4731</v>
      </c>
      <c r="B2490" s="5" t="s">
        <v>4732</v>
      </c>
      <c r="C2490" s="3" t="s">
        <v>5</v>
      </c>
    </row>
    <row r="2491" spans="1:3" ht="15.75" thickBot="1">
      <c r="A2491" s="6" t="s">
        <v>4733</v>
      </c>
      <c r="B2491" s="5" t="s">
        <v>4734</v>
      </c>
      <c r="C2491" s="3" t="s">
        <v>5</v>
      </c>
    </row>
    <row r="2492" spans="1:3" ht="15.75" thickBot="1">
      <c r="A2492" s="6" t="s">
        <v>4735</v>
      </c>
      <c r="B2492" s="5" t="s">
        <v>4736</v>
      </c>
      <c r="C2492" s="3" t="s">
        <v>5</v>
      </c>
    </row>
    <row r="2493" spans="1:3" ht="15.75" thickBot="1">
      <c r="A2493" s="6" t="s">
        <v>4737</v>
      </c>
      <c r="B2493" s="5" t="e">
        <f xml:space="preserve"> biphase</f>
        <v>#NAME?</v>
      </c>
      <c r="C2493" s="3" t="s">
        <v>5</v>
      </c>
    </row>
    <row r="2494" spans="1:3">
      <c r="A2494" s="1" t="s">
        <v>4738</v>
      </c>
      <c r="B2494" s="2" t="s">
        <v>4739</v>
      </c>
      <c r="C2494" s="3" t="s">
        <v>5</v>
      </c>
    </row>
    <row r="2495" spans="1:3" ht="15.75" thickBot="1">
      <c r="A2495" s="4"/>
      <c r="B2495" s="5" t="s">
        <v>4740</v>
      </c>
      <c r="C2495" s="3" t="s">
        <v>5</v>
      </c>
    </row>
    <row r="2496" spans="1:3" ht="15.75" thickBot="1">
      <c r="A2496" s="6" t="s">
        <v>4741</v>
      </c>
      <c r="B2496" s="5" t="e">
        <f xml:space="preserve"> bipolar receiver</f>
        <v>#NAME?</v>
      </c>
      <c r="C2496" s="3" t="s">
        <v>5</v>
      </c>
    </row>
    <row r="2497" spans="1:3" ht="15.75" thickBot="1">
      <c r="A2497" s="6" t="s">
        <v>4742</v>
      </c>
      <c r="B2497" s="5" t="s">
        <v>4743</v>
      </c>
      <c r="C2497" s="3" t="s">
        <v>5</v>
      </c>
    </row>
    <row r="2498" spans="1:3" ht="15.75" thickBot="1">
      <c r="A2498" s="6" t="s">
        <v>4744</v>
      </c>
      <c r="B2498" s="5" t="s">
        <v>4745</v>
      </c>
      <c r="C2498" s="3" t="s">
        <v>5</v>
      </c>
    </row>
    <row r="2499" spans="1:3" ht="15.75" thickBot="1">
      <c r="A2499" s="6" t="s">
        <v>4746</v>
      </c>
      <c r="B2499" s="5" t="s">
        <v>4747</v>
      </c>
      <c r="C2499" s="3" t="s">
        <v>5</v>
      </c>
    </row>
    <row r="2500" spans="1:3" ht="15.75" thickBot="1">
      <c r="A2500" s="6" t="s">
        <v>4748</v>
      </c>
      <c r="B2500" s="5" t="s">
        <v>4749</v>
      </c>
      <c r="C2500" s="3" t="s">
        <v>5</v>
      </c>
    </row>
    <row r="2501" spans="1:3" ht="15.75" thickBot="1">
      <c r="A2501" s="6" t="s">
        <v>4750</v>
      </c>
      <c r="B2501" s="5" t="s">
        <v>4751</v>
      </c>
      <c r="C2501" s="3" t="s">
        <v>5</v>
      </c>
    </row>
    <row r="2502" spans="1:3" ht="15.75" thickBot="1">
      <c r="A2502" s="6" t="s">
        <v>4752</v>
      </c>
      <c r="B2502" s="5" t="s">
        <v>4753</v>
      </c>
      <c r="C2502" s="3" t="s">
        <v>5</v>
      </c>
    </row>
    <row r="2503" spans="1:3" ht="15.75" thickBot="1">
      <c r="A2503" s="6" t="s">
        <v>4754</v>
      </c>
      <c r="B2503" s="5" t="s">
        <v>4755</v>
      </c>
      <c r="C2503" s="3" t="s">
        <v>5</v>
      </c>
    </row>
    <row r="2504" spans="1:3" ht="15.75" thickBot="1">
      <c r="A2504" s="6" t="s">
        <v>4756</v>
      </c>
      <c r="B2504" s="5" t="s">
        <v>4757</v>
      </c>
      <c r="C2504" s="3" t="s">
        <v>5</v>
      </c>
    </row>
    <row r="2505" spans="1:3" ht="15.75" thickBot="1">
      <c r="A2505" s="6" t="s">
        <v>4758</v>
      </c>
      <c r="B2505" s="5" t="s">
        <v>4759</v>
      </c>
      <c r="C2505" s="3" t="s">
        <v>5</v>
      </c>
    </row>
    <row r="2506" spans="1:3" ht="15.75" thickBot="1">
      <c r="A2506" s="6" t="s">
        <v>4760</v>
      </c>
      <c r="B2506" s="5" t="s">
        <v>4761</v>
      </c>
      <c r="C2506" s="3" t="s">
        <v>5</v>
      </c>
    </row>
    <row r="2507" spans="1:3" ht="15.75" thickBot="1">
      <c r="A2507" s="6" t="s">
        <v>4762</v>
      </c>
      <c r="B2507" s="5" t="s">
        <v>4763</v>
      </c>
      <c r="C2507" s="3" t="s">
        <v>5</v>
      </c>
    </row>
    <row r="2508" spans="1:3" ht="15.75" thickBot="1">
      <c r="A2508" s="6" t="s">
        <v>4764</v>
      </c>
      <c r="B2508" s="5" t="s">
        <v>4765</v>
      </c>
      <c r="C2508" s="3" t="s">
        <v>5</v>
      </c>
    </row>
    <row r="2509" spans="1:3" ht="15.75" thickBot="1">
      <c r="A2509" s="6" t="s">
        <v>4766</v>
      </c>
      <c r="B2509" s="5" t="s">
        <v>4767</v>
      </c>
      <c r="C2509" s="3" t="s">
        <v>5</v>
      </c>
    </row>
    <row r="2510" spans="1:3" ht="15.75" thickBot="1">
      <c r="A2510" s="6" t="s">
        <v>4768</v>
      </c>
      <c r="B2510" s="5" t="s">
        <v>4769</v>
      </c>
      <c r="C2510" s="3" t="s">
        <v>5</v>
      </c>
    </row>
    <row r="2511" spans="1:3" ht="15.75" thickBot="1">
      <c r="A2511" s="6" t="s">
        <v>4770</v>
      </c>
      <c r="B2511" s="5" t="s">
        <v>4771</v>
      </c>
      <c r="C2511" s="3" t="s">
        <v>5</v>
      </c>
    </row>
    <row r="2512" spans="1:3" ht="15.75" thickBot="1">
      <c r="A2512" s="6" t="s">
        <v>4772</v>
      </c>
      <c r="B2512" s="5" t="s">
        <v>4702</v>
      </c>
      <c r="C2512" s="3" t="s">
        <v>5</v>
      </c>
    </row>
    <row r="2513" spans="1:3" ht="15.75" thickBot="1">
      <c r="A2513" s="6" t="s">
        <v>4773</v>
      </c>
      <c r="B2513" s="5" t="s">
        <v>4774</v>
      </c>
      <c r="C2513" s="3" t="s">
        <v>5</v>
      </c>
    </row>
    <row r="2514" spans="1:3" ht="15.75" thickBot="1">
      <c r="A2514" s="6" t="s">
        <v>4775</v>
      </c>
      <c r="B2514" s="5" t="s">
        <v>4776</v>
      </c>
      <c r="C2514" s="3" t="s">
        <v>5</v>
      </c>
    </row>
    <row r="2515" spans="1:3" ht="15.75" thickBot="1">
      <c r="A2515" s="6" t="s">
        <v>4777</v>
      </c>
      <c r="B2515" s="5" t="s">
        <v>4778</v>
      </c>
      <c r="C2515" s="3" t="s">
        <v>5</v>
      </c>
    </row>
    <row r="2516" spans="1:3" ht="15.75" thickBot="1">
      <c r="A2516" s="6" t="s">
        <v>4779</v>
      </c>
      <c r="B2516" s="5" t="s">
        <v>4780</v>
      </c>
      <c r="C2516" s="3" t="s">
        <v>5</v>
      </c>
    </row>
    <row r="2517" spans="1:3" ht="15.75" thickBot="1">
      <c r="A2517" s="6" t="s">
        <v>4781</v>
      </c>
      <c r="B2517" s="5" t="s">
        <v>4782</v>
      </c>
      <c r="C2517" s="3" t="s">
        <v>5</v>
      </c>
    </row>
    <row r="2518" spans="1:3" ht="15.75" thickBot="1">
      <c r="A2518" s="6" t="s">
        <v>4783</v>
      </c>
      <c r="B2518" s="5" t="s">
        <v>4784</v>
      </c>
      <c r="C2518" s="3" t="s">
        <v>5</v>
      </c>
    </row>
    <row r="2519" spans="1:3" ht="15.75" thickBot="1">
      <c r="A2519" s="6" t="s">
        <v>4785</v>
      </c>
      <c r="B2519" s="5" t="s">
        <v>4786</v>
      </c>
      <c r="C2519" s="3" t="s">
        <v>5</v>
      </c>
    </row>
    <row r="2520" spans="1:3" ht="15.75" thickBot="1">
      <c r="A2520" s="6" t="s">
        <v>4787</v>
      </c>
      <c r="B2520" s="5" t="s">
        <v>4788</v>
      </c>
      <c r="C2520" s="3" t="s">
        <v>5</v>
      </c>
    </row>
    <row r="2521" spans="1:3" ht="15.75" thickBot="1">
      <c r="A2521" s="6" t="s">
        <v>4789</v>
      </c>
      <c r="B2521" s="5" t="s">
        <v>4790</v>
      </c>
      <c r="C2521" s="3" t="s">
        <v>5</v>
      </c>
    </row>
    <row r="2522" spans="1:3" ht="15.75" thickBot="1">
      <c r="A2522" s="6" t="s">
        <v>4791</v>
      </c>
      <c r="B2522" s="5" t="s">
        <v>4792</v>
      </c>
      <c r="C2522" s="3" t="s">
        <v>5</v>
      </c>
    </row>
    <row r="2523" spans="1:3" ht="15.75" thickBot="1">
      <c r="A2523" s="6" t="s">
        <v>4793</v>
      </c>
      <c r="B2523" s="5" t="s">
        <v>4794</v>
      </c>
      <c r="C2523" s="3" t="s">
        <v>5</v>
      </c>
    </row>
    <row r="2524" spans="1:3" ht="15.75" thickBot="1">
      <c r="A2524" s="6" t="s">
        <v>4795</v>
      </c>
      <c r="B2524" s="5" t="s">
        <v>4796</v>
      </c>
      <c r="C2524" s="3" t="s">
        <v>5</v>
      </c>
    </row>
    <row r="2525" spans="1:3" ht="15.75" thickBot="1">
      <c r="A2525" s="6" t="s">
        <v>4797</v>
      </c>
      <c r="B2525" s="5" t="s">
        <v>4798</v>
      </c>
      <c r="C2525" s="3" t="s">
        <v>5</v>
      </c>
    </row>
    <row r="2526" spans="1:3" ht="15.75" thickBot="1">
      <c r="A2526" s="6" t="s">
        <v>4799</v>
      </c>
      <c r="B2526" s="5" t="s">
        <v>4800</v>
      </c>
      <c r="C2526" s="3" t="s">
        <v>5</v>
      </c>
    </row>
    <row r="2527" spans="1:3" ht="15.75" thickBot="1">
      <c r="A2527" s="6" t="s">
        <v>4801</v>
      </c>
      <c r="B2527" s="5" t="s">
        <v>4802</v>
      </c>
      <c r="C2527" s="3" t="s">
        <v>5</v>
      </c>
    </row>
    <row r="2528" spans="1:3" ht="15.75" thickBot="1">
      <c r="A2528" s="6" t="s">
        <v>4803</v>
      </c>
      <c r="B2528" s="5" t="s">
        <v>4804</v>
      </c>
      <c r="C2528" s="3" t="s">
        <v>5</v>
      </c>
    </row>
    <row r="2529" spans="1:3" ht="15.75" thickBot="1">
      <c r="A2529" s="6" t="s">
        <v>4805</v>
      </c>
      <c r="B2529" s="5" t="s">
        <v>4806</v>
      </c>
      <c r="C2529" s="3" t="s">
        <v>5</v>
      </c>
    </row>
    <row r="2530" spans="1:3" ht="15.75" thickBot="1">
      <c r="A2530" s="6" t="s">
        <v>4807</v>
      </c>
      <c r="B2530" s="5" t="s">
        <v>4808</v>
      </c>
      <c r="C2530" s="3" t="s">
        <v>5</v>
      </c>
    </row>
    <row r="2531" spans="1:3" ht="15.75" thickBot="1">
      <c r="A2531" s="6" t="s">
        <v>4809</v>
      </c>
      <c r="B2531" s="5" t="s">
        <v>4810</v>
      </c>
      <c r="C2531" s="3" t="s">
        <v>5</v>
      </c>
    </row>
    <row r="2532" spans="1:3" ht="15.75" thickBot="1">
      <c r="A2532" s="6" t="s">
        <v>4811</v>
      </c>
      <c r="B2532" s="5" t="s">
        <v>4812</v>
      </c>
      <c r="C2532" s="3" t="s">
        <v>5</v>
      </c>
    </row>
    <row r="2533" spans="1:3" ht="15.75" thickBot="1">
      <c r="A2533" s="6" t="s">
        <v>4813</v>
      </c>
      <c r="B2533" s="5" t="s">
        <v>4814</v>
      </c>
      <c r="C2533" s="3" t="s">
        <v>5</v>
      </c>
    </row>
    <row r="2534" spans="1:3" ht="15.75" thickBot="1">
      <c r="A2534" s="6" t="s">
        <v>4815</v>
      </c>
      <c r="B2534" s="5" t="s">
        <v>4816</v>
      </c>
      <c r="C2534" s="3" t="s">
        <v>5</v>
      </c>
    </row>
    <row r="2535" spans="1:3" ht="15.75" thickBot="1">
      <c r="A2535" s="6" t="s">
        <v>4817</v>
      </c>
      <c r="B2535" s="5" t="s">
        <v>4818</v>
      </c>
      <c r="C2535" s="3" t="s">
        <v>5</v>
      </c>
    </row>
    <row r="2536" spans="1:3" ht="15.75" thickBot="1">
      <c r="A2536" s="6" t="s">
        <v>4819</v>
      </c>
      <c r="B2536" s="5" t="s">
        <v>4820</v>
      </c>
      <c r="C2536" s="3" t="s">
        <v>5</v>
      </c>
    </row>
    <row r="2537" spans="1:3" ht="15.75" thickBot="1">
      <c r="A2537" s="6" t="s">
        <v>4821</v>
      </c>
      <c r="B2537" s="5" t="s">
        <v>4822</v>
      </c>
      <c r="C2537" s="3" t="s">
        <v>5</v>
      </c>
    </row>
    <row r="2538" spans="1:3" ht="15.75" thickBot="1">
      <c r="A2538" s="6" t="s">
        <v>4823</v>
      </c>
      <c r="B2538" s="5" t="s">
        <v>4824</v>
      </c>
      <c r="C2538" s="3" t="s">
        <v>5</v>
      </c>
    </row>
    <row r="2539" spans="1:3" ht="15.75" thickBot="1">
      <c r="A2539" s="6" t="s">
        <v>4825</v>
      </c>
      <c r="B2539" s="5" t="s">
        <v>4826</v>
      </c>
      <c r="C2539" s="3" t="s">
        <v>5</v>
      </c>
    </row>
    <row r="2540" spans="1:3" ht="15.75" thickBot="1">
      <c r="A2540" s="6" t="s">
        <v>4827</v>
      </c>
      <c r="B2540" s="5" t="s">
        <v>4828</v>
      </c>
      <c r="C2540" s="3" t="s">
        <v>5</v>
      </c>
    </row>
    <row r="2541" spans="1:3" ht="15.75" thickBot="1">
      <c r="A2541" s="6" t="s">
        <v>4829</v>
      </c>
      <c r="B2541" s="5" t="s">
        <v>4830</v>
      </c>
      <c r="C2541" s="3" t="s">
        <v>5</v>
      </c>
    </row>
    <row r="2542" spans="1:3">
      <c r="A2542" s="1" t="s">
        <v>4831</v>
      </c>
      <c r="B2542" s="2" t="s">
        <v>4832</v>
      </c>
      <c r="C2542" s="3" t="s">
        <v>5</v>
      </c>
    </row>
    <row r="2543" spans="1:3" ht="15.75" thickBot="1">
      <c r="A2543" s="4"/>
      <c r="B2543" s="5" t="s">
        <v>4833</v>
      </c>
      <c r="C2543" s="3" t="s">
        <v>5</v>
      </c>
    </row>
    <row r="2544" spans="1:3">
      <c r="A2544" s="1" t="s">
        <v>4834</v>
      </c>
      <c r="B2544" s="2" t="s">
        <v>4835</v>
      </c>
      <c r="C2544" s="3" t="s">
        <v>5</v>
      </c>
    </row>
    <row r="2545" spans="1:3" ht="15.75" thickBot="1">
      <c r="A2545" s="4"/>
      <c r="B2545" s="5" t="s">
        <v>4836</v>
      </c>
      <c r="C2545" s="3" t="s">
        <v>5</v>
      </c>
    </row>
    <row r="2546" spans="1:3" ht="15.75" thickBot="1">
      <c r="A2546" s="6" t="s">
        <v>4837</v>
      </c>
      <c r="B2546" s="5" t="s">
        <v>4838</v>
      </c>
      <c r="C2546" s="3" t="s">
        <v>5</v>
      </c>
    </row>
    <row r="2547" spans="1:3" ht="15.75" thickBot="1">
      <c r="A2547" s="6" t="s">
        <v>4839</v>
      </c>
      <c r="B2547" s="5" t="e">
        <f xml:space="preserve"> drum controller</f>
        <v>#NAME?</v>
      </c>
      <c r="C2547" s="3" t="s">
        <v>5</v>
      </c>
    </row>
    <row r="2548" spans="1:3" ht="15.75" thickBot="1">
      <c r="A2548" s="6" t="s">
        <v>4840</v>
      </c>
      <c r="B2548" s="5" t="e">
        <f xml:space="preserve"> drum drive</f>
        <v>#NAME?</v>
      </c>
      <c r="C2548" s="3" t="s">
        <v>5</v>
      </c>
    </row>
    <row r="2549" spans="1:3" ht="15.75" thickBot="1">
      <c r="A2549" s="6" t="s">
        <v>4841</v>
      </c>
      <c r="B2549" s="5" t="s">
        <v>4842</v>
      </c>
      <c r="C2549" s="3" t="s">
        <v>5</v>
      </c>
    </row>
    <row r="2550" spans="1:3" ht="15.75" thickBot="1">
      <c r="A2550" s="6" t="s">
        <v>4843</v>
      </c>
      <c r="B2550" s="5" t="s">
        <v>4844</v>
      </c>
      <c r="C2550" s="3" t="s">
        <v>5</v>
      </c>
    </row>
    <row r="2551" spans="1:3" ht="15.75" thickBot="1">
      <c r="A2551" s="6" t="s">
        <v>4845</v>
      </c>
      <c r="B2551" s="5" t="s">
        <v>4846</v>
      </c>
      <c r="C2551" s="3" t="s">
        <v>5</v>
      </c>
    </row>
    <row r="2552" spans="1:3" ht="15.75" thickBot="1">
      <c r="A2552" s="6" t="s">
        <v>4847</v>
      </c>
      <c r="B2552" s="5" t="s">
        <v>4848</v>
      </c>
      <c r="C2552" s="3" t="s">
        <v>5</v>
      </c>
    </row>
    <row r="2553" spans="1:3" ht="15.75" thickBot="1">
      <c r="A2553" s="6" t="s">
        <v>4849</v>
      </c>
      <c r="B2553" s="5" t="s">
        <v>4850</v>
      </c>
      <c r="C2553" s="3" t="s">
        <v>5</v>
      </c>
    </row>
    <row r="2554" spans="1:3" ht="15.75" thickBot="1">
      <c r="A2554" s="6" t="s">
        <v>4851</v>
      </c>
      <c r="B2554" s="5" t="s">
        <v>4852</v>
      </c>
      <c r="C2554" s="3" t="s">
        <v>5</v>
      </c>
    </row>
    <row r="2555" spans="1:3">
      <c r="A2555" s="1" t="s">
        <v>4853</v>
      </c>
      <c r="B2555" s="2" t="s">
        <v>4854</v>
      </c>
      <c r="C2555" s="3" t="s">
        <v>5</v>
      </c>
    </row>
    <row r="2556" spans="1:3" ht="15.75" thickBot="1">
      <c r="A2556" s="4"/>
      <c r="B2556" s="5" t="s">
        <v>4855</v>
      </c>
      <c r="C2556" s="3" t="s">
        <v>5</v>
      </c>
    </row>
    <row r="2557" spans="1:3" ht="15.75" thickBot="1">
      <c r="A2557" s="6" t="s">
        <v>4856</v>
      </c>
      <c r="B2557" s="5" t="s">
        <v>4857</v>
      </c>
      <c r="C2557" s="3" t="s">
        <v>5</v>
      </c>
    </row>
    <row r="2558" spans="1:3" ht="15.75" thickBot="1">
      <c r="A2558" s="6" t="s">
        <v>4858</v>
      </c>
      <c r="B2558" s="5" t="e">
        <f xml:space="preserve"> dry flashover voltage</f>
        <v>#NAME?</v>
      </c>
      <c r="C2558" s="3" t="s">
        <v>5</v>
      </c>
    </row>
    <row r="2559" spans="1:3" ht="15.75" thickBot="1">
      <c r="A2559" s="6" t="s">
        <v>4859</v>
      </c>
      <c r="B2559" s="5" t="s">
        <v>4860</v>
      </c>
      <c r="C2559" s="3" t="s">
        <v>5</v>
      </c>
    </row>
    <row r="2560" spans="1:3" ht="15.75" thickBot="1">
      <c r="A2560" s="6" t="s">
        <v>4861</v>
      </c>
      <c r="B2560" s="5" t="s">
        <v>4862</v>
      </c>
      <c r="C2560" s="3" t="s">
        <v>5</v>
      </c>
    </row>
    <row r="2561" spans="1:3" ht="15.75" thickBot="1">
      <c r="A2561" s="6" t="s">
        <v>4863</v>
      </c>
      <c r="B2561" s="5" t="s">
        <v>4864</v>
      </c>
      <c r="C2561" s="3" t="s">
        <v>5</v>
      </c>
    </row>
    <row r="2562" spans="1:3" ht="15.75" thickBot="1">
      <c r="A2562" s="6" t="s">
        <v>4865</v>
      </c>
      <c r="B2562" s="5" t="s">
        <v>4866</v>
      </c>
      <c r="C2562" s="3" t="s">
        <v>5</v>
      </c>
    </row>
    <row r="2563" spans="1:3" ht="15.75" thickBot="1">
      <c r="A2563" s="6" t="s">
        <v>4867</v>
      </c>
      <c r="B2563" s="5" t="s">
        <v>4868</v>
      </c>
      <c r="C2563" s="3" t="s">
        <v>5</v>
      </c>
    </row>
    <row r="2564" spans="1:3" ht="15.75" thickBot="1">
      <c r="A2564" s="6" t="s">
        <v>4869</v>
      </c>
      <c r="B2564" s="5" t="s">
        <v>4870</v>
      </c>
      <c r="C2564" s="3" t="s">
        <v>5</v>
      </c>
    </row>
    <row r="2565" spans="1:3" ht="15.75" thickBot="1">
      <c r="A2565" s="6" t="s">
        <v>4871</v>
      </c>
      <c r="B2565" s="5" t="s">
        <v>4872</v>
      </c>
      <c r="C2565" s="3" t="s">
        <v>5</v>
      </c>
    </row>
    <row r="2566" spans="1:3" ht="15.75" thickBot="1">
      <c r="A2566" s="6" t="s">
        <v>4873</v>
      </c>
      <c r="B2566" s="5" t="s">
        <v>4874</v>
      </c>
      <c r="C2566" s="3" t="s">
        <v>5</v>
      </c>
    </row>
    <row r="2567" spans="1:3" ht="15.75" thickBot="1">
      <c r="A2567" s="6" t="s">
        <v>4875</v>
      </c>
      <c r="B2567" s="5" t="s">
        <v>4876</v>
      </c>
      <c r="C2567" s="3" t="s">
        <v>5</v>
      </c>
    </row>
    <row r="2568" spans="1:3" ht="15.75" thickBot="1">
      <c r="A2568" s="6" t="s">
        <v>4877</v>
      </c>
      <c r="B2568" s="5" t="s">
        <v>4878</v>
      </c>
      <c r="C2568" s="3" t="s">
        <v>5</v>
      </c>
    </row>
    <row r="2569" spans="1:3" ht="15.75" thickBot="1">
      <c r="A2569" s="6" t="s">
        <v>4879</v>
      </c>
      <c r="B2569" s="5" t="s">
        <v>4880</v>
      </c>
      <c r="C2569" s="3" t="s">
        <v>5</v>
      </c>
    </row>
    <row r="2570" spans="1:3" ht="15.75" thickBot="1">
      <c r="A2570" s="6" t="s">
        <v>4881</v>
      </c>
      <c r="B2570" s="5" t="s">
        <v>4882</v>
      </c>
      <c r="C2570" s="3" t="s">
        <v>5</v>
      </c>
    </row>
    <row r="2571" spans="1:3" ht="15.75" thickBot="1">
      <c r="A2571" s="6" t="s">
        <v>4883</v>
      </c>
      <c r="B2571" s="5" t="s">
        <v>4884</v>
      </c>
      <c r="C2571" s="3" t="s">
        <v>5</v>
      </c>
    </row>
    <row r="2572" spans="1:3" ht="15.75" thickBot="1">
      <c r="A2572" s="6" t="s">
        <v>4885</v>
      </c>
      <c r="B2572" s="5" t="e">
        <f xml:space="preserve"> artificial antenna</f>
        <v>#NAME?</v>
      </c>
      <c r="C2572" s="3" t="s">
        <v>5</v>
      </c>
    </row>
    <row r="2573" spans="1:3">
      <c r="A2573" s="1" t="s">
        <v>4886</v>
      </c>
      <c r="B2573" s="2" t="s">
        <v>4887</v>
      </c>
      <c r="C2573" s="3" t="s">
        <v>5</v>
      </c>
    </row>
    <row r="2574" spans="1:3" ht="15.75" thickBot="1">
      <c r="A2574" s="4"/>
      <c r="B2574" s="5" t="s">
        <v>4888</v>
      </c>
      <c r="C2574" s="3" t="s">
        <v>5</v>
      </c>
    </row>
    <row r="2575" spans="1:3" ht="15.75" thickBot="1">
      <c r="A2575" s="6" t="s">
        <v>4889</v>
      </c>
      <c r="B2575" s="5" t="s">
        <v>4890</v>
      </c>
      <c r="C2575" s="3" t="s">
        <v>5</v>
      </c>
    </row>
    <row r="2576" spans="1:3" ht="15.75" thickBot="1">
      <c r="A2576" s="6" t="s">
        <v>4891</v>
      </c>
      <c r="B2576" s="5" t="s">
        <v>4892</v>
      </c>
      <c r="C2576" s="3" t="s">
        <v>5</v>
      </c>
    </row>
    <row r="2577" spans="1:3" ht="15.75" thickBot="1">
      <c r="A2577" s="6" t="s">
        <v>4891</v>
      </c>
      <c r="B2577" s="5" t="s">
        <v>4893</v>
      </c>
      <c r="C2577" s="3" t="s">
        <v>5</v>
      </c>
    </row>
    <row r="2578" spans="1:3" ht="15.75" thickBot="1">
      <c r="A2578" s="6" t="s">
        <v>4894</v>
      </c>
      <c r="B2578" s="5" t="s">
        <v>4895</v>
      </c>
      <c r="C2578" s="3" t="s">
        <v>5</v>
      </c>
    </row>
    <row r="2579" spans="1:3" ht="15.75" thickBot="1">
      <c r="A2579" s="6" t="s">
        <v>4896</v>
      </c>
      <c r="B2579" s="5" t="s">
        <v>4897</v>
      </c>
      <c r="C2579" s="3" t="s">
        <v>5</v>
      </c>
    </row>
    <row r="2580" spans="1:3" ht="15.75" thickBot="1">
      <c r="A2580" s="6" t="s">
        <v>4898</v>
      </c>
      <c r="B2580" s="5" t="s">
        <v>4899</v>
      </c>
      <c r="C2580" s="3" t="s">
        <v>5</v>
      </c>
    </row>
    <row r="2581" spans="1:3" ht="15.75" thickBot="1">
      <c r="A2581" s="6" t="s">
        <v>4900</v>
      </c>
      <c r="B2581" s="5" t="s">
        <v>4901</v>
      </c>
      <c r="C2581" s="3" t="s">
        <v>5</v>
      </c>
    </row>
    <row r="2582" spans="1:3" ht="15.75" thickBot="1">
      <c r="A2582" s="6" t="s">
        <v>4902</v>
      </c>
      <c r="B2582" s="5" t="s">
        <v>4903</v>
      </c>
      <c r="C2582" s="3" t="s">
        <v>5</v>
      </c>
    </row>
    <row r="2583" spans="1:3" ht="15.75" thickBot="1">
      <c r="A2583" s="6" t="s">
        <v>4904</v>
      </c>
      <c r="B2583" s="5" t="s">
        <v>4905</v>
      </c>
      <c r="C2583" s="3" t="s">
        <v>5</v>
      </c>
    </row>
    <row r="2584" spans="1:3" ht="15.75" thickBot="1">
      <c r="A2584" s="6" t="s">
        <v>4906</v>
      </c>
      <c r="B2584" s="5" t="s">
        <v>4907</v>
      </c>
      <c r="C2584" s="3" t="s">
        <v>5</v>
      </c>
    </row>
    <row r="2585" spans="1:3" ht="15.75" thickBot="1">
      <c r="A2585" s="6" t="s">
        <v>4908</v>
      </c>
      <c r="B2585" s="5" t="s">
        <v>4909</v>
      </c>
      <c r="C2585" s="3" t="s">
        <v>5</v>
      </c>
    </row>
    <row r="2586" spans="1:3" ht="15.75" thickBot="1">
      <c r="A2586" s="6" t="s">
        <v>4910</v>
      </c>
      <c r="B2586" s="5" t="s">
        <v>4911</v>
      </c>
      <c r="C2586" s="3" t="s">
        <v>5</v>
      </c>
    </row>
    <row r="2587" spans="1:3" ht="15.75" thickBot="1">
      <c r="A2587" s="6" t="s">
        <v>4912</v>
      </c>
      <c r="B2587" s="5" t="s">
        <v>4913</v>
      </c>
      <c r="C2587" s="3" t="s">
        <v>5</v>
      </c>
    </row>
    <row r="2588" spans="1:3" ht="15.75" thickBot="1">
      <c r="A2588" s="6" t="s">
        <v>4914</v>
      </c>
      <c r="B2588" s="5" t="s">
        <v>4915</v>
      </c>
      <c r="C2588" s="3" t="s">
        <v>5</v>
      </c>
    </row>
    <row r="2589" spans="1:3" ht="15.75" thickBot="1">
      <c r="A2589" s="6" t="s">
        <v>4916</v>
      </c>
      <c r="B2589" s="5" t="s">
        <v>4917</v>
      </c>
      <c r="C2589" s="3" t="s">
        <v>5</v>
      </c>
    </row>
    <row r="2590" spans="1:3" ht="15.75" thickBot="1">
      <c r="A2590" s="6" t="s">
        <v>4918</v>
      </c>
      <c r="B2590" s="5" t="s">
        <v>4919</v>
      </c>
      <c r="C2590" s="3" t="s">
        <v>5</v>
      </c>
    </row>
    <row r="2591" spans="1:3" ht="15.75" thickBot="1">
      <c r="A2591" s="6" t="s">
        <v>4920</v>
      </c>
      <c r="B2591" s="5" t="s">
        <v>4921</v>
      </c>
      <c r="C2591" s="3" t="s">
        <v>5</v>
      </c>
    </row>
    <row r="2592" spans="1:3" ht="15.75" thickBot="1">
      <c r="A2592" s="6" t="s">
        <v>4922</v>
      </c>
      <c r="B2592" s="5" t="s">
        <v>4923</v>
      </c>
      <c r="C2592" s="3" t="s">
        <v>5</v>
      </c>
    </row>
    <row r="2593" spans="1:3" ht="15.75" thickBot="1">
      <c r="A2593" s="6" t="s">
        <v>4924</v>
      </c>
      <c r="B2593" s="5" t="s">
        <v>4925</v>
      </c>
      <c r="C2593" s="3" t="s">
        <v>5</v>
      </c>
    </row>
    <row r="2594" spans="1:3" ht="15.75" thickBot="1">
      <c r="A2594" s="6" t="s">
        <v>4926</v>
      </c>
      <c r="B2594" s="5" t="s">
        <v>4927</v>
      </c>
      <c r="C2594" s="3" t="s">
        <v>5</v>
      </c>
    </row>
    <row r="2595" spans="1:3" ht="15.75" thickBot="1">
      <c r="A2595" s="6" t="s">
        <v>4928</v>
      </c>
      <c r="B2595" s="5" t="s">
        <v>4929</v>
      </c>
      <c r="C2595" s="3" t="s">
        <v>5</v>
      </c>
    </row>
    <row r="2596" spans="1:3" ht="15.75" thickBot="1">
      <c r="A2596" s="6" t="s">
        <v>4930</v>
      </c>
      <c r="B2596" s="5" t="s">
        <v>4931</v>
      </c>
      <c r="C2596" s="3" t="s">
        <v>5</v>
      </c>
    </row>
    <row r="2597" spans="1:3" ht="15.75" thickBot="1">
      <c r="A2597" s="6" t="s">
        <v>4932</v>
      </c>
      <c r="B2597" s="5" t="s">
        <v>4923</v>
      </c>
      <c r="C2597" s="3" t="s">
        <v>5</v>
      </c>
    </row>
    <row r="2598" spans="1:3" ht="15.75" thickBot="1">
      <c r="A2598" s="6" t="s">
        <v>4933</v>
      </c>
      <c r="B2598" s="5" t="s">
        <v>4934</v>
      </c>
      <c r="C2598" s="3" t="s">
        <v>5</v>
      </c>
    </row>
    <row r="2599" spans="1:3" ht="15.75" thickBot="1">
      <c r="A2599" s="6" t="s">
        <v>4935</v>
      </c>
      <c r="B2599" s="5" t="s">
        <v>4936</v>
      </c>
      <c r="C2599" s="3" t="s">
        <v>5</v>
      </c>
    </row>
    <row r="2600" spans="1:3" ht="15.75" thickBot="1">
      <c r="A2600" s="6" t="s">
        <v>4937</v>
      </c>
      <c r="B2600" s="5" t="s">
        <v>4938</v>
      </c>
      <c r="C2600" s="3" t="s">
        <v>5</v>
      </c>
    </row>
    <row r="2601" spans="1:3" ht="15.75" thickBot="1">
      <c r="A2601" s="6" t="s">
        <v>4939</v>
      </c>
      <c r="B2601" s="5" t="s">
        <v>4940</v>
      </c>
      <c r="C2601" s="3" t="s">
        <v>5</v>
      </c>
    </row>
    <row r="2602" spans="1:3" ht="15.75" thickBot="1">
      <c r="A2602" s="6" t="s">
        <v>4941</v>
      </c>
      <c r="B2602" s="5" t="s">
        <v>4942</v>
      </c>
      <c r="C2602" s="3" t="s">
        <v>5</v>
      </c>
    </row>
    <row r="2603" spans="1:3" ht="15.75" thickBot="1">
      <c r="A2603" s="6" t="s">
        <v>4943</v>
      </c>
      <c r="B2603" s="5" t="s">
        <v>4944</v>
      </c>
      <c r="C2603" s="3" t="s">
        <v>5</v>
      </c>
    </row>
    <row r="2604" spans="1:3" ht="15.75" thickBot="1">
      <c r="A2604" s="6" t="s">
        <v>4945</v>
      </c>
      <c r="B2604" s="5" t="s">
        <v>4946</v>
      </c>
      <c r="C2604" s="3" t="s">
        <v>5</v>
      </c>
    </row>
    <row r="2605" spans="1:3" ht="15.75" thickBot="1">
      <c r="A2605" s="6" t="s">
        <v>4947</v>
      </c>
      <c r="B2605" s="5" t="s">
        <v>4948</v>
      </c>
      <c r="C2605" s="3" t="s">
        <v>5</v>
      </c>
    </row>
    <row r="2606" spans="1:3">
      <c r="A2606" s="1" t="s">
        <v>4949</v>
      </c>
      <c r="B2606" s="2" t="s">
        <v>4950</v>
      </c>
      <c r="C2606" s="3" t="s">
        <v>5</v>
      </c>
    </row>
    <row r="2607" spans="1:3" ht="15.75" thickBot="1">
      <c r="A2607" s="4"/>
      <c r="B2607" s="5" t="s">
        <v>4951</v>
      </c>
      <c r="C2607" s="3" t="s">
        <v>5</v>
      </c>
    </row>
    <row r="2608" spans="1:3" ht="25.5">
      <c r="A2608" s="1" t="s">
        <v>4952</v>
      </c>
      <c r="B2608" s="2" t="s">
        <v>4953</v>
      </c>
      <c r="C2608" s="3" t="s">
        <v>5</v>
      </c>
    </row>
    <row r="2609" spans="1:3" ht="15.75" thickBot="1">
      <c r="A2609" s="4"/>
      <c r="B2609" s="5" t="s">
        <v>4954</v>
      </c>
      <c r="C2609" s="3" t="s">
        <v>5</v>
      </c>
    </row>
    <row r="2610" spans="1:3" ht="15.75" thickBot="1">
      <c r="A2610" s="6" t="s">
        <v>4955</v>
      </c>
      <c r="B2610" s="5" t="s">
        <v>4956</v>
      </c>
      <c r="C2610" s="3" t="s">
        <v>5</v>
      </c>
    </row>
    <row r="2611" spans="1:3" ht="15.75" thickBot="1">
      <c r="A2611" s="6" t="s">
        <v>4957</v>
      </c>
      <c r="B2611" s="5" t="s">
        <v>4958</v>
      </c>
      <c r="C2611" s="3" t="s">
        <v>5</v>
      </c>
    </row>
    <row r="2612" spans="1:3" ht="15.75" thickBot="1">
      <c r="A2612" s="6" t="s">
        <v>4957</v>
      </c>
      <c r="B2612" s="5" t="s">
        <v>4959</v>
      </c>
      <c r="C2612" s="3" t="s">
        <v>5</v>
      </c>
    </row>
    <row r="2613" spans="1:3" ht="15.75" thickBot="1">
      <c r="A2613" s="6" t="s">
        <v>4960</v>
      </c>
      <c r="B2613" s="5" t="s">
        <v>4961</v>
      </c>
      <c r="C2613" s="3" t="s">
        <v>5</v>
      </c>
    </row>
    <row r="2614" spans="1:3" ht="15.75" thickBot="1">
      <c r="A2614" s="6" t="s">
        <v>4962</v>
      </c>
      <c r="B2614" s="5" t="s">
        <v>4963</v>
      </c>
      <c r="C2614" s="3" t="s">
        <v>5</v>
      </c>
    </row>
    <row r="2615" spans="1:3" ht="15.75" thickBot="1">
      <c r="A2615" s="6" t="s">
        <v>4964</v>
      </c>
      <c r="B2615" s="5" t="s">
        <v>4965</v>
      </c>
      <c r="C2615" s="3" t="s">
        <v>5</v>
      </c>
    </row>
    <row r="2616" spans="1:3" ht="15.75" thickBot="1">
      <c r="A2616" s="6" t="s">
        <v>4966</v>
      </c>
      <c r="B2616" s="5" t="s">
        <v>4967</v>
      </c>
      <c r="C2616" s="3" t="s">
        <v>5</v>
      </c>
    </row>
    <row r="2617" spans="1:3" ht="15.75" thickBot="1">
      <c r="A2617" s="6" t="s">
        <v>4968</v>
      </c>
      <c r="B2617" s="5" t="s">
        <v>4969</v>
      </c>
      <c r="C2617" s="3" t="s">
        <v>5</v>
      </c>
    </row>
    <row r="2618" spans="1:3" ht="15.75" thickBot="1">
      <c r="A2618" s="6" t="s">
        <v>4970</v>
      </c>
      <c r="B2618" s="5" t="s">
        <v>4971</v>
      </c>
      <c r="C2618" s="3" t="s">
        <v>5</v>
      </c>
    </row>
    <row r="2619" spans="1:3" ht="15.75" thickBot="1">
      <c r="A2619" s="6" t="s">
        <v>4972</v>
      </c>
      <c r="B2619" s="5" t="s">
        <v>4973</v>
      </c>
      <c r="C2619" s="3" t="s">
        <v>5</v>
      </c>
    </row>
    <row r="2620" spans="1:3" ht="15.75" thickBot="1">
      <c r="A2620" s="6" t="s">
        <v>4974</v>
      </c>
      <c r="B2620" s="5" t="s">
        <v>4975</v>
      </c>
      <c r="C2620" s="3" t="s">
        <v>5</v>
      </c>
    </row>
    <row r="2621" spans="1:3" ht="15.75" thickBot="1">
      <c r="A2621" s="6" t="s">
        <v>4976</v>
      </c>
      <c r="B2621" s="5" t="s">
        <v>4977</v>
      </c>
      <c r="C2621" s="3" t="s">
        <v>5</v>
      </c>
    </row>
    <row r="2622" spans="1:3" ht="15.75" thickBot="1">
      <c r="A2622" s="6" t="s">
        <v>4978</v>
      </c>
      <c r="B2622" s="5" t="s">
        <v>4979</v>
      </c>
      <c r="C2622" s="3" t="s">
        <v>5</v>
      </c>
    </row>
    <row r="2623" spans="1:3" ht="15.75" thickBot="1">
      <c r="A2623" s="6" t="s">
        <v>4980</v>
      </c>
      <c r="B2623" s="5" t="s">
        <v>4981</v>
      </c>
      <c r="C2623" s="3" t="s">
        <v>5</v>
      </c>
    </row>
    <row r="2624" spans="1:3" ht="15.75" thickBot="1">
      <c r="A2624" s="6" t="s">
        <v>4982</v>
      </c>
      <c r="B2624" s="5" t="s">
        <v>4981</v>
      </c>
      <c r="C2624" s="3" t="s">
        <v>5</v>
      </c>
    </row>
    <row r="2625" spans="1:3" ht="15.75" thickBot="1">
      <c r="A2625" s="6" t="s">
        <v>4983</v>
      </c>
      <c r="B2625" s="5" t="s">
        <v>4984</v>
      </c>
      <c r="C2625" s="3" t="s">
        <v>5</v>
      </c>
    </row>
    <row r="2626" spans="1:3" ht="15.75" thickBot="1">
      <c r="A2626" s="6" t="s">
        <v>4985</v>
      </c>
      <c r="B2626" s="5" t="s">
        <v>4986</v>
      </c>
      <c r="C2626" s="3" t="s">
        <v>5</v>
      </c>
    </row>
    <row r="2627" spans="1:3" ht="15.75" thickBot="1">
      <c r="A2627" s="6" t="s">
        <v>4987</v>
      </c>
      <c r="B2627" s="5" t="s">
        <v>4988</v>
      </c>
      <c r="C2627" s="3" t="s">
        <v>5</v>
      </c>
    </row>
    <row r="2628" spans="1:3" ht="15.75" thickBot="1">
      <c r="A2628" s="6" t="s">
        <v>4989</v>
      </c>
      <c r="B2628" s="5" t="s">
        <v>4990</v>
      </c>
      <c r="C2628" s="3" t="s">
        <v>5</v>
      </c>
    </row>
    <row r="2629" spans="1:3" ht="15.75" thickBot="1">
      <c r="A2629" s="6" t="s">
        <v>4991</v>
      </c>
      <c r="B2629" s="5" t="s">
        <v>4992</v>
      </c>
      <c r="C2629" s="3" t="s">
        <v>5</v>
      </c>
    </row>
    <row r="2630" spans="1:3" ht="15.75" thickBot="1">
      <c r="A2630" s="6" t="s">
        <v>4993</v>
      </c>
      <c r="B2630" s="5" t="s">
        <v>4994</v>
      </c>
      <c r="C2630" s="3" t="s">
        <v>5</v>
      </c>
    </row>
    <row r="2631" spans="1:3" ht="15.75" thickBot="1">
      <c r="A2631" s="6" t="s">
        <v>4995</v>
      </c>
      <c r="B2631" s="5" t="s">
        <v>4996</v>
      </c>
      <c r="C2631" s="3" t="s">
        <v>5</v>
      </c>
    </row>
    <row r="2632" spans="1:3" ht="15.75" thickBot="1">
      <c r="A2632" s="6" t="s">
        <v>4997</v>
      </c>
      <c r="B2632" s="5" t="s">
        <v>4998</v>
      </c>
      <c r="C2632" s="3" t="s">
        <v>5</v>
      </c>
    </row>
    <row r="2633" spans="1:3" ht="15.75" thickBot="1">
      <c r="A2633" s="6" t="s">
        <v>4999</v>
      </c>
      <c r="B2633" s="5" t="s">
        <v>5000</v>
      </c>
      <c r="C2633" s="3" t="s">
        <v>5</v>
      </c>
    </row>
    <row r="2634" spans="1:3" ht="15.75" thickBot="1">
      <c r="A2634" s="6" t="s">
        <v>5001</v>
      </c>
      <c r="B2634" s="5" t="s">
        <v>5002</v>
      </c>
      <c r="C2634" s="3" t="s">
        <v>5</v>
      </c>
    </row>
    <row r="2635" spans="1:3" ht="15.75" thickBot="1">
      <c r="A2635" s="6" t="s">
        <v>5003</v>
      </c>
      <c r="B2635" s="5" t="s">
        <v>5004</v>
      </c>
      <c r="C2635" s="3" t="s">
        <v>5</v>
      </c>
    </row>
    <row r="2636" spans="1:3" ht="15.75" thickBot="1">
      <c r="A2636" s="6" t="s">
        <v>5005</v>
      </c>
      <c r="B2636" s="5" t="s">
        <v>5006</v>
      </c>
      <c r="C2636" s="3" t="s">
        <v>5</v>
      </c>
    </row>
    <row r="2637" spans="1:3" ht="15.75" thickBot="1">
      <c r="A2637" s="6" t="s">
        <v>5007</v>
      </c>
      <c r="B2637" s="5" t="s">
        <v>5008</v>
      </c>
      <c r="C2637" s="3" t="s">
        <v>5</v>
      </c>
    </row>
    <row r="2638" spans="1:3" ht="15.75" thickBot="1">
      <c r="A2638" s="6" t="s">
        <v>5009</v>
      </c>
      <c r="B2638" s="5" t="s">
        <v>5010</v>
      </c>
      <c r="C2638" s="3" t="s">
        <v>5</v>
      </c>
    </row>
    <row r="2639" spans="1:3" ht="15.75" thickBot="1">
      <c r="A2639" s="6" t="s">
        <v>5011</v>
      </c>
      <c r="B2639" s="5" t="s">
        <v>5012</v>
      </c>
      <c r="C2639" s="3" t="s">
        <v>5</v>
      </c>
    </row>
    <row r="2640" spans="1:3" ht="15.75" thickBot="1">
      <c r="A2640" s="6" t="s">
        <v>5013</v>
      </c>
      <c r="B2640" s="5" t="s">
        <v>5014</v>
      </c>
      <c r="C2640" s="3" t="s">
        <v>5</v>
      </c>
    </row>
    <row r="2641" spans="1:3" ht="15.75" thickBot="1">
      <c r="A2641" s="6" t="s">
        <v>5015</v>
      </c>
      <c r="B2641" s="5" t="s">
        <v>5016</v>
      </c>
      <c r="C2641" s="3" t="s">
        <v>5</v>
      </c>
    </row>
    <row r="2642" spans="1:3" ht="15.75" thickBot="1">
      <c r="A2642" s="6" t="s">
        <v>5017</v>
      </c>
      <c r="B2642" s="5" t="s">
        <v>5018</v>
      </c>
      <c r="C2642" s="3" t="s">
        <v>5</v>
      </c>
    </row>
    <row r="2643" spans="1:3" ht="15.75" thickBot="1">
      <c r="A2643" s="6" t="s">
        <v>5019</v>
      </c>
      <c r="B2643" s="5" t="s">
        <v>5020</v>
      </c>
      <c r="C2643" s="3" t="s">
        <v>5</v>
      </c>
    </row>
    <row r="2644" spans="1:3" ht="15.75" thickBot="1">
      <c r="A2644" s="6" t="s">
        <v>5021</v>
      </c>
      <c r="B2644" s="5" t="s">
        <v>5022</v>
      </c>
      <c r="C2644" s="3" t="s">
        <v>5</v>
      </c>
    </row>
    <row r="2645" spans="1:3" ht="15.75" thickBot="1">
      <c r="A2645" s="6" t="s">
        <v>5023</v>
      </c>
      <c r="B2645" s="5" t="s">
        <v>5024</v>
      </c>
      <c r="C2645" s="3" t="s">
        <v>5</v>
      </c>
    </row>
    <row r="2646" spans="1:3" ht="15.75" thickBot="1">
      <c r="A2646" s="6" t="s">
        <v>5025</v>
      </c>
      <c r="B2646" s="5" t="s">
        <v>5026</v>
      </c>
      <c r="C2646" s="3" t="s">
        <v>5</v>
      </c>
    </row>
    <row r="2647" spans="1:3" ht="15.75" thickBot="1">
      <c r="A2647" s="6" t="s">
        <v>5027</v>
      </c>
      <c r="B2647" s="5" t="s">
        <v>5028</v>
      </c>
      <c r="C2647" s="3" t="s">
        <v>5</v>
      </c>
    </row>
    <row r="2648" spans="1:3" ht="15.75" thickBot="1">
      <c r="A2648" s="6" t="s">
        <v>5029</v>
      </c>
      <c r="B2648" s="5" t="s">
        <v>5030</v>
      </c>
      <c r="C2648" s="3" t="s">
        <v>5</v>
      </c>
    </row>
    <row r="2649" spans="1:3" ht="15.75" thickBot="1">
      <c r="A2649" s="6" t="s">
        <v>5031</v>
      </c>
      <c r="B2649" s="5" t="s">
        <v>5032</v>
      </c>
      <c r="C2649" s="3" t="s">
        <v>5</v>
      </c>
    </row>
    <row r="2650" spans="1:3" ht="15.75" thickBot="1">
      <c r="A2650" s="6" t="s">
        <v>5033</v>
      </c>
      <c r="B2650" s="5" t="s">
        <v>5034</v>
      </c>
      <c r="C2650" s="3" t="s">
        <v>5</v>
      </c>
    </row>
    <row r="2651" spans="1:3" ht="15.75" thickBot="1">
      <c r="A2651" s="6" t="s">
        <v>5035</v>
      </c>
      <c r="B2651" s="5" t="s">
        <v>5036</v>
      </c>
      <c r="C2651" s="3" t="s">
        <v>5</v>
      </c>
    </row>
    <row r="2652" spans="1:3" ht="15.75" thickBot="1">
      <c r="A2652" s="6" t="s">
        <v>5037</v>
      </c>
      <c r="B2652" s="5" t="s">
        <v>5038</v>
      </c>
      <c r="C2652" s="3" t="s">
        <v>5</v>
      </c>
    </row>
    <row r="2653" spans="1:3" ht="15.75" thickBot="1">
      <c r="A2653" s="6" t="s">
        <v>5039</v>
      </c>
      <c r="B2653" s="5" t="s">
        <v>5040</v>
      </c>
      <c r="C2653" s="3" t="s">
        <v>5</v>
      </c>
    </row>
    <row r="2654" spans="1:3" ht="15.75" thickBot="1">
      <c r="A2654" s="6" t="s">
        <v>5041</v>
      </c>
      <c r="B2654" s="5" t="s">
        <v>5042</v>
      </c>
      <c r="C2654" s="3" t="s">
        <v>5</v>
      </c>
    </row>
    <row r="2655" spans="1:3" ht="15.75" thickBot="1">
      <c r="A2655" s="6" t="s">
        <v>5043</v>
      </c>
      <c r="B2655" s="5" t="s">
        <v>5044</v>
      </c>
      <c r="C2655" s="3" t="s">
        <v>5</v>
      </c>
    </row>
    <row r="2656" spans="1:3" ht="15.75" thickBot="1">
      <c r="A2656" s="6" t="s">
        <v>5045</v>
      </c>
      <c r="B2656" s="5" t="s">
        <v>5046</v>
      </c>
      <c r="C2656" s="3" t="s">
        <v>5</v>
      </c>
    </row>
    <row r="2657" spans="1:3" ht="15.75" thickBot="1">
      <c r="A2657" s="6" t="s">
        <v>5047</v>
      </c>
      <c r="B2657" s="5" t="s">
        <v>5048</v>
      </c>
      <c r="C2657" s="3" t="s">
        <v>5</v>
      </c>
    </row>
    <row r="2658" spans="1:3" ht="15.75" thickBot="1">
      <c r="A2658" s="6" t="s">
        <v>5049</v>
      </c>
      <c r="B2658" s="5" t="s">
        <v>5050</v>
      </c>
      <c r="C2658" s="3" t="s">
        <v>5</v>
      </c>
    </row>
    <row r="2659" spans="1:3" ht="15.75" thickBot="1">
      <c r="A2659" s="6" t="s">
        <v>5051</v>
      </c>
      <c r="B2659" s="5" t="s">
        <v>5052</v>
      </c>
      <c r="C2659" s="3" t="s">
        <v>5</v>
      </c>
    </row>
    <row r="2660" spans="1:3" ht="15.75" thickBot="1">
      <c r="A2660" s="6" t="s">
        <v>5053</v>
      </c>
      <c r="B2660" s="5" t="s">
        <v>5054</v>
      </c>
      <c r="C2660" s="3" t="s">
        <v>5</v>
      </c>
    </row>
    <row r="2661" spans="1:3" ht="15.75" thickBot="1">
      <c r="A2661" s="6" t="s">
        <v>5055</v>
      </c>
      <c r="B2661" s="5" t="s">
        <v>5056</v>
      </c>
      <c r="C2661" s="3" t="s">
        <v>5</v>
      </c>
    </row>
    <row r="2662" spans="1:3" ht="15.75" thickBot="1">
      <c r="A2662" s="6" t="s">
        <v>5057</v>
      </c>
      <c r="B2662" s="5" t="s">
        <v>5058</v>
      </c>
      <c r="C2662" s="3" t="s">
        <v>5</v>
      </c>
    </row>
    <row r="2663" spans="1:3" ht="15.75" thickBot="1">
      <c r="A2663" s="6" t="s">
        <v>5059</v>
      </c>
      <c r="B2663" s="5" t="s">
        <v>5060</v>
      </c>
      <c r="C2663" s="3" t="s">
        <v>5</v>
      </c>
    </row>
    <row r="2664" spans="1:3" ht="15.75" thickBot="1">
      <c r="A2664" s="6" t="s">
        <v>5061</v>
      </c>
      <c r="B2664" s="5" t="s">
        <v>5062</v>
      </c>
      <c r="C2664" s="3" t="s">
        <v>5</v>
      </c>
    </row>
    <row r="2665" spans="1:3" ht="15.75" thickBot="1">
      <c r="A2665" s="6" t="s">
        <v>5063</v>
      </c>
      <c r="B2665" s="5" t="s">
        <v>5064</v>
      </c>
      <c r="C2665" s="3" t="s">
        <v>5</v>
      </c>
    </row>
    <row r="2666" spans="1:3" ht="15.75" thickBot="1">
      <c r="A2666" s="6" t="s">
        <v>5065</v>
      </c>
      <c r="B2666" s="5" t="s">
        <v>5066</v>
      </c>
      <c r="C2666" s="3" t="s">
        <v>5</v>
      </c>
    </row>
    <row r="2667" spans="1:3" ht="15.75" thickBot="1">
      <c r="A2667" s="6" t="s">
        <v>5067</v>
      </c>
      <c r="B2667" s="5" t="s">
        <v>5068</v>
      </c>
      <c r="C2667" s="3" t="s">
        <v>5</v>
      </c>
    </row>
    <row r="2668" spans="1:3" ht="15.75" thickBot="1">
      <c r="A2668" s="6" t="s">
        <v>5069</v>
      </c>
      <c r="B2668" s="5" t="s">
        <v>5070</v>
      </c>
      <c r="C2668" s="3" t="s">
        <v>5</v>
      </c>
    </row>
    <row r="2669" spans="1:3" ht="15.75" thickBot="1">
      <c r="A2669" s="6" t="s">
        <v>5071</v>
      </c>
      <c r="B2669" s="5" t="s">
        <v>5072</v>
      </c>
      <c r="C2669" s="3" t="s">
        <v>5</v>
      </c>
    </row>
    <row r="2670" spans="1:3" ht="15.75" thickBot="1">
      <c r="A2670" s="6" t="s">
        <v>5073</v>
      </c>
      <c r="B2670" s="5" t="s">
        <v>5074</v>
      </c>
      <c r="C2670" s="3" t="s">
        <v>5</v>
      </c>
    </row>
    <row r="2671" spans="1:3" ht="15.75" thickBot="1">
      <c r="A2671" s="6" t="s">
        <v>5075</v>
      </c>
      <c r="B2671" s="5" t="s">
        <v>5076</v>
      </c>
      <c r="C2671" s="3" t="s">
        <v>5</v>
      </c>
    </row>
    <row r="2672" spans="1:3" ht="15.75" thickBot="1">
      <c r="A2672" s="6" t="s">
        <v>5077</v>
      </c>
      <c r="B2672" s="5" t="s">
        <v>5078</v>
      </c>
      <c r="C2672" s="3" t="s">
        <v>5</v>
      </c>
    </row>
    <row r="2673" spans="1:3" ht="15.75" thickBot="1">
      <c r="A2673" s="6" t="s">
        <v>5079</v>
      </c>
      <c r="B2673" s="5" t="s">
        <v>5080</v>
      </c>
      <c r="C2673" s="3" t="s">
        <v>5</v>
      </c>
    </row>
    <row r="2674" spans="1:3" ht="15.75" thickBot="1">
      <c r="A2674" s="6" t="s">
        <v>5081</v>
      </c>
      <c r="B2674" s="5" t="s">
        <v>5082</v>
      </c>
      <c r="C2674" s="3" t="s">
        <v>5</v>
      </c>
    </row>
    <row r="2675" spans="1:3" ht="15.75" thickBot="1">
      <c r="A2675" s="6" t="s">
        <v>5083</v>
      </c>
      <c r="B2675" s="5" t="s">
        <v>5084</v>
      </c>
      <c r="C2675" s="3" t="s">
        <v>5</v>
      </c>
    </row>
    <row r="2676" spans="1:3" ht="15.75" thickBot="1">
      <c r="A2676" s="6" t="s">
        <v>5085</v>
      </c>
      <c r="B2676" s="5" t="s">
        <v>5086</v>
      </c>
      <c r="C2676" s="3" t="s">
        <v>5</v>
      </c>
    </row>
    <row r="2677" spans="1:3" ht="15.75" thickBot="1">
      <c r="A2677" s="6" t="s">
        <v>5087</v>
      </c>
      <c r="B2677" s="5" t="s">
        <v>5088</v>
      </c>
      <c r="C2677" s="3" t="s">
        <v>5</v>
      </c>
    </row>
    <row r="2678" spans="1:3" ht="15.75" thickBot="1">
      <c r="A2678" s="6" t="s">
        <v>5089</v>
      </c>
      <c r="B2678" s="5" t="s">
        <v>5090</v>
      </c>
      <c r="C2678" s="3" t="s">
        <v>5</v>
      </c>
    </row>
    <row r="2679" spans="1:3" ht="15.75" thickBot="1">
      <c r="A2679" s="6" t="s">
        <v>5091</v>
      </c>
      <c r="B2679" s="5" t="s">
        <v>5092</v>
      </c>
      <c r="C2679" s="3" t="s">
        <v>5</v>
      </c>
    </row>
    <row r="2680" spans="1:3" ht="15.75" thickBot="1">
      <c r="A2680" s="6" t="s">
        <v>5093</v>
      </c>
      <c r="B2680" s="5" t="s">
        <v>5094</v>
      </c>
      <c r="C2680" s="3" t="s">
        <v>5</v>
      </c>
    </row>
    <row r="2681" spans="1:3" ht="15.75" thickBot="1">
      <c r="A2681" s="6" t="s">
        <v>5095</v>
      </c>
      <c r="B2681" s="5" t="s">
        <v>5096</v>
      </c>
      <c r="C2681" s="3" t="s">
        <v>5</v>
      </c>
    </row>
    <row r="2682" spans="1:3" ht="15.75" thickBot="1">
      <c r="A2682" s="6" t="s">
        <v>5097</v>
      </c>
      <c r="B2682" s="5" t="s">
        <v>5098</v>
      </c>
      <c r="C2682" s="3" t="s">
        <v>5</v>
      </c>
    </row>
    <row r="2683" spans="1:3" ht="15.75" thickBot="1">
      <c r="A2683" s="6" t="s">
        <v>5099</v>
      </c>
      <c r="B2683" s="5" t="s">
        <v>5100</v>
      </c>
      <c r="C2683" s="3" t="s">
        <v>5</v>
      </c>
    </row>
    <row r="2684" spans="1:3" ht="15.75" thickBot="1">
      <c r="A2684" s="6" t="s">
        <v>5101</v>
      </c>
      <c r="B2684" s="5" t="s">
        <v>5102</v>
      </c>
      <c r="C2684" s="3" t="s">
        <v>5</v>
      </c>
    </row>
    <row r="2685" spans="1:3" ht="15.75" thickBot="1">
      <c r="A2685" s="6" t="s">
        <v>5103</v>
      </c>
      <c r="B2685" s="5" t="s">
        <v>5104</v>
      </c>
      <c r="C2685" s="3" t="s">
        <v>5</v>
      </c>
    </row>
    <row r="2686" spans="1:3" ht="15.75" thickBot="1">
      <c r="A2686" s="6" t="s">
        <v>5105</v>
      </c>
      <c r="B2686" s="5" t="s">
        <v>5106</v>
      </c>
      <c r="C2686" s="3" t="s">
        <v>5</v>
      </c>
    </row>
    <row r="2687" spans="1:3" ht="15.75" thickBot="1">
      <c r="A2687" s="6" t="s">
        <v>5107</v>
      </c>
      <c r="B2687" s="5" t="s">
        <v>5108</v>
      </c>
      <c r="C2687" s="3" t="s">
        <v>5</v>
      </c>
    </row>
    <row r="2688" spans="1:3" ht="15.75" thickBot="1">
      <c r="A2688" s="6" t="s">
        <v>5109</v>
      </c>
      <c r="B2688" s="5" t="s">
        <v>5110</v>
      </c>
      <c r="C2688" s="3" t="s">
        <v>5</v>
      </c>
    </row>
    <row r="2689" spans="1:3" ht="15.75" thickBot="1">
      <c r="A2689" s="6" t="s">
        <v>5111</v>
      </c>
      <c r="B2689" s="5" t="s">
        <v>5112</v>
      </c>
      <c r="C2689" s="3" t="s">
        <v>5</v>
      </c>
    </row>
    <row r="2690" spans="1:3" ht="15.75" thickBot="1">
      <c r="A2690" s="6" t="s">
        <v>5113</v>
      </c>
      <c r="B2690" s="5" t="s">
        <v>5114</v>
      </c>
      <c r="C2690" s="3" t="s">
        <v>5</v>
      </c>
    </row>
    <row r="2691" spans="1:3" ht="15.75" thickBot="1">
      <c r="A2691" s="6" t="s">
        <v>5115</v>
      </c>
      <c r="B2691" s="5" t="s">
        <v>5116</v>
      </c>
      <c r="C2691" s="3" t="s">
        <v>5</v>
      </c>
    </row>
    <row r="2692" spans="1:3" ht="15.75" thickBot="1">
      <c r="A2692" s="6" t="s">
        <v>5117</v>
      </c>
      <c r="B2692" s="5" t="s">
        <v>5118</v>
      </c>
      <c r="C2692" s="3" t="s">
        <v>5</v>
      </c>
    </row>
    <row r="2693" spans="1:3" ht="15.75" thickBot="1">
      <c r="A2693" s="6" t="s">
        <v>5119</v>
      </c>
      <c r="B2693" s="5" t="s">
        <v>5120</v>
      </c>
      <c r="C2693" s="3" t="s">
        <v>5</v>
      </c>
    </row>
    <row r="2694" spans="1:3" ht="15.75" thickBot="1">
      <c r="A2694" s="6" t="s">
        <v>5121</v>
      </c>
      <c r="B2694" s="5" t="s">
        <v>5122</v>
      </c>
      <c r="C2694" s="3" t="s">
        <v>5</v>
      </c>
    </row>
    <row r="2695" spans="1:3" ht="15.75" thickBot="1">
      <c r="A2695" s="6" t="s">
        <v>5123</v>
      </c>
      <c r="B2695" s="5" t="s">
        <v>5124</v>
      </c>
      <c r="C2695" s="3" t="s">
        <v>5</v>
      </c>
    </row>
    <row r="2696" spans="1:3" ht="15.75" thickBot="1">
      <c r="A2696" s="6" t="s">
        <v>5125</v>
      </c>
      <c r="B2696" s="5" t="s">
        <v>5126</v>
      </c>
      <c r="C2696" s="3" t="s">
        <v>5</v>
      </c>
    </row>
    <row r="2697" spans="1:3" ht="15.75" thickBot="1">
      <c r="A2697" s="6" t="s">
        <v>5127</v>
      </c>
      <c r="B2697" s="5" t="s">
        <v>5128</v>
      </c>
      <c r="C2697" s="3" t="s">
        <v>5</v>
      </c>
    </row>
    <row r="2698" spans="1:3" ht="15.75" thickBot="1">
      <c r="A2698" s="6" t="s">
        <v>5129</v>
      </c>
      <c r="B2698" s="5" t="s">
        <v>5130</v>
      </c>
      <c r="C2698" s="3" t="s">
        <v>5</v>
      </c>
    </row>
    <row r="2699" spans="1:3" ht="15.75" thickBot="1">
      <c r="A2699" s="6" t="s">
        <v>5131</v>
      </c>
      <c r="B2699" s="5" t="s">
        <v>5132</v>
      </c>
      <c r="C2699" s="3" t="s">
        <v>5</v>
      </c>
    </row>
    <row r="2700" spans="1:3" ht="15.75" thickBot="1">
      <c r="A2700" s="6" t="s">
        <v>5133</v>
      </c>
      <c r="B2700" s="5" t="s">
        <v>5134</v>
      </c>
      <c r="C2700" s="3" t="s">
        <v>5</v>
      </c>
    </row>
    <row r="2701" spans="1:3" ht="15.75" thickBot="1">
      <c r="A2701" s="6" t="s">
        <v>5135</v>
      </c>
      <c r="B2701" s="5" t="s">
        <v>5136</v>
      </c>
      <c r="C2701" s="3" t="s">
        <v>5</v>
      </c>
    </row>
    <row r="2702" spans="1:3" ht="15.75" thickBot="1">
      <c r="A2702" s="6" t="s">
        <v>5137</v>
      </c>
      <c r="B2702" s="5" t="s">
        <v>5138</v>
      </c>
      <c r="C2702" s="3" t="s">
        <v>5</v>
      </c>
    </row>
    <row r="2703" spans="1:3" ht="15.75" thickBot="1">
      <c r="A2703" s="6" t="s">
        <v>5139</v>
      </c>
      <c r="B2703" s="5" t="s">
        <v>5140</v>
      </c>
      <c r="C2703" s="3" t="s">
        <v>5</v>
      </c>
    </row>
    <row r="2704" spans="1:3" ht="15.75" thickBot="1">
      <c r="A2704" s="6" t="s">
        <v>5141</v>
      </c>
      <c r="B2704" s="5" t="s">
        <v>5142</v>
      </c>
      <c r="C2704" s="3" t="s">
        <v>5</v>
      </c>
    </row>
    <row r="2705" spans="1:3" ht="15.75" thickBot="1">
      <c r="A2705" s="6" t="s">
        <v>5143</v>
      </c>
      <c r="B2705" s="5" t="s">
        <v>5144</v>
      </c>
      <c r="C2705" s="3" t="s">
        <v>5</v>
      </c>
    </row>
    <row r="2706" spans="1:3" ht="15.75" thickBot="1">
      <c r="A2706" s="6" t="s">
        <v>5145</v>
      </c>
      <c r="B2706" s="5" t="s">
        <v>5146</v>
      </c>
      <c r="C2706" s="3" t="s">
        <v>5</v>
      </c>
    </row>
    <row r="2707" spans="1:3" ht="15.75" thickBot="1">
      <c r="A2707" s="6" t="s">
        <v>5147</v>
      </c>
      <c r="B2707" s="5" t="s">
        <v>5148</v>
      </c>
      <c r="C2707" s="3" t="s">
        <v>5</v>
      </c>
    </row>
    <row r="2708" spans="1:3" ht="15.75" thickBot="1">
      <c r="A2708" s="6" t="s">
        <v>5149</v>
      </c>
      <c r="B2708" s="5" t="e">
        <f xml:space="preserve"> electrical brazing</f>
        <v>#NAME?</v>
      </c>
      <c r="C2708" s="3" t="s">
        <v>5</v>
      </c>
    </row>
    <row r="2709" spans="1:3">
      <c r="A2709" s="1" t="s">
        <v>5150</v>
      </c>
      <c r="B2709" s="2" t="s">
        <v>5151</v>
      </c>
      <c r="C2709" s="3" t="s">
        <v>5</v>
      </c>
    </row>
    <row r="2710" spans="1:3" ht="15.75" thickBot="1">
      <c r="A2710" s="4"/>
      <c r="B2710" s="5" t="s">
        <v>5152</v>
      </c>
      <c r="C2710" s="3" t="s">
        <v>5</v>
      </c>
    </row>
    <row r="2711" spans="1:3" ht="15.75" thickBot="1">
      <c r="A2711" s="6" t="s">
        <v>5153</v>
      </c>
      <c r="B2711" s="5" t="s">
        <v>5154</v>
      </c>
      <c r="C2711" s="3" t="s">
        <v>5</v>
      </c>
    </row>
    <row r="2712" spans="1:3" ht="15.75" thickBot="1">
      <c r="A2712" s="6" t="s">
        <v>5155</v>
      </c>
      <c r="B2712" s="5" t="s">
        <v>5156</v>
      </c>
      <c r="C2712" s="3" t="s">
        <v>5</v>
      </c>
    </row>
    <row r="2713" spans="1:3" ht="15.75" thickBot="1">
      <c r="A2713" s="6" t="s">
        <v>5157</v>
      </c>
      <c r="B2713" s="5" t="s">
        <v>5158</v>
      </c>
      <c r="C2713" s="3" t="s">
        <v>5</v>
      </c>
    </row>
    <row r="2714" spans="1:3" ht="15.75" thickBot="1">
      <c r="A2714" s="6" t="s">
        <v>5159</v>
      </c>
      <c r="B2714" s="5" t="s">
        <v>5160</v>
      </c>
      <c r="C2714" s="3" t="s">
        <v>5</v>
      </c>
    </row>
    <row r="2715" spans="1:3" ht="15.75" thickBot="1">
      <c r="A2715" s="6" t="s">
        <v>5161</v>
      </c>
      <c r="B2715" s="5" t="s">
        <v>5162</v>
      </c>
      <c r="C2715" s="3" t="s">
        <v>5</v>
      </c>
    </row>
    <row r="2716" spans="1:3" ht="15.75" thickBot="1">
      <c r="A2716" s="6" t="s">
        <v>5163</v>
      </c>
      <c r="B2716" s="5" t="s">
        <v>5164</v>
      </c>
      <c r="C2716" s="3" t="s">
        <v>5</v>
      </c>
    </row>
    <row r="2717" spans="1:3" ht="15.75" thickBot="1">
      <c r="A2717" s="6" t="s">
        <v>5165</v>
      </c>
      <c r="B2717" s="5" t="s">
        <v>5166</v>
      </c>
      <c r="C2717" s="3" t="s">
        <v>5</v>
      </c>
    </row>
    <row r="2718" spans="1:3" ht="15.75" thickBot="1">
      <c r="A2718" s="6" t="s">
        <v>5167</v>
      </c>
      <c r="B2718" s="5" t="s">
        <v>5168</v>
      </c>
      <c r="C2718" s="3" t="s">
        <v>5</v>
      </c>
    </row>
    <row r="2719" spans="1:3" ht="15.75" thickBot="1">
      <c r="A2719" s="6" t="s">
        <v>5169</v>
      </c>
      <c r="B2719" s="5" t="s">
        <v>5170</v>
      </c>
      <c r="C2719" s="3" t="s">
        <v>5</v>
      </c>
    </row>
    <row r="2720" spans="1:3" ht="15.75" thickBot="1">
      <c r="A2720" s="6" t="s">
        <v>5171</v>
      </c>
      <c r="B2720" s="5" t="s">
        <v>5172</v>
      </c>
      <c r="C2720" s="3" t="s">
        <v>5</v>
      </c>
    </row>
    <row r="2721" spans="1:3" ht="15.75" thickBot="1">
      <c r="A2721" s="6" t="s">
        <v>5173</v>
      </c>
      <c r="B2721" s="5" t="s">
        <v>5174</v>
      </c>
      <c r="C2721" s="3" t="s">
        <v>5</v>
      </c>
    </row>
    <row r="2722" spans="1:3" ht="15.75" thickBot="1">
      <c r="A2722" s="6" t="s">
        <v>5175</v>
      </c>
      <c r="B2722" s="5" t="s">
        <v>5176</v>
      </c>
      <c r="C2722" s="3" t="s">
        <v>5</v>
      </c>
    </row>
    <row r="2723" spans="1:3" ht="15.75" thickBot="1">
      <c r="A2723" s="6" t="s">
        <v>5177</v>
      </c>
      <c r="B2723" s="5" t="s">
        <v>5178</v>
      </c>
      <c r="C2723" s="3" t="s">
        <v>5</v>
      </c>
    </row>
    <row r="2724" spans="1:3" ht="15.75" thickBot="1">
      <c r="A2724" s="6" t="s">
        <v>5179</v>
      </c>
      <c r="B2724" s="5" t="s">
        <v>5180</v>
      </c>
      <c r="C2724" s="3" t="s">
        <v>5</v>
      </c>
    </row>
    <row r="2725" spans="1:3" ht="15.75" thickBot="1">
      <c r="A2725" s="6" t="s">
        <v>5181</v>
      </c>
      <c r="B2725" s="5" t="s">
        <v>5182</v>
      </c>
      <c r="C2725" s="3" t="s">
        <v>5</v>
      </c>
    </row>
    <row r="2726" spans="1:3" ht="15.75" thickBot="1">
      <c r="A2726" s="6" t="s">
        <v>5183</v>
      </c>
      <c r="B2726" s="5" t="s">
        <v>5184</v>
      </c>
      <c r="C2726" s="3" t="s">
        <v>5</v>
      </c>
    </row>
    <row r="2727" spans="1:3" ht="15.75" thickBot="1">
      <c r="A2727" s="6" t="s">
        <v>5185</v>
      </c>
      <c r="B2727" s="5" t="s">
        <v>5186</v>
      </c>
      <c r="C2727" s="3" t="s">
        <v>5</v>
      </c>
    </row>
    <row r="2728" spans="1:3" ht="15.75" thickBot="1">
      <c r="A2728" s="6" t="s">
        <v>5187</v>
      </c>
      <c r="B2728" s="5" t="s">
        <v>5188</v>
      </c>
      <c r="C2728" s="3" t="s">
        <v>5</v>
      </c>
    </row>
    <row r="2729" spans="1:3" ht="15.75" thickBot="1">
      <c r="A2729" s="6" t="s">
        <v>5189</v>
      </c>
      <c r="B2729" s="5" t="s">
        <v>5190</v>
      </c>
      <c r="C2729" s="3" t="s">
        <v>5</v>
      </c>
    </row>
    <row r="2730" spans="1:3" ht="15.75" thickBot="1">
      <c r="A2730" s="6" t="s">
        <v>5191</v>
      </c>
      <c r="B2730" s="5" t="s">
        <v>5192</v>
      </c>
      <c r="C2730" s="3" t="s">
        <v>5</v>
      </c>
    </row>
    <row r="2731" spans="1:3" ht="15.75" thickBot="1">
      <c r="A2731" s="6" t="s">
        <v>5193</v>
      </c>
      <c r="B2731" s="5" t="s">
        <v>5194</v>
      </c>
      <c r="C2731" s="3" t="s">
        <v>5</v>
      </c>
    </row>
    <row r="2732" spans="1:3" ht="15.75" thickBot="1">
      <c r="A2732" s="6" t="s">
        <v>5195</v>
      </c>
      <c r="B2732" s="5" t="s">
        <v>5196</v>
      </c>
      <c r="C2732" s="3" t="s">
        <v>5</v>
      </c>
    </row>
    <row r="2733" spans="1:3" ht="15.75" thickBot="1">
      <c r="A2733" s="6" t="s">
        <v>5197</v>
      </c>
      <c r="B2733" s="5" t="s">
        <v>5198</v>
      </c>
      <c r="C2733" s="3" t="s">
        <v>5</v>
      </c>
    </row>
    <row r="2734" spans="1:3" ht="15.75" thickBot="1">
      <c r="A2734" s="6" t="s">
        <v>5199</v>
      </c>
      <c r="B2734" s="5" t="s">
        <v>5200</v>
      </c>
      <c r="C2734" s="3" t="s">
        <v>5</v>
      </c>
    </row>
    <row r="2735" spans="1:3" ht="15.75" thickBot="1">
      <c r="A2735" s="6" t="s">
        <v>5201</v>
      </c>
      <c r="B2735" s="5" t="s">
        <v>5202</v>
      </c>
      <c r="C2735" s="3" t="s">
        <v>5</v>
      </c>
    </row>
    <row r="2736" spans="1:3" ht="15.75" thickBot="1">
      <c r="A2736" s="6" t="s">
        <v>5203</v>
      </c>
      <c r="B2736" s="5" t="s">
        <v>5204</v>
      </c>
      <c r="C2736" s="3" t="s">
        <v>5</v>
      </c>
    </row>
    <row r="2737" spans="1:3" ht="15.75" thickBot="1">
      <c r="A2737" s="6" t="s">
        <v>5205</v>
      </c>
      <c r="B2737" s="5" t="s">
        <v>5206</v>
      </c>
      <c r="C2737" s="3" t="s">
        <v>5</v>
      </c>
    </row>
    <row r="2738" spans="1:3" ht="15.75" thickBot="1">
      <c r="A2738" s="6" t="s">
        <v>5207</v>
      </c>
      <c r="B2738" s="5" t="s">
        <v>5208</v>
      </c>
      <c r="C2738" s="3" t="s">
        <v>5</v>
      </c>
    </row>
    <row r="2739" spans="1:3" ht="15.75" thickBot="1">
      <c r="A2739" s="6" t="s">
        <v>5209</v>
      </c>
      <c r="B2739" s="5" t="s">
        <v>5210</v>
      </c>
      <c r="C2739" s="3" t="s">
        <v>5</v>
      </c>
    </row>
    <row r="2740" spans="1:3" ht="15.75" thickBot="1">
      <c r="A2740" s="6" t="s">
        <v>5211</v>
      </c>
      <c r="B2740" s="5" t="s">
        <v>5212</v>
      </c>
      <c r="C2740" s="3" t="s">
        <v>5</v>
      </c>
    </row>
    <row r="2741" spans="1:3" ht="15.75" thickBot="1">
      <c r="A2741" s="6" t="s">
        <v>5213</v>
      </c>
      <c r="B2741" s="5" t="s">
        <v>5214</v>
      </c>
      <c r="C2741" s="3" t="s">
        <v>5</v>
      </c>
    </row>
    <row r="2742" spans="1:3" ht="15.75" thickBot="1">
      <c r="A2742" s="6" t="s">
        <v>5215</v>
      </c>
      <c r="B2742" s="5" t="s">
        <v>5216</v>
      </c>
      <c r="C2742" s="3" t="s">
        <v>5</v>
      </c>
    </row>
    <row r="2743" spans="1:3" ht="15.75" thickBot="1">
      <c r="A2743" s="6" t="s">
        <v>5217</v>
      </c>
      <c r="B2743" s="5" t="s">
        <v>5218</v>
      </c>
      <c r="C2743" s="3" t="s">
        <v>5</v>
      </c>
    </row>
    <row r="2744" spans="1:3" ht="15.75" thickBot="1">
      <c r="A2744" s="6" t="s">
        <v>5219</v>
      </c>
      <c r="B2744" s="5" t="s">
        <v>5220</v>
      </c>
      <c r="C2744" s="3" t="s">
        <v>5</v>
      </c>
    </row>
    <row r="2745" spans="1:3" ht="15.75" thickBot="1">
      <c r="A2745" s="6" t="s">
        <v>5221</v>
      </c>
      <c r="B2745" s="5" t="s">
        <v>5222</v>
      </c>
      <c r="C2745" s="3" t="s">
        <v>5</v>
      </c>
    </row>
    <row r="2746" spans="1:3" ht="15.75" thickBot="1">
      <c r="A2746" s="6" t="s">
        <v>5223</v>
      </c>
      <c r="B2746" s="5" t="s">
        <v>5224</v>
      </c>
      <c r="C2746" s="3" t="s">
        <v>5</v>
      </c>
    </row>
    <row r="2747" spans="1:3" ht="15.75" thickBot="1">
      <c r="A2747" s="6" t="s">
        <v>5223</v>
      </c>
      <c r="B2747" s="5" t="s">
        <v>5224</v>
      </c>
      <c r="C2747" s="3" t="s">
        <v>5</v>
      </c>
    </row>
    <row r="2748" spans="1:3" ht="15.75" thickBot="1">
      <c r="A2748" s="6" t="s">
        <v>5225</v>
      </c>
      <c r="B2748" s="5" t="s">
        <v>5226</v>
      </c>
      <c r="C2748" s="3" t="s">
        <v>5</v>
      </c>
    </row>
    <row r="2749" spans="1:3" ht="15.75" thickBot="1">
      <c r="A2749" s="6" t="s">
        <v>5227</v>
      </c>
      <c r="B2749" s="5" t="s">
        <v>5228</v>
      </c>
      <c r="C2749" s="3" t="s">
        <v>5</v>
      </c>
    </row>
    <row r="2750" spans="1:3" ht="15.75" thickBot="1">
      <c r="A2750" s="6" t="s">
        <v>5229</v>
      </c>
      <c r="B2750" s="5" t="s">
        <v>5230</v>
      </c>
      <c r="C2750" s="3" t="s">
        <v>5</v>
      </c>
    </row>
    <row r="2751" spans="1:3" ht="15.75" thickBot="1">
      <c r="A2751" s="6" t="s">
        <v>5231</v>
      </c>
      <c r="B2751" s="5" t="s">
        <v>5232</v>
      </c>
      <c r="C2751" s="3" t="s">
        <v>5</v>
      </c>
    </row>
    <row r="2752" spans="1:3" ht="15.75" thickBot="1">
      <c r="A2752" s="6" t="s">
        <v>5233</v>
      </c>
      <c r="B2752" s="5" t="s">
        <v>5234</v>
      </c>
      <c r="C2752" s="3" t="s">
        <v>5</v>
      </c>
    </row>
    <row r="2753" spans="1:3" ht="15.75" thickBot="1">
      <c r="A2753" s="6" t="s">
        <v>5235</v>
      </c>
      <c r="B2753" s="5" t="s">
        <v>5236</v>
      </c>
      <c r="C2753" s="3" t="s">
        <v>5</v>
      </c>
    </row>
    <row r="2754" spans="1:3" ht="15.75" thickBot="1">
      <c r="A2754" s="6" t="s">
        <v>5237</v>
      </c>
      <c r="B2754" s="5" t="s">
        <v>5238</v>
      </c>
      <c r="C2754" s="3" t="s">
        <v>5</v>
      </c>
    </row>
    <row r="2755" spans="1:3">
      <c r="A2755" s="1" t="s">
        <v>5239</v>
      </c>
      <c r="B2755" s="2" t="s">
        <v>5240</v>
      </c>
      <c r="C2755" s="3" t="s">
        <v>5</v>
      </c>
    </row>
    <row r="2756" spans="1:3" ht="15.75" thickBot="1">
      <c r="A2756" s="4"/>
      <c r="B2756" s="5" t="s">
        <v>5241</v>
      </c>
      <c r="C2756" s="3" t="s">
        <v>5</v>
      </c>
    </row>
    <row r="2757" spans="1:3" ht="15.75" thickBot="1">
      <c r="A2757" s="6" t="s">
        <v>5242</v>
      </c>
      <c r="B2757" s="5" t="s">
        <v>5243</v>
      </c>
      <c r="C2757" s="3" t="s">
        <v>5</v>
      </c>
    </row>
    <row r="2758" spans="1:3" ht="15.75" thickBot="1">
      <c r="A2758" s="6" t="s">
        <v>5244</v>
      </c>
      <c r="B2758" s="5" t="s">
        <v>5245</v>
      </c>
      <c r="C2758" s="3" t="s">
        <v>5</v>
      </c>
    </row>
    <row r="2759" spans="1:3" ht="15.75" thickBot="1">
      <c r="A2759" s="6" t="s">
        <v>5246</v>
      </c>
      <c r="B2759" s="5" t="s">
        <v>5247</v>
      </c>
      <c r="C2759" s="3" t="s">
        <v>5</v>
      </c>
    </row>
    <row r="2760" spans="1:3" ht="15.75" thickBot="1">
      <c r="A2760" s="6" t="s">
        <v>5248</v>
      </c>
      <c r="B2760" s="5" t="s">
        <v>5249</v>
      </c>
      <c r="C2760" s="3" t="s">
        <v>5</v>
      </c>
    </row>
    <row r="2761" spans="1:3" ht="15.75" thickBot="1">
      <c r="A2761" s="6" t="s">
        <v>5250</v>
      </c>
      <c r="B2761" s="5" t="s">
        <v>5251</v>
      </c>
      <c r="C2761" s="3" t="s">
        <v>5</v>
      </c>
    </row>
    <row r="2762" spans="1:3" ht="15.75" thickBot="1">
      <c r="A2762" s="6" t="s">
        <v>5252</v>
      </c>
      <c r="B2762" s="5" t="s">
        <v>5253</v>
      </c>
      <c r="C2762" s="3" t="s">
        <v>5</v>
      </c>
    </row>
    <row r="2763" spans="1:3" ht="15.75" thickBot="1">
      <c r="A2763" s="6" t="s">
        <v>5254</v>
      </c>
      <c r="B2763" s="5" t="s">
        <v>5255</v>
      </c>
      <c r="C2763" s="3" t="s">
        <v>5</v>
      </c>
    </row>
    <row r="2764" spans="1:3" ht="15.75" thickBot="1">
      <c r="A2764" s="6" t="s">
        <v>5256</v>
      </c>
      <c r="B2764" s="5" t="s">
        <v>5257</v>
      </c>
      <c r="C2764" s="3" t="s">
        <v>5</v>
      </c>
    </row>
    <row r="2765" spans="1:3" ht="15.75" thickBot="1">
      <c r="A2765" s="6" t="s">
        <v>5258</v>
      </c>
      <c r="B2765" s="5" t="s">
        <v>5259</v>
      </c>
      <c r="C2765" s="3" t="s">
        <v>5</v>
      </c>
    </row>
    <row r="2766" spans="1:3" ht="15.75" thickBot="1">
      <c r="A2766" s="6" t="s">
        <v>5260</v>
      </c>
      <c r="B2766" s="5" t="s">
        <v>5261</v>
      </c>
      <c r="C2766" s="3" t="s">
        <v>5</v>
      </c>
    </row>
    <row r="2767" spans="1:3" ht="15.75" thickBot="1">
      <c r="A2767" s="6" t="s">
        <v>5262</v>
      </c>
      <c r="B2767" s="5" t="s">
        <v>5263</v>
      </c>
      <c r="C2767" s="3" t="s">
        <v>5</v>
      </c>
    </row>
    <row r="2768" spans="1:3" ht="15.75" thickBot="1">
      <c r="A2768" s="6" t="s">
        <v>5264</v>
      </c>
      <c r="B2768" s="5" t="s">
        <v>5265</v>
      </c>
      <c r="C2768" s="3" t="s">
        <v>5</v>
      </c>
    </row>
    <row r="2769" spans="1:3" ht="15.75" thickBot="1">
      <c r="A2769" s="6" t="s">
        <v>5266</v>
      </c>
      <c r="B2769" s="5" t="s">
        <v>5267</v>
      </c>
      <c r="C2769" s="3" t="s">
        <v>5</v>
      </c>
    </row>
    <row r="2770" spans="1:3" ht="15.75" thickBot="1">
      <c r="A2770" s="6" t="s">
        <v>5268</v>
      </c>
      <c r="B2770" s="5" t="s">
        <v>5269</v>
      </c>
      <c r="C2770" s="3" t="s">
        <v>5</v>
      </c>
    </row>
    <row r="2771" spans="1:3" ht="15.75" thickBot="1">
      <c r="A2771" s="6" t="s">
        <v>5270</v>
      </c>
      <c r="B2771" s="5" t="s">
        <v>5271</v>
      </c>
      <c r="C2771" s="3" t="s">
        <v>5</v>
      </c>
    </row>
    <row r="2772" spans="1:3" ht="15.75" thickBot="1">
      <c r="A2772" s="6" t="s">
        <v>5272</v>
      </c>
      <c r="B2772" s="5" t="s">
        <v>5273</v>
      </c>
      <c r="C2772" s="3" t="s">
        <v>5</v>
      </c>
    </row>
    <row r="2773" spans="1:3" ht="15.75" thickBot="1">
      <c r="A2773" s="6" t="s">
        <v>5274</v>
      </c>
      <c r="B2773" s="5" t="s">
        <v>5275</v>
      </c>
      <c r="C2773" s="3" t="s">
        <v>5</v>
      </c>
    </row>
    <row r="2774" spans="1:3" ht="15.75" thickBot="1">
      <c r="A2774" s="6" t="s">
        <v>5276</v>
      </c>
      <c r="B2774" s="5" t="s">
        <v>5277</v>
      </c>
      <c r="C2774" s="3" t="s">
        <v>5</v>
      </c>
    </row>
    <row r="2775" spans="1:3" ht="15.75" thickBot="1">
      <c r="A2775" s="6" t="s">
        <v>5278</v>
      </c>
      <c r="B2775" s="5" t="s">
        <v>5279</v>
      </c>
      <c r="C2775" s="3" t="s">
        <v>5</v>
      </c>
    </row>
    <row r="2776" spans="1:3" ht="15.75" thickBot="1">
      <c r="A2776" s="6" t="s">
        <v>5280</v>
      </c>
      <c r="B2776" s="5" t="s">
        <v>5281</v>
      </c>
      <c r="C2776" s="3" t="s">
        <v>5</v>
      </c>
    </row>
    <row r="2777" spans="1:3" ht="15.75" thickBot="1">
      <c r="A2777" s="6" t="s">
        <v>5282</v>
      </c>
      <c r="B2777" s="5" t="s">
        <v>5283</v>
      </c>
      <c r="C2777" s="3" t="s">
        <v>5</v>
      </c>
    </row>
    <row r="2778" spans="1:3" ht="15.75" thickBot="1">
      <c r="A2778" s="6" t="s">
        <v>5284</v>
      </c>
      <c r="B2778" s="5" t="s">
        <v>5285</v>
      </c>
      <c r="C2778" s="3" t="s">
        <v>5</v>
      </c>
    </row>
    <row r="2779" spans="1:3" ht="15.75" thickBot="1">
      <c r="A2779" s="6" t="s">
        <v>5286</v>
      </c>
      <c r="B2779" s="5" t="s">
        <v>5287</v>
      </c>
      <c r="C2779" s="3" t="s">
        <v>5</v>
      </c>
    </row>
    <row r="2780" spans="1:3" ht="15.75" thickBot="1">
      <c r="A2780" s="6" t="s">
        <v>5288</v>
      </c>
      <c r="B2780" s="5" t="s">
        <v>5289</v>
      </c>
      <c r="C2780" s="3" t="s">
        <v>5</v>
      </c>
    </row>
    <row r="2781" spans="1:3" ht="15.75" thickBot="1">
      <c r="A2781" s="6" t="s">
        <v>5290</v>
      </c>
      <c r="B2781" s="5" t="s">
        <v>5291</v>
      </c>
      <c r="C2781" s="3" t="s">
        <v>5</v>
      </c>
    </row>
    <row r="2782" spans="1:3" ht="15.75" thickBot="1">
      <c r="A2782" s="6" t="s">
        <v>5292</v>
      </c>
      <c r="B2782" s="5" t="s">
        <v>5293</v>
      </c>
      <c r="C2782" s="3" t="s">
        <v>5</v>
      </c>
    </row>
    <row r="2783" spans="1:3" ht="15.75" thickBot="1">
      <c r="A2783" s="6" t="s">
        <v>5294</v>
      </c>
      <c r="B2783" s="5" t="s">
        <v>5295</v>
      </c>
      <c r="C2783" s="3" t="s">
        <v>5</v>
      </c>
    </row>
    <row r="2784" spans="1:3" ht="15.75" thickBot="1">
      <c r="A2784" s="6" t="s">
        <v>5296</v>
      </c>
      <c r="B2784" s="5" t="s">
        <v>5297</v>
      </c>
      <c r="C2784" s="3" t="s">
        <v>5</v>
      </c>
    </row>
    <row r="2785" spans="1:3" ht="15.75" thickBot="1">
      <c r="A2785" s="6" t="s">
        <v>5298</v>
      </c>
      <c r="B2785" s="5" t="s">
        <v>5299</v>
      </c>
      <c r="C2785" s="3" t="s">
        <v>5</v>
      </c>
    </row>
    <row r="2786" spans="1:3" ht="15.75" thickBot="1">
      <c r="A2786" s="6" t="s">
        <v>5300</v>
      </c>
      <c r="B2786" s="5" t="s">
        <v>5301</v>
      </c>
      <c r="C2786" s="3" t="s">
        <v>5</v>
      </c>
    </row>
    <row r="2787" spans="1:3" ht="15.75" thickBot="1">
      <c r="A2787" s="6" t="s">
        <v>5302</v>
      </c>
      <c r="B2787" s="5" t="e">
        <f xml:space="preserve"> electric cauterisation</f>
        <v>#NAME?</v>
      </c>
      <c r="C2787" s="3" t="s">
        <v>5</v>
      </c>
    </row>
    <row r="2788" spans="1:3" ht="15.75" thickBot="1">
      <c r="A2788" s="6" t="s">
        <v>5303</v>
      </c>
      <c r="B2788" s="5" t="s">
        <v>5304</v>
      </c>
      <c r="C2788" s="3" t="s">
        <v>5</v>
      </c>
    </row>
    <row r="2789" spans="1:3" ht="26.25" thickBot="1">
      <c r="A2789" s="6" t="s">
        <v>5305</v>
      </c>
      <c r="B2789" s="5" t="s">
        <v>5306</v>
      </c>
      <c r="C2789" s="3" t="s">
        <v>5</v>
      </c>
    </row>
    <row r="2790" spans="1:3" ht="15.75" thickBot="1">
      <c r="A2790" s="6" t="s">
        <v>5307</v>
      </c>
      <c r="B2790" s="5" t="s">
        <v>5308</v>
      </c>
      <c r="C2790" s="3" t="s">
        <v>5</v>
      </c>
    </row>
    <row r="2791" spans="1:3" ht="15.75" thickBot="1">
      <c r="A2791" s="6" t="s">
        <v>5309</v>
      </c>
      <c r="B2791" s="5" t="s">
        <v>5310</v>
      </c>
      <c r="C2791" s="3" t="s">
        <v>5</v>
      </c>
    </row>
    <row r="2792" spans="1:3" ht="15.75" thickBot="1">
      <c r="A2792" s="6" t="s">
        <v>5311</v>
      </c>
      <c r="B2792" s="5" t="s">
        <v>5312</v>
      </c>
      <c r="C2792" s="3" t="s">
        <v>5</v>
      </c>
    </row>
    <row r="2793" spans="1:3" ht="15.75" thickBot="1">
      <c r="A2793" s="6" t="s">
        <v>5313</v>
      </c>
      <c r="B2793" s="5" t="s">
        <v>5314</v>
      </c>
      <c r="C2793" s="3" t="s">
        <v>5</v>
      </c>
    </row>
    <row r="2794" spans="1:3" ht="15.75" thickBot="1">
      <c r="A2794" s="6" t="s">
        <v>5315</v>
      </c>
      <c r="B2794" s="5" t="s">
        <v>5316</v>
      </c>
      <c r="C2794" s="3" t="s">
        <v>5</v>
      </c>
    </row>
    <row r="2795" spans="1:3" ht="15.75" thickBot="1">
      <c r="A2795" s="6" t="s">
        <v>5317</v>
      </c>
      <c r="B2795" s="5" t="s">
        <v>5318</v>
      </c>
      <c r="C2795" s="3" t="s">
        <v>5</v>
      </c>
    </row>
    <row r="2796" spans="1:3" ht="15.75" thickBot="1">
      <c r="A2796" s="6" t="s">
        <v>5319</v>
      </c>
      <c r="B2796" s="5" t="s">
        <v>5320</v>
      </c>
      <c r="C2796" s="3" t="s">
        <v>5</v>
      </c>
    </row>
    <row r="2797" spans="1:3">
      <c r="A2797" s="1" t="s">
        <v>5321</v>
      </c>
      <c r="B2797" s="2" t="s">
        <v>5322</v>
      </c>
      <c r="C2797" s="3" t="s">
        <v>5</v>
      </c>
    </row>
    <row r="2798" spans="1:3" ht="77.25" thickBot="1">
      <c r="A2798" s="4"/>
      <c r="B2798" s="5" t="s">
        <v>5323</v>
      </c>
      <c r="C2798" s="3" t="s">
        <v>5</v>
      </c>
    </row>
    <row r="2799" spans="1:3" ht="15.75" thickBot="1">
      <c r="A2799" s="6" t="s">
        <v>5324</v>
      </c>
      <c r="B2799" s="5" t="s">
        <v>5325</v>
      </c>
      <c r="C2799" s="3" t="s">
        <v>5</v>
      </c>
    </row>
    <row r="2800" spans="1:3" ht="15.75" thickBot="1">
      <c r="A2800" s="6" t="s">
        <v>5326</v>
      </c>
      <c r="B2800" s="5" t="s">
        <v>5327</v>
      </c>
      <c r="C2800" s="3" t="s">
        <v>5</v>
      </c>
    </row>
    <row r="2801" spans="1:3" ht="15.75" thickBot="1">
      <c r="A2801" s="6" t="s">
        <v>5328</v>
      </c>
      <c r="B2801" s="5" t="s">
        <v>5329</v>
      </c>
      <c r="C2801" s="3" t="s">
        <v>5</v>
      </c>
    </row>
    <row r="2802" spans="1:3" ht="15.75" thickBot="1">
      <c r="A2802" s="6" t="s">
        <v>5330</v>
      </c>
      <c r="B2802" s="5" t="s">
        <v>5331</v>
      </c>
      <c r="C2802" s="3" t="s">
        <v>5</v>
      </c>
    </row>
    <row r="2803" spans="1:3" ht="15.75" thickBot="1">
      <c r="A2803" s="6" t="s">
        <v>5332</v>
      </c>
      <c r="B2803" s="5" t="s">
        <v>5333</v>
      </c>
      <c r="C2803" s="3" t="s">
        <v>5</v>
      </c>
    </row>
    <row r="2804" spans="1:3" ht="15.75" thickBot="1">
      <c r="A2804" s="6" t="s">
        <v>5334</v>
      </c>
      <c r="B2804" s="5" t="s">
        <v>5335</v>
      </c>
      <c r="C2804" s="3" t="s">
        <v>5</v>
      </c>
    </row>
    <row r="2805" spans="1:3" ht="15.75" thickBot="1">
      <c r="A2805" s="6" t="s">
        <v>5336</v>
      </c>
      <c r="B2805" s="5" t="s">
        <v>5337</v>
      </c>
      <c r="C2805" s="3" t="s">
        <v>5</v>
      </c>
    </row>
    <row r="2806" spans="1:3" ht="15.75" thickBot="1">
      <c r="A2806" s="6" t="s">
        <v>5338</v>
      </c>
      <c r="B2806" s="5" t="s">
        <v>5339</v>
      </c>
      <c r="C2806" s="3" t="s">
        <v>5</v>
      </c>
    </row>
    <row r="2807" spans="1:3" ht="15.75" thickBot="1">
      <c r="A2807" s="6" t="s">
        <v>5340</v>
      </c>
      <c r="B2807" s="5" t="s">
        <v>5341</v>
      </c>
      <c r="C2807" s="3" t="s">
        <v>5</v>
      </c>
    </row>
    <row r="2808" spans="1:3" ht="15.75" thickBot="1">
      <c r="A2808" s="6" t="s">
        <v>5342</v>
      </c>
      <c r="B2808" s="5" t="s">
        <v>5343</v>
      </c>
      <c r="C2808" s="3" t="s">
        <v>5</v>
      </c>
    </row>
    <row r="2809" spans="1:3" ht="15.75" thickBot="1">
      <c r="A2809" s="6" t="s">
        <v>5344</v>
      </c>
      <c r="B2809" s="5" t="s">
        <v>5345</v>
      </c>
      <c r="C2809" s="3" t="s">
        <v>5</v>
      </c>
    </row>
    <row r="2810" spans="1:3" ht="15.75" thickBot="1">
      <c r="A2810" s="6" t="s">
        <v>5346</v>
      </c>
      <c r="B2810" s="5" t="s">
        <v>5347</v>
      </c>
      <c r="C2810" s="3" t="s">
        <v>5</v>
      </c>
    </row>
    <row r="2811" spans="1:3" ht="15.75" thickBot="1">
      <c r="A2811" s="6" t="s">
        <v>5348</v>
      </c>
      <c r="B2811" s="5" t="s">
        <v>5349</v>
      </c>
      <c r="C2811" s="3" t="s">
        <v>5</v>
      </c>
    </row>
    <row r="2812" spans="1:3" ht="15.75" thickBot="1">
      <c r="A2812" s="6" t="s">
        <v>5350</v>
      </c>
      <c r="B2812" s="5" t="s">
        <v>5351</v>
      </c>
      <c r="C2812" s="3" t="s">
        <v>5</v>
      </c>
    </row>
    <row r="2813" spans="1:3">
      <c r="A2813" s="1" t="s">
        <v>5352</v>
      </c>
      <c r="B2813" s="2" t="s">
        <v>5353</v>
      </c>
      <c r="C2813" s="3" t="s">
        <v>5</v>
      </c>
    </row>
    <row r="2814" spans="1:3" ht="15.75" thickBot="1">
      <c r="A2814" s="4"/>
      <c r="B2814" s="5" t="s">
        <v>5354</v>
      </c>
      <c r="C2814" s="3" t="s">
        <v>5</v>
      </c>
    </row>
    <row r="2815" spans="1:3" ht="15.75" thickBot="1">
      <c r="A2815" s="6" t="s">
        <v>5355</v>
      </c>
      <c r="B2815" s="5" t="s">
        <v>5356</v>
      </c>
      <c r="C2815" s="3" t="s">
        <v>5</v>
      </c>
    </row>
    <row r="2816" spans="1:3">
      <c r="A2816" s="1" t="s">
        <v>5357</v>
      </c>
      <c r="B2816" s="2" t="s">
        <v>5358</v>
      </c>
      <c r="C2816" s="3" t="s">
        <v>5</v>
      </c>
    </row>
    <row r="2817" spans="1:3" ht="15.75" thickBot="1">
      <c r="A2817" s="4"/>
      <c r="B2817" s="5" t="s">
        <v>5359</v>
      </c>
      <c r="C2817" s="3" t="s">
        <v>5</v>
      </c>
    </row>
    <row r="2818" spans="1:3" ht="15.75" thickBot="1">
      <c r="A2818" s="6" t="s">
        <v>5360</v>
      </c>
      <c r="B2818" s="5" t="s">
        <v>5361</v>
      </c>
      <c r="C2818" s="3" t="s">
        <v>5</v>
      </c>
    </row>
    <row r="2819" spans="1:3" ht="15.75" thickBot="1">
      <c r="A2819" s="6" t="s">
        <v>5362</v>
      </c>
      <c r="B2819" s="5" t="s">
        <v>5363</v>
      </c>
      <c r="C2819" s="3" t="s">
        <v>5</v>
      </c>
    </row>
    <row r="2820" spans="1:3" ht="15.75" thickBot="1">
      <c r="A2820" s="6" t="s">
        <v>5364</v>
      </c>
      <c r="B2820" s="5" t="s">
        <v>5365</v>
      </c>
      <c r="C2820" s="3" t="s">
        <v>5</v>
      </c>
    </row>
    <row r="2821" spans="1:3" ht="15.75" thickBot="1">
      <c r="A2821" s="6" t="s">
        <v>5366</v>
      </c>
      <c r="B2821" s="5" t="s">
        <v>5367</v>
      </c>
      <c r="C2821" s="3" t="s">
        <v>5</v>
      </c>
    </row>
    <row r="2822" spans="1:3" ht="15.75" thickBot="1">
      <c r="A2822" s="6" t="s">
        <v>5368</v>
      </c>
      <c r="B2822" s="5" t="s">
        <v>5369</v>
      </c>
      <c r="C2822" s="3" t="s">
        <v>5</v>
      </c>
    </row>
    <row r="2823" spans="1:3">
      <c r="A2823" s="1" t="s">
        <v>5370</v>
      </c>
      <c r="B2823" s="2" t="s">
        <v>5371</v>
      </c>
      <c r="C2823" s="3" t="s">
        <v>5</v>
      </c>
    </row>
    <row r="2824" spans="1:3" ht="15.75" thickBot="1">
      <c r="A2824" s="4"/>
      <c r="B2824" s="5" t="s">
        <v>5372</v>
      </c>
      <c r="C2824" s="3" t="s">
        <v>5</v>
      </c>
    </row>
    <row r="2825" spans="1:3" ht="15.75" thickBot="1">
      <c r="A2825" s="6" t="s">
        <v>5373</v>
      </c>
      <c r="B2825" s="5" t="s">
        <v>5374</v>
      </c>
      <c r="C2825" s="3" t="s">
        <v>5</v>
      </c>
    </row>
    <row r="2826" spans="1:3" ht="15.75" thickBot="1">
      <c r="A2826" s="6" t="s">
        <v>5375</v>
      </c>
      <c r="B2826" s="5" t="e">
        <f xml:space="preserve"> electrolytic capacitor</f>
        <v>#NAME?</v>
      </c>
      <c r="C2826" s="3" t="s">
        <v>5</v>
      </c>
    </row>
    <row r="2827" spans="1:3" ht="15.75" thickBot="1">
      <c r="A2827" s="6" t="s">
        <v>5376</v>
      </c>
      <c r="B2827" s="5" t="s">
        <v>5377</v>
      </c>
      <c r="C2827" s="3" t="s">
        <v>5</v>
      </c>
    </row>
    <row r="2828" spans="1:3" ht="15.75" thickBot="1">
      <c r="A2828" s="6" t="s">
        <v>5378</v>
      </c>
      <c r="B2828" s="5" t="s">
        <v>5379</v>
      </c>
      <c r="C2828" s="3" t="s">
        <v>5</v>
      </c>
    </row>
    <row r="2829" spans="1:3" ht="15.75" thickBot="1">
      <c r="A2829" s="6" t="s">
        <v>5380</v>
      </c>
      <c r="B2829" s="5" t="e">
        <f xml:space="preserve"> electrolysis</f>
        <v>#NAME?</v>
      </c>
      <c r="C2829" s="3" t="s">
        <v>5</v>
      </c>
    </row>
    <row r="2830" spans="1:3" ht="15.75" thickBot="1">
      <c r="A2830" s="6" t="s">
        <v>5381</v>
      </c>
      <c r="B2830" s="5" t="s">
        <v>5382</v>
      </c>
      <c r="C2830" s="3" t="s">
        <v>5</v>
      </c>
    </row>
    <row r="2831" spans="1:3" ht="15.75" thickBot="1">
      <c r="A2831" s="6" t="s">
        <v>5383</v>
      </c>
      <c r="B2831" s="5" t="s">
        <v>5384</v>
      </c>
      <c r="C2831" s="3" t="s">
        <v>5</v>
      </c>
    </row>
    <row r="2832" spans="1:3" ht="15.75" thickBot="1">
      <c r="A2832" s="6" t="s">
        <v>5385</v>
      </c>
      <c r="B2832" s="5" t="s">
        <v>5386</v>
      </c>
      <c r="C2832" s="3" t="s">
        <v>5</v>
      </c>
    </row>
    <row r="2833" spans="1:3" ht="15.75" thickBot="1">
      <c r="A2833" s="6" t="s">
        <v>5387</v>
      </c>
      <c r="B2833" s="5" t="s">
        <v>5388</v>
      </c>
      <c r="C2833" s="3" t="s">
        <v>5</v>
      </c>
    </row>
    <row r="2834" spans="1:3" ht="15.75" thickBot="1">
      <c r="A2834" s="6" t="s">
        <v>5389</v>
      </c>
      <c r="B2834" s="5" t="s">
        <v>5390</v>
      </c>
      <c r="C2834" s="3" t="s">
        <v>5</v>
      </c>
    </row>
    <row r="2835" spans="1:3" ht="15.75" thickBot="1">
      <c r="A2835" s="6" t="s">
        <v>5391</v>
      </c>
      <c r="B2835" s="5" t="s">
        <v>5392</v>
      </c>
      <c r="C2835" s="3" t="s">
        <v>5</v>
      </c>
    </row>
    <row r="2836" spans="1:3" ht="15.75" thickBot="1">
      <c r="A2836" s="6" t="s">
        <v>5393</v>
      </c>
      <c r="B2836" s="5" t="s">
        <v>5394</v>
      </c>
      <c r="C2836" s="3" t="s">
        <v>5</v>
      </c>
    </row>
    <row r="2837" spans="1:3" ht="15.75" thickBot="1">
      <c r="A2837" s="6" t="s">
        <v>5395</v>
      </c>
      <c r="B2837" s="5" t="s">
        <v>5396</v>
      </c>
      <c r="C2837" s="3" t="s">
        <v>5</v>
      </c>
    </row>
    <row r="2838" spans="1:3" ht="15.75" thickBot="1">
      <c r="A2838" s="6" t="s">
        <v>5397</v>
      </c>
      <c r="B2838" s="5" t="s">
        <v>5398</v>
      </c>
      <c r="C2838" s="3" t="s">
        <v>5</v>
      </c>
    </row>
    <row r="2839" spans="1:3" ht="15.75" thickBot="1">
      <c r="A2839" s="6" t="s">
        <v>5399</v>
      </c>
      <c r="B2839" s="5" t="s">
        <v>5400</v>
      </c>
      <c r="C2839" s="3" t="s">
        <v>5</v>
      </c>
    </row>
    <row r="2840" spans="1:3" ht="15.75" thickBot="1">
      <c r="A2840" s="6" t="s">
        <v>5401</v>
      </c>
      <c r="B2840" s="5" t="s">
        <v>5402</v>
      </c>
      <c r="C2840" s="3" t="s">
        <v>5</v>
      </c>
    </row>
    <row r="2841" spans="1:3" ht="15.75" thickBot="1">
      <c r="A2841" s="6" t="s">
        <v>5403</v>
      </c>
      <c r="B2841" s="5" t="s">
        <v>5404</v>
      </c>
      <c r="C2841" s="3" t="s">
        <v>5</v>
      </c>
    </row>
    <row r="2842" spans="1:3" ht="15.75" thickBot="1">
      <c r="A2842" s="6" t="s">
        <v>5405</v>
      </c>
      <c r="B2842" s="5" t="s">
        <v>5406</v>
      </c>
      <c r="C2842" s="3" t="s">
        <v>5</v>
      </c>
    </row>
    <row r="2843" spans="1:3" ht="15.75" thickBot="1">
      <c r="A2843" s="6" t="s">
        <v>5407</v>
      </c>
      <c r="B2843" s="5" t="s">
        <v>5408</v>
      </c>
      <c r="C2843" s="3" t="s">
        <v>5</v>
      </c>
    </row>
    <row r="2844" spans="1:3" ht="15.75" thickBot="1">
      <c r="A2844" s="6" t="s">
        <v>5409</v>
      </c>
      <c r="B2844" s="5" t="s">
        <v>5410</v>
      </c>
      <c r="C2844" s="3" t="s">
        <v>5</v>
      </c>
    </row>
    <row r="2845" spans="1:3" ht="15.75" thickBot="1">
      <c r="A2845" s="6" t="s">
        <v>5411</v>
      </c>
      <c r="B2845" s="5" t="s">
        <v>5412</v>
      </c>
      <c r="C2845" s="3" t="s">
        <v>5</v>
      </c>
    </row>
    <row r="2846" spans="1:3" ht="15.75" thickBot="1">
      <c r="A2846" s="6" t="s">
        <v>5413</v>
      </c>
      <c r="B2846" s="5" t="s">
        <v>5414</v>
      </c>
      <c r="C2846" s="3" t="s">
        <v>5</v>
      </c>
    </row>
    <row r="2847" spans="1:3" ht="15.75" thickBot="1">
      <c r="A2847" s="6" t="s">
        <v>5415</v>
      </c>
      <c r="B2847" s="5" t="s">
        <v>5416</v>
      </c>
      <c r="C2847" s="3" t="s">
        <v>5</v>
      </c>
    </row>
    <row r="2848" spans="1:3" ht="15.75" thickBot="1">
      <c r="A2848" s="6" t="s">
        <v>5417</v>
      </c>
      <c r="B2848" s="5" t="s">
        <v>5418</v>
      </c>
      <c r="C2848" s="3" t="s">
        <v>5</v>
      </c>
    </row>
    <row r="2849" spans="1:3" ht="15.75" thickBot="1">
      <c r="A2849" s="6" t="s">
        <v>5419</v>
      </c>
      <c r="B2849" s="5" t="s">
        <v>5420</v>
      </c>
      <c r="C2849" s="3" t="s">
        <v>5</v>
      </c>
    </row>
    <row r="2850" spans="1:3" ht="15.75" thickBot="1">
      <c r="A2850" s="6" t="s">
        <v>5421</v>
      </c>
      <c r="B2850" s="5" t="s">
        <v>5422</v>
      </c>
      <c r="C2850" s="3" t="s">
        <v>5</v>
      </c>
    </row>
    <row r="2851" spans="1:3" ht="15.75" thickBot="1">
      <c r="A2851" s="6" t="s">
        <v>5423</v>
      </c>
      <c r="B2851" s="5" t="s">
        <v>5424</v>
      </c>
      <c r="C2851" s="3" t="s">
        <v>5</v>
      </c>
    </row>
    <row r="2852" spans="1:3" ht="15.75" thickBot="1">
      <c r="A2852" s="6" t="s">
        <v>5425</v>
      </c>
      <c r="B2852" s="5" t="s">
        <v>5426</v>
      </c>
      <c r="C2852" s="3" t="s">
        <v>5</v>
      </c>
    </row>
    <row r="2853" spans="1:3" ht="15.75" thickBot="1">
      <c r="A2853" s="6" t="s">
        <v>5427</v>
      </c>
      <c r="B2853" s="5" t="s">
        <v>5428</v>
      </c>
      <c r="C2853" s="3" t="s">
        <v>5</v>
      </c>
    </row>
    <row r="2854" spans="1:3" ht="15.75" thickBot="1">
      <c r="A2854" s="6" t="s">
        <v>5429</v>
      </c>
      <c r="B2854" s="5" t="s">
        <v>5430</v>
      </c>
      <c r="C2854" s="3" t="s">
        <v>5</v>
      </c>
    </row>
    <row r="2855" spans="1:3" ht="15.75" thickBot="1">
      <c r="A2855" s="6" t="s">
        <v>5431</v>
      </c>
      <c r="B2855" s="5" t="s">
        <v>5432</v>
      </c>
      <c r="C2855" s="3" t="s">
        <v>5</v>
      </c>
    </row>
    <row r="2856" spans="1:3" ht="15.75" thickBot="1">
      <c r="A2856" s="6" t="s">
        <v>5433</v>
      </c>
      <c r="B2856" s="5" t="s">
        <v>5434</v>
      </c>
      <c r="C2856" s="3" t="s">
        <v>5</v>
      </c>
    </row>
    <row r="2857" spans="1:3" ht="15.75" thickBot="1">
      <c r="A2857" s="6" t="s">
        <v>5435</v>
      </c>
      <c r="B2857" s="5" t="s">
        <v>5436</v>
      </c>
      <c r="C2857" s="3" t="s">
        <v>5</v>
      </c>
    </row>
    <row r="2858" spans="1:3" ht="15.75" thickBot="1">
      <c r="A2858" s="6" t="s">
        <v>5437</v>
      </c>
      <c r="B2858" s="5" t="s">
        <v>5438</v>
      </c>
      <c r="C2858" s="3" t="s">
        <v>5</v>
      </c>
    </row>
    <row r="2859" spans="1:3" ht="15.75" thickBot="1">
      <c r="A2859" s="6" t="s">
        <v>5439</v>
      </c>
      <c r="B2859" s="5" t="s">
        <v>5440</v>
      </c>
      <c r="C2859" s="3" t="s">
        <v>5</v>
      </c>
    </row>
    <row r="2860" spans="1:3" ht="15.75" thickBot="1">
      <c r="A2860" s="6" t="s">
        <v>5441</v>
      </c>
      <c r="B2860" s="5" t="s">
        <v>5442</v>
      </c>
      <c r="C2860" s="3" t="s">
        <v>5</v>
      </c>
    </row>
    <row r="2861" spans="1:3" ht="15.75" thickBot="1">
      <c r="A2861" s="6" t="s">
        <v>5443</v>
      </c>
      <c r="B2861" s="5" t="s">
        <v>5444</v>
      </c>
      <c r="C2861" s="3" t="s">
        <v>5</v>
      </c>
    </row>
    <row r="2862" spans="1:3" ht="15.75" thickBot="1">
      <c r="A2862" s="6" t="s">
        <v>5445</v>
      </c>
      <c r="B2862" s="5" t="s">
        <v>5446</v>
      </c>
      <c r="C2862" s="3" t="s">
        <v>5</v>
      </c>
    </row>
    <row r="2863" spans="1:3" ht="15.75" thickBot="1">
      <c r="A2863" s="6" t="s">
        <v>5447</v>
      </c>
      <c r="B2863" s="5" t="s">
        <v>5448</v>
      </c>
      <c r="C2863" s="3" t="s">
        <v>5</v>
      </c>
    </row>
    <row r="2864" spans="1:3" ht="15.75" thickBot="1">
      <c r="A2864" s="6" t="s">
        <v>5449</v>
      </c>
      <c r="B2864" s="5" t="s">
        <v>5450</v>
      </c>
      <c r="C2864" s="3" t="s">
        <v>5</v>
      </c>
    </row>
    <row r="2865" spans="1:3" ht="15.75" thickBot="1">
      <c r="A2865" s="6" t="s">
        <v>5451</v>
      </c>
      <c r="B2865" s="5" t="s">
        <v>5452</v>
      </c>
      <c r="C2865" s="3" t="s">
        <v>5</v>
      </c>
    </row>
    <row r="2866" spans="1:3" ht="15.75" thickBot="1">
      <c r="A2866" s="6" t="s">
        <v>5453</v>
      </c>
      <c r="B2866" s="5" t="s">
        <v>5454</v>
      </c>
      <c r="C2866" s="3" t="s">
        <v>5</v>
      </c>
    </row>
    <row r="2867" spans="1:3" ht="15.75" thickBot="1">
      <c r="A2867" s="6" t="s">
        <v>5455</v>
      </c>
      <c r="B2867" s="5" t="s">
        <v>5456</v>
      </c>
      <c r="C2867" s="3" t="s">
        <v>5</v>
      </c>
    </row>
    <row r="2868" spans="1:3" ht="15.75" thickBot="1">
      <c r="A2868" s="6" t="s">
        <v>5457</v>
      </c>
      <c r="B2868" s="5" t="s">
        <v>5458</v>
      </c>
      <c r="C2868" s="3" t="s">
        <v>5</v>
      </c>
    </row>
    <row r="2869" spans="1:3" ht="15.75" thickBot="1">
      <c r="A2869" s="6" t="s">
        <v>5459</v>
      </c>
      <c r="B2869" s="5" t="s">
        <v>5460</v>
      </c>
      <c r="C2869" s="3" t="s">
        <v>5</v>
      </c>
    </row>
    <row r="2870" spans="1:3" ht="15.75" thickBot="1">
      <c r="A2870" s="6" t="s">
        <v>5461</v>
      </c>
      <c r="B2870" s="5" t="s">
        <v>5462</v>
      </c>
      <c r="C2870" s="3" t="s">
        <v>5</v>
      </c>
    </row>
    <row r="2871" spans="1:3" ht="15.75" thickBot="1">
      <c r="A2871" s="6" t="s">
        <v>5463</v>
      </c>
      <c r="B2871" s="5" t="s">
        <v>5464</v>
      </c>
      <c r="C2871" s="3" t="s">
        <v>5</v>
      </c>
    </row>
    <row r="2872" spans="1:3" ht="15.75" thickBot="1">
      <c r="A2872" s="6" t="s">
        <v>5465</v>
      </c>
      <c r="B2872" s="5" t="s">
        <v>5466</v>
      </c>
      <c r="C2872" s="3" t="s">
        <v>5</v>
      </c>
    </row>
    <row r="2873" spans="1:3" ht="15.75" thickBot="1">
      <c r="A2873" s="6" t="s">
        <v>5467</v>
      </c>
      <c r="B2873" s="5" t="s">
        <v>5468</v>
      </c>
      <c r="C2873" s="3" t="s">
        <v>5</v>
      </c>
    </row>
    <row r="2874" spans="1:3" ht="15.75" thickBot="1">
      <c r="A2874" s="6" t="s">
        <v>5469</v>
      </c>
      <c r="B2874" s="5" t="s">
        <v>5470</v>
      </c>
      <c r="C2874" s="3" t="s">
        <v>5</v>
      </c>
    </row>
    <row r="2875" spans="1:3" ht="15.75" thickBot="1">
      <c r="A2875" s="6" t="s">
        <v>5471</v>
      </c>
      <c r="B2875" s="5" t="s">
        <v>5472</v>
      </c>
      <c r="C2875" s="3" t="s">
        <v>5</v>
      </c>
    </row>
    <row r="2876" spans="1:3">
      <c r="A2876" s="1" t="s">
        <v>5473</v>
      </c>
      <c r="B2876" s="2" t="s">
        <v>5474</v>
      </c>
      <c r="C2876" s="3" t="s">
        <v>5</v>
      </c>
    </row>
    <row r="2877" spans="1:3" ht="51.75" thickBot="1">
      <c r="A2877" s="4"/>
      <c r="B2877" s="5" t="s">
        <v>5475</v>
      </c>
      <c r="C2877" s="3" t="s">
        <v>5</v>
      </c>
    </row>
    <row r="2878" spans="1:3">
      <c r="A2878" s="1" t="s">
        <v>5476</v>
      </c>
      <c r="B2878" s="2" t="s">
        <v>5477</v>
      </c>
      <c r="C2878" s="3" t="s">
        <v>5</v>
      </c>
    </row>
    <row r="2879" spans="1:3" ht="15.75" thickBot="1">
      <c r="A2879" s="4"/>
      <c r="B2879" s="5" t="e">
        <f xml:space="preserve"> electron beam scanning</f>
        <v>#NAME?</v>
      </c>
      <c r="C2879" s="3" t="s">
        <v>5</v>
      </c>
    </row>
    <row r="2880" spans="1:3" ht="15.75" thickBot="1">
      <c r="A2880" s="6" t="s">
        <v>5478</v>
      </c>
      <c r="B2880" s="5" t="s">
        <v>5479</v>
      </c>
      <c r="C2880" s="3" t="s">
        <v>5</v>
      </c>
    </row>
    <row r="2881" spans="1:3" ht="15.75" thickBot="1">
      <c r="A2881" s="6" t="s">
        <v>5480</v>
      </c>
      <c r="B2881" s="5" t="s">
        <v>5481</v>
      </c>
      <c r="C2881" s="3" t="s">
        <v>5</v>
      </c>
    </row>
    <row r="2882" spans="1:3" ht="15.75" thickBot="1">
      <c r="A2882" s="6" t="s">
        <v>5482</v>
      </c>
      <c r="B2882" s="5" t="s">
        <v>5483</v>
      </c>
      <c r="C2882" s="3" t="s">
        <v>5</v>
      </c>
    </row>
    <row r="2883" spans="1:3" ht="15.75" thickBot="1">
      <c r="A2883" s="6" t="s">
        <v>5484</v>
      </c>
      <c r="B2883" s="5" t="s">
        <v>5485</v>
      </c>
      <c r="C2883" s="3" t="s">
        <v>5</v>
      </c>
    </row>
    <row r="2884" spans="1:3" ht="15.75" thickBot="1">
      <c r="A2884" s="6" t="s">
        <v>5486</v>
      </c>
      <c r="B2884" s="5" t="s">
        <v>5487</v>
      </c>
      <c r="C2884" s="3" t="s">
        <v>5</v>
      </c>
    </row>
    <row r="2885" spans="1:3" ht="15.75" thickBot="1">
      <c r="A2885" s="6" t="s">
        <v>5488</v>
      </c>
      <c r="B2885" s="5" t="e">
        <f xml:space="preserve"> electrolines</f>
        <v>#NAME?</v>
      </c>
      <c r="C2885" s="3" t="s">
        <v>5</v>
      </c>
    </row>
    <row r="2886" spans="1:3" ht="15.75" thickBot="1">
      <c r="A2886" s="6" t="s">
        <v>5489</v>
      </c>
      <c r="B2886" s="5" t="s">
        <v>5490</v>
      </c>
      <c r="C2886" s="3" t="s">
        <v>5</v>
      </c>
    </row>
    <row r="2887" spans="1:3" ht="15.75" thickBot="1">
      <c r="A2887" s="6" t="s">
        <v>5491</v>
      </c>
      <c r="B2887" s="5" t="s">
        <v>5492</v>
      </c>
      <c r="C2887" s="3" t="s">
        <v>5</v>
      </c>
    </row>
    <row r="2888" spans="1:3" ht="15.75" thickBot="1">
      <c r="A2888" s="6" t="s">
        <v>5493</v>
      </c>
      <c r="B2888" s="5" t="s">
        <v>5494</v>
      </c>
      <c r="C2888" s="3" t="s">
        <v>5</v>
      </c>
    </row>
    <row r="2889" spans="1:3" ht="15.75" thickBot="1">
      <c r="A2889" s="6" t="s">
        <v>5495</v>
      </c>
      <c r="B2889" s="5" t="s">
        <v>5496</v>
      </c>
      <c r="C2889" s="3" t="s">
        <v>5</v>
      </c>
    </row>
    <row r="2890" spans="1:3" ht="15.75" thickBot="1">
      <c r="A2890" s="6" t="s">
        <v>5497</v>
      </c>
      <c r="B2890" s="5" t="s">
        <v>5498</v>
      </c>
      <c r="C2890" s="3" t="s">
        <v>5</v>
      </c>
    </row>
    <row r="2891" spans="1:3" ht="15.75" thickBot="1">
      <c r="A2891" s="6" t="s">
        <v>5499</v>
      </c>
      <c r="B2891" s="5" t="s">
        <v>5500</v>
      </c>
      <c r="C2891" s="3" t="s">
        <v>5</v>
      </c>
    </row>
    <row r="2892" spans="1:3" ht="15.75" thickBot="1">
      <c r="A2892" s="6" t="s">
        <v>5501</v>
      </c>
      <c r="B2892" s="5" t="s">
        <v>5502</v>
      </c>
      <c r="C2892" s="3" t="s">
        <v>5</v>
      </c>
    </row>
    <row r="2893" spans="1:3" ht="15.75" thickBot="1">
      <c r="A2893" s="6" t="s">
        <v>5503</v>
      </c>
      <c r="B2893" s="5" t="s">
        <v>5504</v>
      </c>
      <c r="C2893" s="3" t="s">
        <v>5</v>
      </c>
    </row>
    <row r="2894" spans="1:3" ht="15.75" thickBot="1">
      <c r="A2894" s="6" t="s">
        <v>5505</v>
      </c>
      <c r="B2894" s="5" t="s">
        <v>5506</v>
      </c>
      <c r="C2894" s="3" t="s">
        <v>5</v>
      </c>
    </row>
    <row r="2895" spans="1:3" ht="15.75" thickBot="1">
      <c r="A2895" s="6" t="s">
        <v>5507</v>
      </c>
      <c r="B2895" s="5" t="s">
        <v>5508</v>
      </c>
      <c r="C2895" s="3" t="s">
        <v>5</v>
      </c>
    </row>
    <row r="2896" spans="1:3" ht="15.75" thickBot="1">
      <c r="A2896" s="6" t="s">
        <v>5509</v>
      </c>
      <c r="B2896" s="5" t="s">
        <v>5510</v>
      </c>
      <c r="C2896" s="3" t="s">
        <v>5</v>
      </c>
    </row>
    <row r="2897" spans="1:3" ht="15.75" thickBot="1">
      <c r="A2897" s="6" t="s">
        <v>5511</v>
      </c>
      <c r="B2897" s="5" t="s">
        <v>5512</v>
      </c>
      <c r="C2897" s="3" t="s">
        <v>5</v>
      </c>
    </row>
    <row r="2898" spans="1:3" ht="15.75" thickBot="1">
      <c r="A2898" s="6" t="s">
        <v>5513</v>
      </c>
      <c r="B2898" s="5" t="s">
        <v>5514</v>
      </c>
      <c r="C2898" s="3" t="s">
        <v>5</v>
      </c>
    </row>
    <row r="2899" spans="1:3" ht="15.75" thickBot="1">
      <c r="A2899" s="6" t="s">
        <v>5515</v>
      </c>
      <c r="B2899" s="5" t="s">
        <v>5516</v>
      </c>
      <c r="C2899" s="3" t="s">
        <v>5</v>
      </c>
    </row>
    <row r="2900" spans="1:3" ht="15.75" thickBot="1">
      <c r="A2900" s="6" t="s">
        <v>5517</v>
      </c>
      <c r="B2900" s="5" t="s">
        <v>5518</v>
      </c>
      <c r="C2900" s="3" t="s">
        <v>5</v>
      </c>
    </row>
    <row r="2901" spans="1:3" ht="15.75" thickBot="1">
      <c r="A2901" s="6" t="s">
        <v>5519</v>
      </c>
      <c r="B2901" s="5" t="s">
        <v>5520</v>
      </c>
      <c r="C2901" s="3" t="s">
        <v>5</v>
      </c>
    </row>
    <row r="2902" spans="1:3" ht="15.75" thickBot="1">
      <c r="A2902" s="6" t="s">
        <v>5521</v>
      </c>
      <c r="B2902" s="5" t="s">
        <v>5522</v>
      </c>
      <c r="C2902" s="3" t="s">
        <v>5</v>
      </c>
    </row>
    <row r="2903" spans="1:3" ht="15.75" thickBot="1">
      <c r="A2903" s="6" t="s">
        <v>5523</v>
      </c>
      <c r="B2903" s="5" t="s">
        <v>5524</v>
      </c>
      <c r="C2903" s="3" t="s">
        <v>5</v>
      </c>
    </row>
    <row r="2904" spans="1:3" ht="15.75" thickBot="1">
      <c r="A2904" s="6" t="s">
        <v>5525</v>
      </c>
      <c r="B2904" s="5" t="s">
        <v>5526</v>
      </c>
      <c r="C2904" s="3" t="s">
        <v>5</v>
      </c>
    </row>
    <row r="2905" spans="1:3" ht="15.75" thickBot="1">
      <c r="A2905" s="6" t="s">
        <v>5527</v>
      </c>
      <c r="B2905" s="5" t="s">
        <v>5528</v>
      </c>
      <c r="C2905" s="3" t="s">
        <v>5</v>
      </c>
    </row>
    <row r="2906" spans="1:3" ht="15.75" thickBot="1">
      <c r="A2906" s="6" t="s">
        <v>5529</v>
      </c>
      <c r="B2906" s="5" t="s">
        <v>5530</v>
      </c>
      <c r="C2906" s="3" t="s">
        <v>5</v>
      </c>
    </row>
    <row r="2907" spans="1:3" ht="15.75" thickBot="1">
      <c r="A2907" s="6" t="s">
        <v>5531</v>
      </c>
      <c r="B2907" s="5" t="s">
        <v>5532</v>
      </c>
      <c r="C2907" s="3" t="s">
        <v>5</v>
      </c>
    </row>
    <row r="2908" spans="1:3" ht="15.75" thickBot="1">
      <c r="A2908" s="6" t="s">
        <v>5533</v>
      </c>
      <c r="B2908" s="5" t="s">
        <v>5534</v>
      </c>
      <c r="C2908" s="3" t="s">
        <v>5</v>
      </c>
    </row>
    <row r="2909" spans="1:3" ht="15.75" thickBot="1">
      <c r="A2909" s="6" t="s">
        <v>5535</v>
      </c>
      <c r="B2909" s="5" t="s">
        <v>5536</v>
      </c>
      <c r="C2909" s="3" t="s">
        <v>5</v>
      </c>
    </row>
    <row r="2910" spans="1:3" ht="15.75" thickBot="1">
      <c r="A2910" s="6" t="s">
        <v>5537</v>
      </c>
      <c r="B2910" s="5" t="s">
        <v>5538</v>
      </c>
      <c r="C2910" s="3" t="s">
        <v>5</v>
      </c>
    </row>
    <row r="2911" spans="1:3" ht="15.75" thickBot="1">
      <c r="A2911" s="6" t="s">
        <v>5539</v>
      </c>
      <c r="B2911" s="5" t="s">
        <v>5540</v>
      </c>
      <c r="C2911" s="3" t="s">
        <v>5</v>
      </c>
    </row>
    <row r="2912" spans="1:3" ht="15.75" thickBot="1">
      <c r="A2912" s="6" t="s">
        <v>5541</v>
      </c>
      <c r="B2912" s="5" t="s">
        <v>5542</v>
      </c>
      <c r="C2912" s="3" t="s">
        <v>5</v>
      </c>
    </row>
    <row r="2913" spans="1:3" ht="15.75" thickBot="1">
      <c r="A2913" s="6" t="s">
        <v>5543</v>
      </c>
      <c r="B2913" s="5" t="s">
        <v>5544</v>
      </c>
      <c r="C2913" s="3" t="s">
        <v>5</v>
      </c>
    </row>
    <row r="2914" spans="1:3" ht="15.75" thickBot="1">
      <c r="A2914" s="6" t="s">
        <v>5545</v>
      </c>
      <c r="B2914" s="5" t="s">
        <v>5546</v>
      </c>
      <c r="C2914" s="3" t="s">
        <v>5</v>
      </c>
    </row>
    <row r="2915" spans="1:3" ht="15.75" thickBot="1">
      <c r="A2915" s="6" t="s">
        <v>5547</v>
      </c>
      <c r="B2915" s="5" t="s">
        <v>5548</v>
      </c>
      <c r="C2915" s="3" t="s">
        <v>5</v>
      </c>
    </row>
    <row r="2916" spans="1:3" ht="15.75" thickBot="1">
      <c r="A2916" s="6" t="s">
        <v>5549</v>
      </c>
      <c r="B2916" s="5" t="s">
        <v>5550</v>
      </c>
      <c r="C2916" s="3" t="s">
        <v>5</v>
      </c>
    </row>
    <row r="2917" spans="1:3" ht="15.75" thickBot="1">
      <c r="A2917" s="6" t="s">
        <v>5551</v>
      </c>
      <c r="B2917" s="5" t="s">
        <v>5550</v>
      </c>
      <c r="C2917" s="3" t="s">
        <v>5</v>
      </c>
    </row>
    <row r="2918" spans="1:3" ht="15.75" thickBot="1">
      <c r="A2918" s="6" t="s">
        <v>5552</v>
      </c>
      <c r="B2918" s="5" t="s">
        <v>5553</v>
      </c>
      <c r="C2918" s="3" t="s">
        <v>5</v>
      </c>
    </row>
    <row r="2919" spans="1:3" ht="15.75" thickBot="1">
      <c r="A2919" s="6" t="s">
        <v>5554</v>
      </c>
      <c r="B2919" s="5" t="s">
        <v>5555</v>
      </c>
      <c r="C2919" s="3" t="s">
        <v>5</v>
      </c>
    </row>
    <row r="2920" spans="1:3" ht="15.75" thickBot="1">
      <c r="A2920" s="6" t="s">
        <v>5556</v>
      </c>
      <c r="B2920" s="5" t="s">
        <v>5557</v>
      </c>
      <c r="C2920" s="3" t="s">
        <v>5</v>
      </c>
    </row>
    <row r="2921" spans="1:3" ht="15.75" thickBot="1">
      <c r="A2921" s="6" t="s">
        <v>5558</v>
      </c>
      <c r="B2921" s="5" t="s">
        <v>5559</v>
      </c>
      <c r="C2921" s="3" t="s">
        <v>5</v>
      </c>
    </row>
    <row r="2922" spans="1:3" ht="15.75" thickBot="1">
      <c r="A2922" s="6" t="s">
        <v>5560</v>
      </c>
      <c r="B2922" s="5" t="s">
        <v>5561</v>
      </c>
      <c r="C2922" s="3" t="s">
        <v>5</v>
      </c>
    </row>
    <row r="2923" spans="1:3" ht="15.75" thickBot="1">
      <c r="A2923" s="6" t="s">
        <v>5562</v>
      </c>
      <c r="B2923" s="5" t="s">
        <v>5563</v>
      </c>
      <c r="C2923" s="3" t="s">
        <v>5</v>
      </c>
    </row>
    <row r="2924" spans="1:3" ht="15.75" thickBot="1">
      <c r="A2924" s="6" t="s">
        <v>5564</v>
      </c>
      <c r="B2924" s="5" t="s">
        <v>5565</v>
      </c>
      <c r="C2924" s="3" t="s">
        <v>5</v>
      </c>
    </row>
    <row r="2925" spans="1:3" ht="15.75" thickBot="1">
      <c r="A2925" s="6" t="s">
        <v>5566</v>
      </c>
      <c r="B2925" s="5" t="s">
        <v>5567</v>
      </c>
      <c r="C2925" s="3" t="s">
        <v>5</v>
      </c>
    </row>
    <row r="2926" spans="1:3" ht="15.75" thickBot="1">
      <c r="A2926" s="6" t="s">
        <v>5568</v>
      </c>
      <c r="B2926" s="5" t="s">
        <v>5569</v>
      </c>
      <c r="C2926" s="3" t="s">
        <v>5</v>
      </c>
    </row>
    <row r="2927" spans="1:3" ht="15.75" thickBot="1">
      <c r="A2927" s="6" t="s">
        <v>5570</v>
      </c>
      <c r="B2927" s="5" t="s">
        <v>5571</v>
      </c>
      <c r="C2927" s="3" t="s">
        <v>5</v>
      </c>
    </row>
    <row r="2928" spans="1:3" ht="15.75" thickBot="1">
      <c r="A2928" s="6" t="s">
        <v>5572</v>
      </c>
      <c r="B2928" s="5" t="s">
        <v>5573</v>
      </c>
      <c r="C2928" s="3" t="s">
        <v>5</v>
      </c>
    </row>
    <row r="2929" spans="1:3" ht="15.75" thickBot="1">
      <c r="A2929" s="6" t="s">
        <v>5574</v>
      </c>
      <c r="B2929" s="5" t="s">
        <v>5575</v>
      </c>
      <c r="C2929" s="3" t="s">
        <v>5</v>
      </c>
    </row>
    <row r="2930" spans="1:3" ht="15.75" thickBot="1">
      <c r="A2930" s="6" t="s">
        <v>5576</v>
      </c>
      <c r="B2930" s="5" t="s">
        <v>5577</v>
      </c>
      <c r="C2930" s="3" t="s">
        <v>5</v>
      </c>
    </row>
    <row r="2931" spans="1:3" ht="15.75" thickBot="1">
      <c r="A2931" s="6" t="s">
        <v>5578</v>
      </c>
      <c r="B2931" s="5" t="s">
        <v>5579</v>
      </c>
      <c r="C2931" s="3" t="s">
        <v>5</v>
      </c>
    </row>
    <row r="2932" spans="1:3" ht="15.75" thickBot="1">
      <c r="A2932" s="6" t="s">
        <v>5580</v>
      </c>
      <c r="B2932" s="5" t="s">
        <v>5581</v>
      </c>
      <c r="C2932" s="3" t="s">
        <v>5</v>
      </c>
    </row>
    <row r="2933" spans="1:3" ht="15.75" thickBot="1">
      <c r="A2933" s="6" t="s">
        <v>5582</v>
      </c>
      <c r="B2933" s="5" t="s">
        <v>5583</v>
      </c>
      <c r="C2933" s="3" t="s">
        <v>5</v>
      </c>
    </row>
    <row r="2934" spans="1:3" ht="15.75" thickBot="1">
      <c r="A2934" s="6" t="s">
        <v>5584</v>
      </c>
      <c r="B2934" s="5" t="s">
        <v>5585</v>
      </c>
      <c r="C2934" s="3" t="s">
        <v>5</v>
      </c>
    </row>
    <row r="2935" spans="1:3" ht="26.25" thickBot="1">
      <c r="A2935" s="6" t="s">
        <v>5586</v>
      </c>
      <c r="B2935" s="5" t="s">
        <v>5587</v>
      </c>
      <c r="C2935" s="3" t="s">
        <v>5</v>
      </c>
    </row>
    <row r="2936" spans="1:3" ht="15.75" thickBot="1">
      <c r="A2936" s="6" t="s">
        <v>5588</v>
      </c>
      <c r="B2936" s="5" t="s">
        <v>5589</v>
      </c>
      <c r="C2936" s="3" t="s">
        <v>5</v>
      </c>
    </row>
    <row r="2937" spans="1:3" ht="15.75" thickBot="1">
      <c r="A2937" s="6" t="s">
        <v>5590</v>
      </c>
      <c r="B2937" s="5" t="s">
        <v>5591</v>
      </c>
      <c r="C2937" s="3" t="s">
        <v>5</v>
      </c>
    </row>
    <row r="2938" spans="1:3" ht="15.75" thickBot="1">
      <c r="A2938" s="6" t="s">
        <v>5592</v>
      </c>
      <c r="B2938" s="5" t="s">
        <v>5593</v>
      </c>
      <c r="C2938" s="3" t="s">
        <v>5</v>
      </c>
    </row>
    <row r="2939" spans="1:3" ht="15.75" thickBot="1">
      <c r="A2939" s="6" t="s">
        <v>5594</v>
      </c>
      <c r="B2939" s="5" t="s">
        <v>5595</v>
      </c>
      <c r="C2939" s="3" t="s">
        <v>5</v>
      </c>
    </row>
    <row r="2940" spans="1:3" ht="15.75" thickBot="1">
      <c r="A2940" s="6" t="s">
        <v>5596</v>
      </c>
      <c r="B2940" s="5" t="s">
        <v>5597</v>
      </c>
      <c r="C2940" s="3" t="s">
        <v>5</v>
      </c>
    </row>
    <row r="2941" spans="1:3" ht="15.75" thickBot="1">
      <c r="A2941" s="6" t="s">
        <v>5598</v>
      </c>
      <c r="B2941" s="5" t="s">
        <v>5599</v>
      </c>
      <c r="C2941" s="3" t="s">
        <v>5</v>
      </c>
    </row>
    <row r="2942" spans="1:3" ht="15.75" thickBot="1">
      <c r="A2942" s="6" t="s">
        <v>5600</v>
      </c>
      <c r="B2942" s="5" t="s">
        <v>5601</v>
      </c>
      <c r="C2942" s="3" t="s">
        <v>5</v>
      </c>
    </row>
    <row r="2943" spans="1:3" ht="15.75" thickBot="1">
      <c r="A2943" s="6" t="s">
        <v>5602</v>
      </c>
      <c r="B2943" s="5" t="s">
        <v>5603</v>
      </c>
      <c r="C2943" s="3" t="s">
        <v>5</v>
      </c>
    </row>
    <row r="2944" spans="1:3" ht="15.75" thickBot="1">
      <c r="A2944" s="6" t="s">
        <v>5604</v>
      </c>
      <c r="B2944" s="5" t="s">
        <v>5605</v>
      </c>
      <c r="C2944" s="3" t="s">
        <v>5</v>
      </c>
    </row>
    <row r="2945" spans="1:3" ht="15.75" thickBot="1">
      <c r="A2945" s="6" t="s">
        <v>5606</v>
      </c>
      <c r="B2945" s="5" t="s">
        <v>5607</v>
      </c>
      <c r="C2945" s="3" t="s">
        <v>5</v>
      </c>
    </row>
    <row r="2946" spans="1:3" ht="15.75" thickBot="1">
      <c r="A2946" s="6" t="s">
        <v>5608</v>
      </c>
      <c r="B2946" s="5" t="s">
        <v>5609</v>
      </c>
      <c r="C2946" s="3" t="s">
        <v>5</v>
      </c>
    </row>
    <row r="2947" spans="1:3" ht="15.75" thickBot="1">
      <c r="A2947" s="6" t="s">
        <v>5610</v>
      </c>
      <c r="B2947" s="5" t="s">
        <v>5611</v>
      </c>
      <c r="C2947" s="3" t="s">
        <v>5</v>
      </c>
    </row>
    <row r="2948" spans="1:3" ht="15.75" thickBot="1">
      <c r="A2948" s="6" t="s">
        <v>5612</v>
      </c>
      <c r="B2948" s="5" t="s">
        <v>5613</v>
      </c>
      <c r="C2948" s="3" t="s">
        <v>5</v>
      </c>
    </row>
    <row r="2949" spans="1:3" ht="15.75" thickBot="1">
      <c r="A2949" s="6" t="s">
        <v>5614</v>
      </c>
      <c r="B2949" s="5" t="s">
        <v>5615</v>
      </c>
      <c r="C2949" s="3" t="s">
        <v>5</v>
      </c>
    </row>
    <row r="2950" spans="1:3" ht="15.75" thickBot="1">
      <c r="A2950" s="6" t="s">
        <v>5616</v>
      </c>
      <c r="B2950" s="5" t="s">
        <v>5617</v>
      </c>
      <c r="C2950" s="3" t="s">
        <v>5</v>
      </c>
    </row>
    <row r="2951" spans="1:3" ht="15.75" thickBot="1">
      <c r="A2951" s="6" t="s">
        <v>5618</v>
      </c>
      <c r="B2951" s="5" t="s">
        <v>5619</v>
      </c>
      <c r="C2951" s="3" t="s">
        <v>5</v>
      </c>
    </row>
    <row r="2952" spans="1:3" ht="15.75" thickBot="1">
      <c r="A2952" s="6" t="s">
        <v>5620</v>
      </c>
      <c r="B2952" s="5" t="s">
        <v>5621</v>
      </c>
      <c r="C2952" s="3" t="s">
        <v>5</v>
      </c>
    </row>
    <row r="2953" spans="1:3" ht="15.75" thickBot="1">
      <c r="A2953" s="6" t="s">
        <v>5622</v>
      </c>
      <c r="B2953" s="5" t="s">
        <v>5623</v>
      </c>
      <c r="C2953" s="3" t="s">
        <v>5</v>
      </c>
    </row>
    <row r="2954" spans="1:3" ht="15.75" thickBot="1">
      <c r="A2954" s="6" t="s">
        <v>5624</v>
      </c>
      <c r="B2954" s="5" t="s">
        <v>5625</v>
      </c>
      <c r="C2954" s="3" t="s">
        <v>5</v>
      </c>
    </row>
    <row r="2955" spans="1:3" ht="15.75" thickBot="1">
      <c r="A2955" s="6" t="s">
        <v>5626</v>
      </c>
      <c r="B2955" s="5" t="s">
        <v>5627</v>
      </c>
      <c r="C2955" s="3" t="s">
        <v>5</v>
      </c>
    </row>
    <row r="2956" spans="1:3" ht="15.75" thickBot="1">
      <c r="A2956" s="6" t="s">
        <v>5628</v>
      </c>
      <c r="B2956" s="5" t="s">
        <v>5629</v>
      </c>
      <c r="C2956" s="3" t="s">
        <v>5</v>
      </c>
    </row>
    <row r="2957" spans="1:3" ht="15.75" thickBot="1">
      <c r="A2957" s="6" t="s">
        <v>5630</v>
      </c>
      <c r="B2957" s="5" t="s">
        <v>5631</v>
      </c>
      <c r="C2957" s="3" t="s">
        <v>5</v>
      </c>
    </row>
    <row r="2958" spans="1:3" ht="15.75" thickBot="1">
      <c r="A2958" s="6" t="s">
        <v>5632</v>
      </c>
      <c r="B2958" s="5" t="s">
        <v>5633</v>
      </c>
      <c r="C2958" s="3" t="s">
        <v>5</v>
      </c>
    </row>
    <row r="2959" spans="1:3" ht="15.75" thickBot="1">
      <c r="A2959" s="6" t="s">
        <v>5634</v>
      </c>
      <c r="B2959" s="5" t="s">
        <v>5635</v>
      </c>
      <c r="C2959" s="3" t="s">
        <v>5</v>
      </c>
    </row>
    <row r="2960" spans="1:3" ht="15.75" thickBot="1">
      <c r="A2960" s="6" t="s">
        <v>5636</v>
      </c>
      <c r="B2960" s="5" t="s">
        <v>5637</v>
      </c>
      <c r="C2960" s="3" t="s">
        <v>5</v>
      </c>
    </row>
    <row r="2961" spans="1:3" ht="15.75" thickBot="1">
      <c r="A2961" s="6" t="s">
        <v>5638</v>
      </c>
      <c r="B2961" s="5" t="s">
        <v>5639</v>
      </c>
      <c r="C2961" s="3" t="s">
        <v>5</v>
      </c>
    </row>
    <row r="2962" spans="1:3" ht="15.75" thickBot="1">
      <c r="A2962" s="6" t="s">
        <v>5638</v>
      </c>
      <c r="B2962" s="5" t="s">
        <v>5640</v>
      </c>
      <c r="C2962" s="3" t="s">
        <v>5</v>
      </c>
    </row>
    <row r="2963" spans="1:3" ht="15.75" thickBot="1">
      <c r="A2963" s="6" t="s">
        <v>5641</v>
      </c>
      <c r="B2963" s="5" t="s">
        <v>5642</v>
      </c>
      <c r="C2963" s="3" t="s">
        <v>5</v>
      </c>
    </row>
    <row r="2964" spans="1:3" ht="15.75" thickBot="1">
      <c r="A2964" s="6" t="s">
        <v>5643</v>
      </c>
      <c r="B2964" s="5" t="s">
        <v>5644</v>
      </c>
      <c r="C2964" s="3" t="s">
        <v>5</v>
      </c>
    </row>
    <row r="2965" spans="1:3" ht="15.75" thickBot="1">
      <c r="A2965" s="6" t="s">
        <v>5645</v>
      </c>
      <c r="B2965" s="5" t="s">
        <v>5646</v>
      </c>
      <c r="C2965" s="3" t="s">
        <v>5</v>
      </c>
    </row>
    <row r="2966" spans="1:3" ht="15.75" thickBot="1">
      <c r="A2966" s="6" t="s">
        <v>5647</v>
      </c>
      <c r="B2966" s="5" t="s">
        <v>5648</v>
      </c>
      <c r="C2966" s="3" t="s">
        <v>5</v>
      </c>
    </row>
    <row r="2967" spans="1:3" ht="15.75" thickBot="1">
      <c r="A2967" s="6" t="s">
        <v>5649</v>
      </c>
      <c r="B2967" s="5" t="s">
        <v>5650</v>
      </c>
      <c r="C2967" s="3" t="s">
        <v>5</v>
      </c>
    </row>
    <row r="2968" spans="1:3" ht="15.75" thickBot="1">
      <c r="A2968" s="6" t="s">
        <v>5651</v>
      </c>
      <c r="B2968" s="5" t="s">
        <v>5652</v>
      </c>
      <c r="C2968" s="3" t="s">
        <v>5</v>
      </c>
    </row>
    <row r="2969" spans="1:3" ht="15.75" thickBot="1">
      <c r="A2969" s="6" t="s">
        <v>5653</v>
      </c>
      <c r="B2969" s="5" t="s">
        <v>5654</v>
      </c>
      <c r="C2969" s="3" t="s">
        <v>5</v>
      </c>
    </row>
    <row r="2970" spans="1:3" ht="15.75" thickBot="1">
      <c r="A2970" s="6" t="s">
        <v>5655</v>
      </c>
      <c r="B2970" s="5" t="s">
        <v>5656</v>
      </c>
      <c r="C2970" s="3" t="s">
        <v>5</v>
      </c>
    </row>
    <row r="2971" spans="1:3" ht="15.75" thickBot="1">
      <c r="A2971" s="6" t="s">
        <v>5657</v>
      </c>
      <c r="B2971" s="5" t="s">
        <v>5658</v>
      </c>
      <c r="C2971" s="3" t="s">
        <v>5</v>
      </c>
    </row>
    <row r="2972" spans="1:3" ht="15.75" thickBot="1">
      <c r="A2972" s="6" t="s">
        <v>5659</v>
      </c>
      <c r="B2972" s="5" t="s">
        <v>5660</v>
      </c>
      <c r="C2972" s="3" t="s">
        <v>5</v>
      </c>
    </row>
    <row r="2973" spans="1:3" ht="15.75" thickBot="1">
      <c r="A2973" s="6" t="s">
        <v>5661</v>
      </c>
      <c r="B2973" s="5" t="s">
        <v>5662</v>
      </c>
      <c r="C2973" s="3" t="s">
        <v>5</v>
      </c>
    </row>
    <row r="2974" spans="1:3" ht="15.75" thickBot="1">
      <c r="A2974" s="6" t="s">
        <v>5663</v>
      </c>
      <c r="B2974" s="5" t="s">
        <v>5664</v>
      </c>
      <c r="C2974" s="3" t="s">
        <v>5</v>
      </c>
    </row>
    <row r="2975" spans="1:3" ht="15.75" thickBot="1">
      <c r="A2975" s="6" t="s">
        <v>5665</v>
      </c>
      <c r="B2975" s="5" t="s">
        <v>5666</v>
      </c>
      <c r="C2975" s="3" t="s">
        <v>5</v>
      </c>
    </row>
    <row r="2976" spans="1:3" ht="15.75" thickBot="1">
      <c r="A2976" s="6" t="s">
        <v>5665</v>
      </c>
      <c r="B2976" s="5" t="s">
        <v>5667</v>
      </c>
      <c r="C2976" s="3" t="s">
        <v>5</v>
      </c>
    </row>
    <row r="2977" spans="1:3">
      <c r="A2977" s="1" t="s">
        <v>5668</v>
      </c>
      <c r="B2977" s="2" t="s">
        <v>5669</v>
      </c>
      <c r="C2977" s="3" t="s">
        <v>5</v>
      </c>
    </row>
    <row r="2978" spans="1:3" ht="15.75" thickBot="1">
      <c r="A2978" s="4"/>
      <c r="B2978" s="5" t="s">
        <v>5670</v>
      </c>
      <c r="C2978" s="3" t="s">
        <v>5</v>
      </c>
    </row>
    <row r="2979" spans="1:3" ht="15.75" thickBot="1">
      <c r="A2979" s="6" t="s">
        <v>5671</v>
      </c>
      <c r="B2979" s="5" t="s">
        <v>5672</v>
      </c>
      <c r="C2979" s="3" t="s">
        <v>5</v>
      </c>
    </row>
    <row r="2980" spans="1:3" ht="15.75" thickBot="1">
      <c r="A2980" s="6" t="s">
        <v>5673</v>
      </c>
      <c r="B2980" s="5" t="s">
        <v>5674</v>
      </c>
      <c r="C2980" s="3" t="s">
        <v>5</v>
      </c>
    </row>
    <row r="2981" spans="1:3" ht="15.75" thickBot="1">
      <c r="A2981" s="6" t="s">
        <v>5675</v>
      </c>
      <c r="B2981" s="5" t="s">
        <v>5676</v>
      </c>
      <c r="C2981" s="3" t="s">
        <v>5</v>
      </c>
    </row>
    <row r="2982" spans="1:3" ht="15.75" thickBot="1">
      <c r="A2982" s="6" t="s">
        <v>5677</v>
      </c>
      <c r="B2982" s="5" t="s">
        <v>5678</v>
      </c>
      <c r="C2982" s="3" t="s">
        <v>5</v>
      </c>
    </row>
    <row r="2983" spans="1:3" ht="15.75" thickBot="1">
      <c r="A2983" s="6" t="s">
        <v>5679</v>
      </c>
      <c r="B2983" s="5" t="s">
        <v>5680</v>
      </c>
      <c r="C2983" s="3" t="s">
        <v>5</v>
      </c>
    </row>
    <row r="2984" spans="1:3" ht="15.75" thickBot="1">
      <c r="A2984" s="6" t="s">
        <v>5681</v>
      </c>
      <c r="B2984" s="5" t="s">
        <v>5682</v>
      </c>
      <c r="C2984" s="3" t="s">
        <v>5</v>
      </c>
    </row>
    <row r="2985" spans="1:3" ht="15.75" thickBot="1">
      <c r="A2985" s="6" t="s">
        <v>5683</v>
      </c>
      <c r="B2985" s="5" t="s">
        <v>5684</v>
      </c>
      <c r="C2985" s="3" t="s">
        <v>5</v>
      </c>
    </row>
    <row r="2986" spans="1:3" ht="15.75" thickBot="1">
      <c r="A2986" s="6" t="s">
        <v>5685</v>
      </c>
      <c r="B2986" s="5" t="s">
        <v>5686</v>
      </c>
      <c r="C2986" s="3" t="s">
        <v>5</v>
      </c>
    </row>
    <row r="2987" spans="1:3" ht="15.75" thickBot="1">
      <c r="A2987" s="6" t="s">
        <v>5685</v>
      </c>
      <c r="B2987" s="5" t="s">
        <v>5687</v>
      </c>
      <c r="C2987" s="3" t="s">
        <v>5</v>
      </c>
    </row>
    <row r="2988" spans="1:3" ht="15.75" thickBot="1">
      <c r="A2988" s="6" t="s">
        <v>5688</v>
      </c>
      <c r="B2988" s="5" t="s">
        <v>5689</v>
      </c>
      <c r="C2988" s="3" t="s">
        <v>5</v>
      </c>
    </row>
    <row r="2989" spans="1:3" ht="15.75" thickBot="1">
      <c r="A2989" s="6" t="s">
        <v>5690</v>
      </c>
      <c r="B2989" s="5" t="s">
        <v>5691</v>
      </c>
      <c r="C2989" s="3" t="s">
        <v>5</v>
      </c>
    </row>
    <row r="2990" spans="1:3" ht="15.75" thickBot="1">
      <c r="A2990" s="6" t="s">
        <v>5692</v>
      </c>
      <c r="B2990" s="5" t="s">
        <v>5693</v>
      </c>
      <c r="C2990" s="3" t="s">
        <v>5</v>
      </c>
    </row>
    <row r="2991" spans="1:3" ht="15.75" thickBot="1">
      <c r="A2991" s="6" t="s">
        <v>5694</v>
      </c>
      <c r="B2991" s="5" t="s">
        <v>5695</v>
      </c>
      <c r="C2991" s="3" t="s">
        <v>5</v>
      </c>
    </row>
    <row r="2992" spans="1:3" ht="15.75" thickBot="1">
      <c r="A2992" s="6" t="s">
        <v>5696</v>
      </c>
      <c r="B2992" s="5" t="s">
        <v>5697</v>
      </c>
      <c r="C2992" s="3" t="s">
        <v>5</v>
      </c>
    </row>
    <row r="2993" spans="1:3" ht="15.75" thickBot="1">
      <c r="A2993" s="6" t="s">
        <v>5698</v>
      </c>
      <c r="B2993" s="5" t="s">
        <v>5699</v>
      </c>
      <c r="C2993" s="3" t="s">
        <v>5</v>
      </c>
    </row>
    <row r="2994" spans="1:3" ht="15.75" thickBot="1">
      <c r="A2994" s="6" t="s">
        <v>5700</v>
      </c>
      <c r="B2994" s="5" t="s">
        <v>5701</v>
      </c>
      <c r="C2994" s="3" t="s">
        <v>5</v>
      </c>
    </row>
    <row r="2995" spans="1:3" ht="15.75" thickBot="1">
      <c r="A2995" s="6" t="s">
        <v>5702</v>
      </c>
      <c r="B2995" s="5" t="s">
        <v>5703</v>
      </c>
      <c r="C2995" s="3" t="s">
        <v>5</v>
      </c>
    </row>
    <row r="2996" spans="1:3" ht="15.75" thickBot="1">
      <c r="A2996" s="6" t="s">
        <v>5704</v>
      </c>
      <c r="B2996" s="5" t="s">
        <v>5705</v>
      </c>
      <c r="C2996" s="3" t="s">
        <v>5</v>
      </c>
    </row>
    <row r="2997" spans="1:3" ht="15.75" thickBot="1">
      <c r="A2997" s="6" t="s">
        <v>5704</v>
      </c>
      <c r="B2997" s="5" t="s">
        <v>5706</v>
      </c>
      <c r="C2997" s="3" t="s">
        <v>5</v>
      </c>
    </row>
    <row r="2998" spans="1:3" ht="15.75" thickBot="1">
      <c r="A2998" s="6" t="s">
        <v>5707</v>
      </c>
      <c r="B2998" s="5" t="s">
        <v>5708</v>
      </c>
      <c r="C2998" s="3" t="s">
        <v>5</v>
      </c>
    </row>
    <row r="2999" spans="1:3" ht="15.75" thickBot="1">
      <c r="A2999" s="6" t="s">
        <v>5709</v>
      </c>
      <c r="B2999" s="5" t="s">
        <v>5710</v>
      </c>
      <c r="C2999" s="3" t="s">
        <v>5</v>
      </c>
    </row>
    <row r="3000" spans="1:3" ht="15.75" thickBot="1">
      <c r="A3000" s="6" t="s">
        <v>5711</v>
      </c>
      <c r="B3000" s="5" t="s">
        <v>5712</v>
      </c>
      <c r="C3000" s="3" t="s">
        <v>5</v>
      </c>
    </row>
    <row r="3001" spans="1:3" ht="15.75" thickBot="1">
      <c r="A3001" s="6" t="s">
        <v>5713</v>
      </c>
      <c r="B3001" s="5" t="s">
        <v>5714</v>
      </c>
      <c r="C3001" s="3" t="s">
        <v>5</v>
      </c>
    </row>
    <row r="3002" spans="1:3" ht="15.75" thickBot="1">
      <c r="A3002" s="6" t="s">
        <v>5715</v>
      </c>
      <c r="B3002" s="5" t="s">
        <v>5716</v>
      </c>
      <c r="C3002" s="3" t="s">
        <v>5</v>
      </c>
    </row>
    <row r="3003" spans="1:3" ht="15.75" thickBot="1">
      <c r="A3003" s="6" t="s">
        <v>5717</v>
      </c>
      <c r="B3003" s="5" t="s">
        <v>5718</v>
      </c>
      <c r="C3003" s="3" t="s">
        <v>5</v>
      </c>
    </row>
    <row r="3004" spans="1:3" ht="15.75" thickBot="1">
      <c r="A3004" s="6" t="s">
        <v>5719</v>
      </c>
      <c r="B3004" s="5" t="s">
        <v>5720</v>
      </c>
      <c r="C3004" s="3" t="s">
        <v>5</v>
      </c>
    </row>
    <row r="3005" spans="1:3" ht="15.75" thickBot="1">
      <c r="A3005" s="6" t="s">
        <v>5721</v>
      </c>
      <c r="B3005" s="5" t="s">
        <v>5722</v>
      </c>
      <c r="C3005" s="3" t="s">
        <v>5</v>
      </c>
    </row>
    <row r="3006" spans="1:3" ht="15.75" thickBot="1">
      <c r="A3006" s="6" t="s">
        <v>5723</v>
      </c>
      <c r="B3006" s="5" t="s">
        <v>5724</v>
      </c>
      <c r="C3006" s="3" t="s">
        <v>5</v>
      </c>
    </row>
    <row r="3007" spans="1:3" ht="15.75" thickBot="1">
      <c r="A3007" s="6" t="s">
        <v>5725</v>
      </c>
      <c r="B3007" s="5" t="s">
        <v>5726</v>
      </c>
      <c r="C3007" s="3" t="s">
        <v>5</v>
      </c>
    </row>
    <row r="3008" spans="1:3" ht="15.75" thickBot="1">
      <c r="A3008" s="6" t="s">
        <v>5727</v>
      </c>
      <c r="B3008" s="5" t="s">
        <v>5728</v>
      </c>
      <c r="C3008" s="3" t="s">
        <v>5</v>
      </c>
    </row>
    <row r="3009" spans="1:3" ht="15.75" thickBot="1">
      <c r="A3009" s="6" t="s">
        <v>5729</v>
      </c>
      <c r="B3009" s="5" t="s">
        <v>5730</v>
      </c>
      <c r="C3009" s="3" t="s">
        <v>5</v>
      </c>
    </row>
    <row r="3010" spans="1:3" ht="15.75" thickBot="1">
      <c r="A3010" s="6" t="s">
        <v>5731</v>
      </c>
      <c r="B3010" s="5" t="s">
        <v>5732</v>
      </c>
      <c r="C3010" s="3" t="s">
        <v>5</v>
      </c>
    </row>
    <row r="3011" spans="1:3" ht="15.75" thickBot="1">
      <c r="A3011" s="6" t="s">
        <v>5733</v>
      </c>
      <c r="B3011" s="5" t="s">
        <v>5734</v>
      </c>
      <c r="C3011" s="3" t="s">
        <v>5</v>
      </c>
    </row>
    <row r="3012" spans="1:3" ht="15.75" thickBot="1">
      <c r="A3012" s="6" t="s">
        <v>5735</v>
      </c>
      <c r="B3012" s="5" t="s">
        <v>5736</v>
      </c>
      <c r="C3012" s="3" t="s">
        <v>5</v>
      </c>
    </row>
    <row r="3013" spans="1:3" ht="15.75" thickBot="1">
      <c r="A3013" s="6" t="s">
        <v>5737</v>
      </c>
      <c r="B3013" s="5" t="s">
        <v>5738</v>
      </c>
      <c r="C3013" s="3" t="s">
        <v>5</v>
      </c>
    </row>
    <row r="3014" spans="1:3" ht="15.75" thickBot="1">
      <c r="A3014" s="6" t="s">
        <v>5739</v>
      </c>
      <c r="B3014" s="5" t="s">
        <v>5740</v>
      </c>
      <c r="C3014" s="3" t="s">
        <v>5</v>
      </c>
    </row>
    <row r="3015" spans="1:3" ht="15.75" thickBot="1">
      <c r="A3015" s="6" t="s">
        <v>5741</v>
      </c>
      <c r="B3015" s="5" t="s">
        <v>5742</v>
      </c>
      <c r="C3015" s="3" t="s">
        <v>5</v>
      </c>
    </row>
    <row r="3016" spans="1:3" ht="15.75" thickBot="1">
      <c r="A3016" s="6" t="s">
        <v>5743</v>
      </c>
      <c r="B3016" s="5" t="s">
        <v>5744</v>
      </c>
      <c r="C3016" s="3" t="s">
        <v>5</v>
      </c>
    </row>
    <row r="3017" spans="1:3" ht="15.75" thickBot="1">
      <c r="A3017" s="6" t="s">
        <v>5745</v>
      </c>
      <c r="B3017" s="5" t="s">
        <v>5746</v>
      </c>
      <c r="C3017" s="3" t="s">
        <v>5</v>
      </c>
    </row>
    <row r="3018" spans="1:3" ht="15.75" thickBot="1">
      <c r="A3018" s="6" t="s">
        <v>5747</v>
      </c>
      <c r="B3018" s="5" t="s">
        <v>5748</v>
      </c>
      <c r="C3018" s="3" t="s">
        <v>5</v>
      </c>
    </row>
    <row r="3019" spans="1:3" ht="15.75" thickBot="1">
      <c r="A3019" s="6" t="s">
        <v>5749</v>
      </c>
      <c r="B3019" s="5" t="s">
        <v>5750</v>
      </c>
      <c r="C3019" s="3" t="s">
        <v>5</v>
      </c>
    </row>
    <row r="3020" spans="1:3">
      <c r="A3020" s="1" t="s">
        <v>5751</v>
      </c>
      <c r="B3020" s="2" t="s">
        <v>5752</v>
      </c>
      <c r="C3020" s="3" t="s">
        <v>5</v>
      </c>
    </row>
    <row r="3021" spans="1:3" ht="15.75" thickBot="1">
      <c r="A3021" s="4"/>
      <c r="B3021" s="5" t="s">
        <v>5753</v>
      </c>
      <c r="C3021" s="3" t="s">
        <v>5</v>
      </c>
    </row>
    <row r="3022" spans="1:3">
      <c r="A3022" s="1" t="s">
        <v>5754</v>
      </c>
      <c r="B3022" s="2" t="s">
        <v>5755</v>
      </c>
      <c r="C3022" s="3" t="s">
        <v>5</v>
      </c>
    </row>
    <row r="3023" spans="1:3" ht="15.75" thickBot="1">
      <c r="A3023" s="4"/>
      <c r="B3023" s="5" t="s">
        <v>5756</v>
      </c>
      <c r="C3023" s="3" t="s">
        <v>5</v>
      </c>
    </row>
    <row r="3024" spans="1:3">
      <c r="A3024" s="1" t="s">
        <v>5757</v>
      </c>
      <c r="B3024" s="2" t="s">
        <v>5758</v>
      </c>
      <c r="C3024" s="3" t="s">
        <v>5</v>
      </c>
    </row>
    <row r="3025" spans="1:3" ht="15.75" thickBot="1">
      <c r="A3025" s="4"/>
      <c r="B3025" s="5" t="s">
        <v>5759</v>
      </c>
      <c r="C3025" s="3" t="s">
        <v>5</v>
      </c>
    </row>
    <row r="3026" spans="1:3" ht="15.75" thickBot="1">
      <c r="A3026" s="6" t="s">
        <v>5760</v>
      </c>
      <c r="B3026" s="5" t="s">
        <v>5761</v>
      </c>
      <c r="C3026" s="3" t="s">
        <v>5</v>
      </c>
    </row>
    <row r="3027" spans="1:3" ht="15.75" thickBot="1">
      <c r="A3027" s="6" t="s">
        <v>5762</v>
      </c>
      <c r="B3027" s="5" t="s">
        <v>5763</v>
      </c>
      <c r="C3027" s="3" t="s">
        <v>5</v>
      </c>
    </row>
    <row r="3028" spans="1:3" ht="15.75" thickBot="1">
      <c r="A3028" s="6" t="s">
        <v>5764</v>
      </c>
      <c r="B3028" s="5" t="s">
        <v>5765</v>
      </c>
      <c r="C3028" s="3" t="s">
        <v>5</v>
      </c>
    </row>
    <row r="3029" spans="1:3" ht="15.75" thickBot="1">
      <c r="A3029" s="6" t="s">
        <v>5766</v>
      </c>
      <c r="B3029" s="5" t="s">
        <v>5767</v>
      </c>
      <c r="C3029" s="3" t="s">
        <v>5</v>
      </c>
    </row>
    <row r="3030" spans="1:3" ht="15.75" thickBot="1">
      <c r="A3030" s="6" t="s">
        <v>5768</v>
      </c>
      <c r="B3030" s="5" t="s">
        <v>5769</v>
      </c>
      <c r="C3030" s="3" t="s">
        <v>5</v>
      </c>
    </row>
    <row r="3031" spans="1:3" ht="15.75" thickBot="1">
      <c r="A3031" s="6" t="s">
        <v>5770</v>
      </c>
      <c r="B3031" s="5" t="s">
        <v>5771</v>
      </c>
      <c r="C3031" s="3" t="s">
        <v>5</v>
      </c>
    </row>
    <row r="3032" spans="1:3" ht="15.75" thickBot="1">
      <c r="A3032" s="6" t="s">
        <v>5772</v>
      </c>
      <c r="B3032" s="5" t="s">
        <v>5773</v>
      </c>
      <c r="C3032" s="3" t="s">
        <v>5</v>
      </c>
    </row>
    <row r="3033" spans="1:3" ht="15.75" thickBot="1">
      <c r="A3033" s="6" t="s">
        <v>5774</v>
      </c>
      <c r="B3033" s="5" t="e">
        <f xml:space="preserve"> excitation current</f>
        <v>#NAME?</v>
      </c>
      <c r="C3033" s="3" t="s">
        <v>5</v>
      </c>
    </row>
    <row r="3034" spans="1:3" ht="15.75" thickBot="1">
      <c r="A3034" s="6" t="s">
        <v>5775</v>
      </c>
      <c r="B3034" s="5" t="s">
        <v>5776</v>
      </c>
      <c r="C3034" s="3" t="s">
        <v>5</v>
      </c>
    </row>
    <row r="3035" spans="1:3" ht="15.75" thickBot="1">
      <c r="A3035" s="6" t="s">
        <v>5777</v>
      </c>
      <c r="B3035" s="5" t="s">
        <v>5778</v>
      </c>
      <c r="C3035" s="3" t="s">
        <v>5</v>
      </c>
    </row>
    <row r="3036" spans="1:3" ht="15.75" thickBot="1">
      <c r="A3036" s="6" t="s">
        <v>5779</v>
      </c>
      <c r="B3036" s="5" t="s">
        <v>5780</v>
      </c>
      <c r="C3036" s="3" t="s">
        <v>5</v>
      </c>
    </row>
    <row r="3037" spans="1:3" ht="15.75" thickBot="1">
      <c r="A3037" s="6" t="s">
        <v>5781</v>
      </c>
      <c r="B3037" s="5" t="s">
        <v>5782</v>
      </c>
      <c r="C3037" s="3" t="s">
        <v>5</v>
      </c>
    </row>
    <row r="3038" spans="1:3" ht="15.75" thickBot="1">
      <c r="A3038" s="6" t="s">
        <v>5783</v>
      </c>
      <c r="B3038" s="5" t="s">
        <v>5784</v>
      </c>
      <c r="C3038" s="3" t="s">
        <v>5</v>
      </c>
    </row>
    <row r="3039" spans="1:3" ht="15.75" thickBot="1">
      <c r="A3039" s="6" t="s">
        <v>5785</v>
      </c>
      <c r="B3039" s="5" t="s">
        <v>5786</v>
      </c>
      <c r="C3039" s="3" t="s">
        <v>5</v>
      </c>
    </row>
    <row r="3040" spans="1:3" ht="15.75" thickBot="1">
      <c r="A3040" s="6" t="s">
        <v>5787</v>
      </c>
      <c r="B3040" s="5" t="s">
        <v>5788</v>
      </c>
      <c r="C3040" s="3" t="s">
        <v>5</v>
      </c>
    </row>
    <row r="3041" spans="1:3" ht="15.75" thickBot="1">
      <c r="A3041" s="6" t="s">
        <v>5789</v>
      </c>
      <c r="B3041" s="5" t="s">
        <v>5790</v>
      </c>
      <c r="C3041" s="3" t="s">
        <v>5</v>
      </c>
    </row>
    <row r="3042" spans="1:3" ht="15.75" thickBot="1">
      <c r="A3042" s="6" t="s">
        <v>5791</v>
      </c>
      <c r="B3042" s="5" t="s">
        <v>5792</v>
      </c>
      <c r="C3042" s="3" t="s">
        <v>5</v>
      </c>
    </row>
    <row r="3043" spans="1:3" ht="15.75" thickBot="1">
      <c r="A3043" s="6" t="s">
        <v>5793</v>
      </c>
      <c r="B3043" s="5" t="s">
        <v>5794</v>
      </c>
      <c r="C3043" s="3" t="s">
        <v>5</v>
      </c>
    </row>
    <row r="3044" spans="1:3" ht="15.75" thickBot="1">
      <c r="A3044" s="6" t="s">
        <v>5795</v>
      </c>
      <c r="B3044" s="5" t="s">
        <v>5796</v>
      </c>
      <c r="C3044" s="3" t="s">
        <v>5</v>
      </c>
    </row>
    <row r="3045" spans="1:3" ht="15.75" thickBot="1">
      <c r="A3045" s="6" t="s">
        <v>5797</v>
      </c>
      <c r="B3045" s="5" t="s">
        <v>5798</v>
      </c>
      <c r="C3045" s="3" t="s">
        <v>5</v>
      </c>
    </row>
    <row r="3046" spans="1:3" ht="15.75" thickBot="1">
      <c r="A3046" s="6" t="s">
        <v>5799</v>
      </c>
      <c r="B3046" s="5" t="s">
        <v>5800</v>
      </c>
      <c r="C3046" s="3" t="s">
        <v>5</v>
      </c>
    </row>
    <row r="3047" spans="1:3" ht="15.75" thickBot="1">
      <c r="A3047" s="6" t="s">
        <v>5801</v>
      </c>
      <c r="B3047" s="5" t="s">
        <v>5802</v>
      </c>
      <c r="C3047" s="3" t="s">
        <v>5</v>
      </c>
    </row>
    <row r="3048" spans="1:3" ht="15.75" thickBot="1">
      <c r="A3048" s="6" t="s">
        <v>5803</v>
      </c>
      <c r="B3048" s="5" t="s">
        <v>5804</v>
      </c>
      <c r="C3048" s="3" t="s">
        <v>5</v>
      </c>
    </row>
    <row r="3049" spans="1:3" ht="15.75" thickBot="1">
      <c r="A3049" s="6" t="s">
        <v>5805</v>
      </c>
      <c r="B3049" s="5" t="s">
        <v>5806</v>
      </c>
      <c r="C3049" s="3" t="s">
        <v>5</v>
      </c>
    </row>
    <row r="3050" spans="1:3" ht="15.75" thickBot="1">
      <c r="A3050" s="6" t="s">
        <v>5807</v>
      </c>
      <c r="B3050" s="5" t="s">
        <v>5808</v>
      </c>
      <c r="C3050" s="3" t="s">
        <v>5</v>
      </c>
    </row>
    <row r="3051" spans="1:3" ht="15.75" thickBot="1">
      <c r="A3051" s="6" t="s">
        <v>5809</v>
      </c>
      <c r="B3051" s="5" t="s">
        <v>5810</v>
      </c>
      <c r="C3051" s="3" t="s">
        <v>5</v>
      </c>
    </row>
    <row r="3052" spans="1:3" ht="26.25" thickBot="1">
      <c r="A3052" s="6" t="s">
        <v>5811</v>
      </c>
      <c r="B3052" s="5" t="s">
        <v>5812</v>
      </c>
      <c r="C3052" s="3" t="s">
        <v>5</v>
      </c>
    </row>
    <row r="3053" spans="1:3" ht="15.75" thickBot="1">
      <c r="A3053" s="6" t="s">
        <v>5813</v>
      </c>
      <c r="B3053" s="5" t="s">
        <v>5814</v>
      </c>
      <c r="C3053" s="3" t="s">
        <v>5</v>
      </c>
    </row>
    <row r="3054" spans="1:3" ht="15.75" thickBot="1">
      <c r="A3054" s="6" t="s">
        <v>5815</v>
      </c>
      <c r="B3054" s="5" t="s">
        <v>5816</v>
      </c>
      <c r="C3054" s="3" t="s">
        <v>5</v>
      </c>
    </row>
    <row r="3055" spans="1:3" ht="15.75" thickBot="1">
      <c r="A3055" s="6" t="s">
        <v>5817</v>
      </c>
      <c r="B3055" s="5" t="e">
        <f xml:space="preserve"> absorption coefficient</f>
        <v>#NAME?</v>
      </c>
      <c r="C3055" s="3" t="s">
        <v>5</v>
      </c>
    </row>
    <row r="3056" spans="1:3" ht="15.75" thickBot="1">
      <c r="A3056" s="6" t="s">
        <v>5818</v>
      </c>
      <c r="B3056" s="5" t="s">
        <v>5819</v>
      </c>
      <c r="C3056" s="3" t="s">
        <v>5</v>
      </c>
    </row>
    <row r="3057" spans="1:3" ht="15.75" thickBot="1">
      <c r="A3057" s="6" t="s">
        <v>5820</v>
      </c>
      <c r="B3057" s="5" t="s">
        <v>5821</v>
      </c>
      <c r="C3057" s="3" t="s">
        <v>5</v>
      </c>
    </row>
    <row r="3058" spans="1:3" ht="15.75" thickBot="1">
      <c r="A3058" s="6" t="s">
        <v>5822</v>
      </c>
      <c r="B3058" s="5" t="s">
        <v>5823</v>
      </c>
      <c r="C3058" s="3" t="s">
        <v>5</v>
      </c>
    </row>
    <row r="3059" spans="1:3" ht="15.75" thickBot="1">
      <c r="A3059" s="6" t="s">
        <v>5824</v>
      </c>
      <c r="B3059" s="5" t="s">
        <v>5825</v>
      </c>
      <c r="C3059" s="3" t="s">
        <v>5</v>
      </c>
    </row>
    <row r="3060" spans="1:3" ht="15.75" thickBot="1">
      <c r="A3060" s="6" t="s">
        <v>5826</v>
      </c>
      <c r="B3060" s="5" t="s">
        <v>5827</v>
      </c>
      <c r="C3060" s="3" t="s">
        <v>5</v>
      </c>
    </row>
    <row r="3061" spans="1:3" ht="15.75" thickBot="1">
      <c r="A3061" s="6" t="s">
        <v>5828</v>
      </c>
      <c r="B3061" s="5" t="s">
        <v>5829</v>
      </c>
      <c r="C3061" s="3" t="s">
        <v>5</v>
      </c>
    </row>
    <row r="3062" spans="1:3" ht="15.75" thickBot="1">
      <c r="A3062" s="6" t="s">
        <v>5830</v>
      </c>
      <c r="B3062" s="5" t="s">
        <v>5831</v>
      </c>
      <c r="C3062" s="3" t="s">
        <v>5</v>
      </c>
    </row>
    <row r="3063" spans="1:3" ht="15.75" thickBot="1">
      <c r="A3063" s="6" t="s">
        <v>5832</v>
      </c>
      <c r="B3063" s="5" t="s">
        <v>5833</v>
      </c>
      <c r="C3063" s="3" t="s">
        <v>5</v>
      </c>
    </row>
    <row r="3064" spans="1:3" ht="15.75" thickBot="1">
      <c r="A3064" s="6" t="s">
        <v>5834</v>
      </c>
      <c r="B3064" s="5" t="s">
        <v>5835</v>
      </c>
      <c r="C3064" s="3" t="s">
        <v>5</v>
      </c>
    </row>
    <row r="3065" spans="1:3" ht="15.75" thickBot="1">
      <c r="A3065" s="6" t="s">
        <v>5836</v>
      </c>
      <c r="B3065" s="5" t="s">
        <v>5837</v>
      </c>
      <c r="C3065" s="3" t="s">
        <v>5</v>
      </c>
    </row>
    <row r="3066" spans="1:3" ht="15.75" thickBot="1">
      <c r="A3066" s="6" t="s">
        <v>5838</v>
      </c>
      <c r="B3066" s="5" t="s">
        <v>5839</v>
      </c>
      <c r="C3066" s="3" t="s">
        <v>5</v>
      </c>
    </row>
    <row r="3067" spans="1:3" ht="15.75" thickBot="1">
      <c r="A3067" s="6" t="s">
        <v>5840</v>
      </c>
      <c r="B3067" s="5" t="s">
        <v>5841</v>
      </c>
      <c r="C3067" s="3" t="s">
        <v>5</v>
      </c>
    </row>
    <row r="3068" spans="1:3" ht="15.75" thickBot="1">
      <c r="A3068" s="6" t="s">
        <v>5842</v>
      </c>
      <c r="B3068" s="5" t="s">
        <v>5843</v>
      </c>
      <c r="C3068" s="3" t="s">
        <v>5</v>
      </c>
    </row>
    <row r="3069" spans="1:3" ht="15.75" thickBot="1">
      <c r="A3069" s="6" t="s">
        <v>5844</v>
      </c>
      <c r="B3069" s="5" t="s">
        <v>5845</v>
      </c>
      <c r="C3069" s="3" t="s">
        <v>5</v>
      </c>
    </row>
    <row r="3070" spans="1:3" ht="15.75" thickBot="1">
      <c r="A3070" s="6" t="s">
        <v>5844</v>
      </c>
      <c r="B3070" s="5" t="s">
        <v>5846</v>
      </c>
      <c r="C3070" s="3" t="s">
        <v>5</v>
      </c>
    </row>
    <row r="3071" spans="1:3" ht="15.75" thickBot="1">
      <c r="A3071" s="6" t="s">
        <v>5847</v>
      </c>
      <c r="B3071" s="5" t="s">
        <v>5848</v>
      </c>
      <c r="C3071" s="3" t="s">
        <v>5</v>
      </c>
    </row>
    <row r="3072" spans="1:3" ht="15.75" thickBot="1">
      <c r="A3072" s="6" t="s">
        <v>5849</v>
      </c>
      <c r="B3072" s="5" t="s">
        <v>5850</v>
      </c>
      <c r="C3072" s="3" t="s">
        <v>5</v>
      </c>
    </row>
    <row r="3073" spans="1:3" ht="15.75" thickBot="1">
      <c r="A3073" s="6" t="s">
        <v>5851</v>
      </c>
      <c r="B3073" s="5" t="s">
        <v>5852</v>
      </c>
      <c r="C3073" s="3" t="s">
        <v>5</v>
      </c>
    </row>
    <row r="3074" spans="1:3" ht="15.75" thickBot="1">
      <c r="A3074" s="6" t="s">
        <v>5853</v>
      </c>
      <c r="B3074" s="5" t="s">
        <v>5854</v>
      </c>
      <c r="C3074" s="3" t="s">
        <v>5</v>
      </c>
    </row>
    <row r="3075" spans="1:3" ht="15.75" thickBot="1">
      <c r="A3075" s="6" t="s">
        <v>5855</v>
      </c>
      <c r="B3075" s="5" t="s">
        <v>5856</v>
      </c>
      <c r="C3075" s="3" t="s">
        <v>5</v>
      </c>
    </row>
    <row r="3076" spans="1:3" ht="15.75" thickBot="1">
      <c r="A3076" s="6" t="s">
        <v>5857</v>
      </c>
      <c r="B3076" s="5" t="s">
        <v>5858</v>
      </c>
      <c r="C3076" s="3" t="s">
        <v>5</v>
      </c>
    </row>
    <row r="3077" spans="1:3" ht="15.75" thickBot="1">
      <c r="A3077" s="6" t="s">
        <v>5859</v>
      </c>
      <c r="B3077" s="5" t="s">
        <v>5860</v>
      </c>
      <c r="C3077" s="3" t="s">
        <v>5</v>
      </c>
    </row>
    <row r="3078" spans="1:3" ht="15.75" thickBot="1">
      <c r="A3078" s="6" t="s">
        <v>5861</v>
      </c>
      <c r="B3078" s="5" t="s">
        <v>5862</v>
      </c>
      <c r="C3078" s="3" t="s">
        <v>5</v>
      </c>
    </row>
    <row r="3079" spans="1:3" ht="15.75" thickBot="1">
      <c r="A3079" s="6" t="s">
        <v>5863</v>
      </c>
      <c r="B3079" s="5" t="s">
        <v>5864</v>
      </c>
      <c r="C3079" s="3" t="s">
        <v>5</v>
      </c>
    </row>
    <row r="3080" spans="1:3">
      <c r="A3080" s="1" t="s">
        <v>5865</v>
      </c>
      <c r="B3080" s="2" t="s">
        <v>4312</v>
      </c>
      <c r="C3080" s="3" t="s">
        <v>5</v>
      </c>
    </row>
    <row r="3081" spans="1:3" ht="90" thickBot="1">
      <c r="A3081" s="4"/>
      <c r="B3081" s="5" t="s">
        <v>5866</v>
      </c>
      <c r="C3081" s="3" t="s">
        <v>5</v>
      </c>
    </row>
    <row r="3082" spans="1:3" ht="15.75" thickBot="1">
      <c r="A3082" s="6" t="s">
        <v>5867</v>
      </c>
      <c r="B3082" s="5" t="s">
        <v>5868</v>
      </c>
      <c r="C3082" s="3" t="s">
        <v>5</v>
      </c>
    </row>
    <row r="3083" spans="1:3" ht="15.75" thickBot="1">
      <c r="A3083" s="6" t="s">
        <v>5869</v>
      </c>
      <c r="B3083" s="5" t="s">
        <v>5870</v>
      </c>
      <c r="C3083" s="3" t="s">
        <v>5</v>
      </c>
    </row>
    <row r="3084" spans="1:3" ht="15.75" thickBot="1">
      <c r="A3084" s="6" t="s">
        <v>5871</v>
      </c>
      <c r="B3084" s="5" t="s">
        <v>5872</v>
      </c>
      <c r="C3084" s="3" t="s">
        <v>5</v>
      </c>
    </row>
    <row r="3085" spans="1:3" ht="15.75" thickBot="1">
      <c r="A3085" s="6" t="s">
        <v>5873</v>
      </c>
      <c r="B3085" s="5" t="s">
        <v>5874</v>
      </c>
      <c r="C3085" s="3" t="s">
        <v>5</v>
      </c>
    </row>
    <row r="3086" spans="1:3" ht="15.75" thickBot="1">
      <c r="A3086" s="6" t="s">
        <v>5875</v>
      </c>
      <c r="B3086" s="5" t="s">
        <v>5876</v>
      </c>
      <c r="C3086" s="3" t="s">
        <v>5</v>
      </c>
    </row>
    <row r="3087" spans="1:3" ht="15.75" thickBot="1">
      <c r="A3087" s="6" t="s">
        <v>5877</v>
      </c>
      <c r="B3087" s="5" t="s">
        <v>5878</v>
      </c>
      <c r="C3087" s="3" t="s">
        <v>5</v>
      </c>
    </row>
    <row r="3088" spans="1:3" ht="15.75" thickBot="1">
      <c r="A3088" s="6" t="s">
        <v>5879</v>
      </c>
      <c r="B3088" s="5" t="s">
        <v>5880</v>
      </c>
      <c r="C3088" s="3" t="s">
        <v>5</v>
      </c>
    </row>
    <row r="3089" spans="1:3" ht="15.75" thickBot="1">
      <c r="A3089" s="6" t="s">
        <v>5881</v>
      </c>
      <c r="B3089" s="5" t="s">
        <v>5882</v>
      </c>
      <c r="C3089" s="3" t="s">
        <v>5</v>
      </c>
    </row>
    <row r="3090" spans="1:3" ht="15.75" thickBot="1">
      <c r="A3090" s="6" t="s">
        <v>5883</v>
      </c>
      <c r="B3090" s="5" t="s">
        <v>5882</v>
      </c>
      <c r="C3090" s="3" t="s">
        <v>5</v>
      </c>
    </row>
    <row r="3091" spans="1:3" ht="15.75" thickBot="1">
      <c r="A3091" s="6" t="s">
        <v>5884</v>
      </c>
      <c r="B3091" s="5" t="s">
        <v>5885</v>
      </c>
      <c r="C3091" s="3" t="s">
        <v>5</v>
      </c>
    </row>
    <row r="3092" spans="1:3" ht="15.75" thickBot="1">
      <c r="A3092" s="6" t="s">
        <v>5886</v>
      </c>
      <c r="B3092" s="5" t="s">
        <v>5887</v>
      </c>
      <c r="C3092" s="3" t="s">
        <v>5</v>
      </c>
    </row>
    <row r="3093" spans="1:3" ht="15.75" thickBot="1">
      <c r="A3093" s="6" t="s">
        <v>5888</v>
      </c>
      <c r="B3093" s="5" t="s">
        <v>5889</v>
      </c>
      <c r="C3093" s="3" t="s">
        <v>5</v>
      </c>
    </row>
    <row r="3094" spans="1:3" ht="15.75" thickBot="1">
      <c r="A3094" s="6" t="s">
        <v>5890</v>
      </c>
      <c r="B3094" s="5" t="s">
        <v>5891</v>
      </c>
      <c r="C3094" s="3" t="s">
        <v>5</v>
      </c>
    </row>
    <row r="3095" spans="1:3" ht="26.25" thickBot="1">
      <c r="A3095" s="6" t="s">
        <v>5892</v>
      </c>
      <c r="B3095" s="5" t="s">
        <v>5893</v>
      </c>
      <c r="C3095" s="3" t="s">
        <v>5</v>
      </c>
    </row>
    <row r="3096" spans="1:3">
      <c r="A3096" s="1" t="s">
        <v>5894</v>
      </c>
      <c r="B3096" s="2" t="s">
        <v>5895</v>
      </c>
      <c r="C3096" s="3" t="s">
        <v>5</v>
      </c>
    </row>
    <row r="3097" spans="1:3" ht="15.75" thickBot="1">
      <c r="A3097" s="4"/>
      <c r="B3097" s="5" t="s">
        <v>3333</v>
      </c>
      <c r="C3097" s="3" t="s">
        <v>5</v>
      </c>
    </row>
    <row r="3098" spans="1:3" ht="15.75" thickBot="1">
      <c r="A3098" s="6" t="s">
        <v>5896</v>
      </c>
      <c r="B3098" s="5" t="s">
        <v>5897</v>
      </c>
      <c r="C3098" s="3" t="s">
        <v>5</v>
      </c>
    </row>
    <row r="3099" spans="1:3" ht="15.75" thickBot="1">
      <c r="A3099" s="6" t="s">
        <v>5898</v>
      </c>
      <c r="B3099" s="5" t="s">
        <v>5899</v>
      </c>
      <c r="C3099" s="3" t="s">
        <v>5</v>
      </c>
    </row>
    <row r="3100" spans="1:3" ht="15.75" thickBot="1">
      <c r="A3100" s="6" t="s">
        <v>5900</v>
      </c>
      <c r="B3100" s="5" t="s">
        <v>5901</v>
      </c>
      <c r="C3100" s="3" t="s">
        <v>5</v>
      </c>
    </row>
    <row r="3101" spans="1:3" ht="15.75" thickBot="1">
      <c r="A3101" s="6" t="s">
        <v>5902</v>
      </c>
      <c r="B3101" s="5" t="s">
        <v>5903</v>
      </c>
      <c r="C3101" s="3" t="s">
        <v>5</v>
      </c>
    </row>
    <row r="3102" spans="1:3">
      <c r="A3102" s="1" t="s">
        <v>5904</v>
      </c>
      <c r="B3102" s="2" t="s">
        <v>5905</v>
      </c>
      <c r="C3102" s="3" t="s">
        <v>5</v>
      </c>
    </row>
    <row r="3103" spans="1:3" ht="15.75" thickBot="1">
      <c r="A3103" s="4"/>
      <c r="B3103" s="5" t="s">
        <v>5906</v>
      </c>
      <c r="C3103" s="3" t="s">
        <v>5</v>
      </c>
    </row>
    <row r="3104" spans="1:3" ht="15.75" thickBot="1">
      <c r="A3104" s="6" t="s">
        <v>5907</v>
      </c>
      <c r="B3104" s="5" t="s">
        <v>5908</v>
      </c>
      <c r="C3104" s="3" t="s">
        <v>5</v>
      </c>
    </row>
    <row r="3105" spans="1:3" ht="15.75" thickBot="1">
      <c r="A3105" s="6" t="s">
        <v>5909</v>
      </c>
      <c r="B3105" s="5" t="s">
        <v>5910</v>
      </c>
      <c r="C3105" s="3" t="s">
        <v>5</v>
      </c>
    </row>
    <row r="3106" spans="1:3" ht="15.75" thickBot="1">
      <c r="A3106" s="6" t="s">
        <v>5911</v>
      </c>
      <c r="B3106" s="5" t="s">
        <v>5912</v>
      </c>
      <c r="C3106" s="3" t="s">
        <v>5</v>
      </c>
    </row>
    <row r="3107" spans="1:3" ht="15.75" thickBot="1">
      <c r="A3107" s="6" t="s">
        <v>5913</v>
      </c>
      <c r="B3107" s="5" t="e">
        <f xml:space="preserve"> fault detector</f>
        <v>#NAME?</v>
      </c>
      <c r="C3107" s="3" t="s">
        <v>5</v>
      </c>
    </row>
    <row r="3108" spans="1:3" ht="15.75" thickBot="1">
      <c r="A3108" s="6" t="s">
        <v>5914</v>
      </c>
      <c r="B3108" s="5" t="s">
        <v>5915</v>
      </c>
      <c r="C3108" s="3" t="s">
        <v>5</v>
      </c>
    </row>
    <row r="3109" spans="1:3" ht="15.75" thickBot="1">
      <c r="A3109" s="6" t="s">
        <v>5916</v>
      </c>
      <c r="B3109" s="5" t="s">
        <v>5917</v>
      </c>
      <c r="C3109" s="3" t="s">
        <v>5</v>
      </c>
    </row>
    <row r="3110" spans="1:3" ht="15.75" thickBot="1">
      <c r="A3110" s="6" t="s">
        <v>5918</v>
      </c>
      <c r="B3110" s="5" t="s">
        <v>5919</v>
      </c>
      <c r="C3110" s="3" t="s">
        <v>5</v>
      </c>
    </row>
    <row r="3111" spans="1:3" ht="15.75" thickBot="1">
      <c r="A3111" s="6" t="s">
        <v>5920</v>
      </c>
      <c r="B3111" s="5" t="s">
        <v>5921</v>
      </c>
      <c r="C3111" s="3" t="s">
        <v>5</v>
      </c>
    </row>
    <row r="3112" spans="1:3" ht="15.75" thickBot="1">
      <c r="A3112" s="6" t="s">
        <v>5922</v>
      </c>
      <c r="B3112" s="5" t="s">
        <v>5923</v>
      </c>
      <c r="C3112" s="3" t="s">
        <v>5</v>
      </c>
    </row>
    <row r="3113" spans="1:3" ht="15.75" thickBot="1">
      <c r="A3113" s="6" t="s">
        <v>5924</v>
      </c>
      <c r="B3113" s="5" t="s">
        <v>5925</v>
      </c>
      <c r="C3113" s="3" t="s">
        <v>5</v>
      </c>
    </row>
    <row r="3114" spans="1:3" ht="15.75" thickBot="1">
      <c r="A3114" s="6" t="s">
        <v>5926</v>
      </c>
      <c r="B3114" s="5" t="s">
        <v>5927</v>
      </c>
      <c r="C3114" s="3" t="s">
        <v>5</v>
      </c>
    </row>
    <row r="3115" spans="1:3" ht="15.75" thickBot="1">
      <c r="A3115" s="6" t="s">
        <v>5928</v>
      </c>
      <c r="B3115" s="5" t="s">
        <v>5929</v>
      </c>
      <c r="C3115" s="3" t="s">
        <v>5</v>
      </c>
    </row>
    <row r="3116" spans="1:3" ht="15.75" thickBot="1">
      <c r="A3116" s="6" t="s">
        <v>5930</v>
      </c>
      <c r="B3116" s="5" t="s">
        <v>5931</v>
      </c>
      <c r="C3116" s="3" t="s">
        <v>5</v>
      </c>
    </row>
    <row r="3117" spans="1:3" ht="15.75" thickBot="1">
      <c r="A3117" s="6" t="s">
        <v>5932</v>
      </c>
      <c r="B3117" s="5" t="s">
        <v>5933</v>
      </c>
      <c r="C3117" s="3" t="s">
        <v>5</v>
      </c>
    </row>
    <row r="3118" spans="1:3" ht="15.75" thickBot="1">
      <c r="A3118" s="6" t="s">
        <v>5934</v>
      </c>
      <c r="B3118" s="5" t="s">
        <v>5935</v>
      </c>
      <c r="C3118" s="3" t="s">
        <v>5</v>
      </c>
    </row>
    <row r="3119" spans="1:3" ht="15.75" thickBot="1">
      <c r="A3119" s="6" t="s">
        <v>5936</v>
      </c>
      <c r="B3119" s="5" t="s">
        <v>5937</v>
      </c>
      <c r="C3119" s="3" t="s">
        <v>5</v>
      </c>
    </row>
    <row r="3120" spans="1:3" ht="15.75" thickBot="1">
      <c r="A3120" s="6" t="s">
        <v>5938</v>
      </c>
      <c r="B3120" s="5" t="s">
        <v>5939</v>
      </c>
      <c r="C3120" s="3" t="s">
        <v>5</v>
      </c>
    </row>
    <row r="3121" spans="1:3" ht="15.75" thickBot="1">
      <c r="A3121" s="6" t="s">
        <v>5940</v>
      </c>
      <c r="B3121" s="5" t="s">
        <v>5941</v>
      </c>
      <c r="C3121" s="3" t="s">
        <v>5</v>
      </c>
    </row>
    <row r="3122" spans="1:3" ht="15.75" thickBot="1">
      <c r="A3122" s="6" t="s">
        <v>5942</v>
      </c>
      <c r="B3122" s="5" t="s">
        <v>5943</v>
      </c>
      <c r="C3122" s="3" t="s">
        <v>5</v>
      </c>
    </row>
    <row r="3123" spans="1:3" ht="15.75" thickBot="1">
      <c r="A3123" s="6" t="s">
        <v>5944</v>
      </c>
      <c r="B3123" s="5" t="s">
        <v>5945</v>
      </c>
      <c r="C3123" s="3" t="s">
        <v>5</v>
      </c>
    </row>
    <row r="3124" spans="1:3" ht="15.75" thickBot="1">
      <c r="A3124" s="6" t="s">
        <v>5946</v>
      </c>
      <c r="B3124" s="5" t="s">
        <v>5947</v>
      </c>
      <c r="C3124" s="3" t="s">
        <v>5</v>
      </c>
    </row>
    <row r="3125" spans="1:3" ht="15.75" thickBot="1">
      <c r="A3125" s="6" t="s">
        <v>5948</v>
      </c>
      <c r="B3125" s="5" t="s">
        <v>5949</v>
      </c>
      <c r="C3125" s="3" t="s">
        <v>5</v>
      </c>
    </row>
    <row r="3126" spans="1:3" ht="15.75" thickBot="1">
      <c r="A3126" s="6" t="s">
        <v>5950</v>
      </c>
      <c r="B3126" s="5" t="s">
        <v>5951</v>
      </c>
      <c r="C3126" s="3" t="s">
        <v>5</v>
      </c>
    </row>
    <row r="3127" spans="1:3" ht="15.75" thickBot="1">
      <c r="A3127" s="6" t="s">
        <v>5952</v>
      </c>
      <c r="B3127" s="5" t="s">
        <v>5953</v>
      </c>
      <c r="C3127" s="3" t="s">
        <v>5</v>
      </c>
    </row>
    <row r="3128" spans="1:3" ht="15.75" thickBot="1">
      <c r="A3128" s="6" t="s">
        <v>5954</v>
      </c>
      <c r="B3128" s="5" t="s">
        <v>5955</v>
      </c>
      <c r="C3128" s="3" t="s">
        <v>5</v>
      </c>
    </row>
    <row r="3129" spans="1:3" ht="15.75" thickBot="1">
      <c r="A3129" s="6" t="s">
        <v>5956</v>
      </c>
      <c r="B3129" s="5" t="s">
        <v>5957</v>
      </c>
      <c r="C3129" s="3" t="s">
        <v>5</v>
      </c>
    </row>
    <row r="3130" spans="1:3" ht="15.75" thickBot="1">
      <c r="A3130" s="6" t="s">
        <v>5958</v>
      </c>
      <c r="B3130" s="5" t="s">
        <v>5959</v>
      </c>
      <c r="C3130" s="3" t="s">
        <v>5</v>
      </c>
    </row>
    <row r="3131" spans="1:3" ht="15.75" thickBot="1">
      <c r="A3131" s="6" t="s">
        <v>5960</v>
      </c>
      <c r="B3131" s="5" t="s">
        <v>5961</v>
      </c>
      <c r="C3131" s="3" t="s">
        <v>5</v>
      </c>
    </row>
    <row r="3132" spans="1:3">
      <c r="A3132" s="1" t="s">
        <v>5962</v>
      </c>
      <c r="B3132" s="2" t="s">
        <v>5963</v>
      </c>
      <c r="C3132" s="3" t="s">
        <v>5</v>
      </c>
    </row>
    <row r="3133" spans="1:3" ht="15.75" thickBot="1">
      <c r="A3133" s="4"/>
      <c r="B3133" s="5" t="s">
        <v>5964</v>
      </c>
      <c r="C3133" s="3" t="s">
        <v>5</v>
      </c>
    </row>
    <row r="3134" spans="1:3" ht="15.75" thickBot="1">
      <c r="A3134" s="6" t="s">
        <v>5965</v>
      </c>
      <c r="B3134" s="5" t="s">
        <v>5966</v>
      </c>
      <c r="C3134" s="3" t="s">
        <v>5</v>
      </c>
    </row>
    <row r="3135" spans="1:3" ht="15.75" thickBot="1">
      <c r="A3135" s="6" t="s">
        <v>5967</v>
      </c>
      <c r="B3135" s="5" t="s">
        <v>5968</v>
      </c>
      <c r="C3135" s="3" t="s">
        <v>5</v>
      </c>
    </row>
    <row r="3136" spans="1:3" ht="15.75" thickBot="1">
      <c r="A3136" s="6" t="s">
        <v>5969</v>
      </c>
      <c r="B3136" s="5" t="s">
        <v>5970</v>
      </c>
      <c r="C3136" s="3" t="s">
        <v>5</v>
      </c>
    </row>
    <row r="3137" spans="1:3" ht="15.75" thickBot="1">
      <c r="A3137" s="6" t="s">
        <v>5971</v>
      </c>
      <c r="B3137" s="5" t="s">
        <v>5972</v>
      </c>
      <c r="C3137" s="3" t="s">
        <v>5</v>
      </c>
    </row>
    <row r="3138" spans="1:3" ht="15.75" thickBot="1">
      <c r="A3138" s="6" t="s">
        <v>5973</v>
      </c>
      <c r="B3138" s="5" t="s">
        <v>5974</v>
      </c>
      <c r="C3138" s="3" t="s">
        <v>5</v>
      </c>
    </row>
    <row r="3139" spans="1:3" ht="15.75" thickBot="1">
      <c r="A3139" s="6" t="s">
        <v>5975</v>
      </c>
      <c r="B3139" s="5" t="s">
        <v>5976</v>
      </c>
      <c r="C3139" s="3" t="s">
        <v>5</v>
      </c>
    </row>
    <row r="3140" spans="1:3" ht="15.75" thickBot="1">
      <c r="A3140" s="6" t="s">
        <v>5977</v>
      </c>
      <c r="B3140" s="5" t="s">
        <v>5978</v>
      </c>
      <c r="C3140" s="3" t="s">
        <v>5</v>
      </c>
    </row>
    <row r="3141" spans="1:3" ht="15.75" thickBot="1">
      <c r="A3141" s="6" t="s">
        <v>5979</v>
      </c>
      <c r="B3141" s="5" t="s">
        <v>5980</v>
      </c>
      <c r="C3141" s="3" t="s">
        <v>5</v>
      </c>
    </row>
    <row r="3142" spans="1:3" ht="15.75" thickBot="1">
      <c r="A3142" s="6" t="s">
        <v>5981</v>
      </c>
      <c r="B3142" s="5" t="s">
        <v>5982</v>
      </c>
      <c r="C3142" s="3" t="s">
        <v>5</v>
      </c>
    </row>
    <row r="3143" spans="1:3" ht="15.75" thickBot="1">
      <c r="A3143" s="6" t="s">
        <v>5983</v>
      </c>
      <c r="B3143" s="5" t="s">
        <v>5984</v>
      </c>
      <c r="C3143" s="3" t="s">
        <v>5</v>
      </c>
    </row>
    <row r="3144" spans="1:3" ht="15.75" thickBot="1">
      <c r="A3144" s="6" t="s">
        <v>5985</v>
      </c>
      <c r="B3144" s="5" t="s">
        <v>824</v>
      </c>
      <c r="C3144" s="3" t="s">
        <v>5</v>
      </c>
    </row>
    <row r="3145" spans="1:3" ht="15.75" thickBot="1">
      <c r="A3145" s="6" t="s">
        <v>5986</v>
      </c>
      <c r="B3145" s="5" t="s">
        <v>5987</v>
      </c>
      <c r="C3145" s="3" t="s">
        <v>5</v>
      </c>
    </row>
    <row r="3146" spans="1:3" ht="15.75" thickBot="1">
      <c r="A3146" s="6" t="s">
        <v>5988</v>
      </c>
      <c r="B3146" s="5" t="s">
        <v>5989</v>
      </c>
      <c r="C3146" s="3" t="s">
        <v>5</v>
      </c>
    </row>
    <row r="3147" spans="1:3" ht="15.75" thickBot="1">
      <c r="A3147" s="6" t="s">
        <v>5990</v>
      </c>
      <c r="B3147" s="5" t="s">
        <v>4074</v>
      </c>
      <c r="C3147" s="3" t="s">
        <v>5</v>
      </c>
    </row>
    <row r="3148" spans="1:3" ht="15.75" thickBot="1">
      <c r="A3148" s="6" t="s">
        <v>5991</v>
      </c>
      <c r="B3148" s="5" t="s">
        <v>5992</v>
      </c>
      <c r="C3148" s="3" t="s">
        <v>5</v>
      </c>
    </row>
    <row r="3149" spans="1:3" ht="15.75" thickBot="1">
      <c r="A3149" s="6" t="s">
        <v>5993</v>
      </c>
      <c r="B3149" s="5" t="s">
        <v>5994</v>
      </c>
      <c r="C3149" s="3" t="s">
        <v>5</v>
      </c>
    </row>
    <row r="3150" spans="1:3" ht="15.75" thickBot="1">
      <c r="A3150" s="6" t="s">
        <v>5995</v>
      </c>
      <c r="B3150" s="5" t="s">
        <v>5996</v>
      </c>
      <c r="C3150" s="3" t="s">
        <v>5</v>
      </c>
    </row>
    <row r="3151" spans="1:3" ht="15.75" thickBot="1">
      <c r="A3151" s="6" t="s">
        <v>5997</v>
      </c>
      <c r="B3151" s="5" t="s">
        <v>5998</v>
      </c>
      <c r="C3151" s="3" t="s">
        <v>5</v>
      </c>
    </row>
    <row r="3152" spans="1:3" ht="15.75" thickBot="1">
      <c r="A3152" s="6" t="s">
        <v>5999</v>
      </c>
      <c r="B3152" s="5" t="s">
        <v>6000</v>
      </c>
      <c r="C3152" s="3" t="s">
        <v>5</v>
      </c>
    </row>
    <row r="3153" spans="1:3" ht="15.75" thickBot="1">
      <c r="A3153" s="6" t="s">
        <v>6001</v>
      </c>
      <c r="B3153" s="5" t="s">
        <v>6002</v>
      </c>
      <c r="C3153" s="3" t="s">
        <v>5</v>
      </c>
    </row>
    <row r="3154" spans="1:3" ht="15.75" thickBot="1">
      <c r="A3154" s="6" t="s">
        <v>6003</v>
      </c>
      <c r="B3154" s="5" t="s">
        <v>6004</v>
      </c>
      <c r="C3154" s="3" t="s">
        <v>5</v>
      </c>
    </row>
    <row r="3155" spans="1:3" ht="15.75" thickBot="1">
      <c r="A3155" s="6" t="s">
        <v>6005</v>
      </c>
      <c r="B3155" s="5" t="s">
        <v>6006</v>
      </c>
      <c r="C3155" s="3" t="s">
        <v>5</v>
      </c>
    </row>
    <row r="3156" spans="1:3" ht="15.75" thickBot="1">
      <c r="A3156" s="6" t="s">
        <v>6007</v>
      </c>
      <c r="B3156" s="5" t="s">
        <v>6008</v>
      </c>
      <c r="C3156" s="3" t="s">
        <v>5</v>
      </c>
    </row>
    <row r="3157" spans="1:3" ht="15.75" thickBot="1">
      <c r="A3157" s="6" t="s">
        <v>6009</v>
      </c>
      <c r="B3157" s="5" t="s">
        <v>6010</v>
      </c>
      <c r="C3157" s="3" t="s">
        <v>5</v>
      </c>
    </row>
    <row r="3158" spans="1:3" ht="15.75" thickBot="1">
      <c r="A3158" s="6" t="s">
        <v>6011</v>
      </c>
      <c r="B3158" s="5" t="s">
        <v>6012</v>
      </c>
      <c r="C3158" s="3" t="s">
        <v>5</v>
      </c>
    </row>
    <row r="3159" spans="1:3" ht="15.75" thickBot="1">
      <c r="A3159" s="6" t="s">
        <v>6013</v>
      </c>
      <c r="B3159" s="5" t="s">
        <v>6014</v>
      </c>
      <c r="C3159" s="3" t="s">
        <v>5</v>
      </c>
    </row>
    <row r="3160" spans="1:3" ht="15.75" thickBot="1">
      <c r="A3160" s="6" t="s">
        <v>6015</v>
      </c>
      <c r="B3160" s="5" t="s">
        <v>6016</v>
      </c>
      <c r="C3160" s="3" t="s">
        <v>5</v>
      </c>
    </row>
    <row r="3161" spans="1:3" ht="15.75" thickBot="1">
      <c r="A3161" s="6" t="s">
        <v>6017</v>
      </c>
      <c r="B3161" s="5" t="s">
        <v>6018</v>
      </c>
      <c r="C3161" s="3" t="s">
        <v>5</v>
      </c>
    </row>
    <row r="3162" spans="1:3" ht="15.75" thickBot="1">
      <c r="A3162" s="6" t="s">
        <v>6019</v>
      </c>
      <c r="B3162" s="5" t="s">
        <v>6020</v>
      </c>
      <c r="C3162" s="3" t="s">
        <v>5</v>
      </c>
    </row>
    <row r="3163" spans="1:3" ht="15.75" thickBot="1">
      <c r="A3163" s="6" t="s">
        <v>6021</v>
      </c>
      <c r="B3163" s="5" t="s">
        <v>6022</v>
      </c>
      <c r="C3163" s="3" t="s">
        <v>5</v>
      </c>
    </row>
    <row r="3164" spans="1:3" ht="15.75" thickBot="1">
      <c r="A3164" s="6" t="s">
        <v>6023</v>
      </c>
      <c r="B3164" s="5" t="s">
        <v>6024</v>
      </c>
      <c r="C3164" s="3" t="s">
        <v>5</v>
      </c>
    </row>
    <row r="3165" spans="1:3" ht="15.75" thickBot="1">
      <c r="A3165" s="6" t="s">
        <v>6025</v>
      </c>
      <c r="B3165" s="5" t="s">
        <v>6026</v>
      </c>
      <c r="C3165" s="3" t="s">
        <v>5</v>
      </c>
    </row>
    <row r="3166" spans="1:3" ht="15.75" thickBot="1">
      <c r="A3166" s="6" t="s">
        <v>6027</v>
      </c>
      <c r="B3166" s="5" t="s">
        <v>6028</v>
      </c>
      <c r="C3166" s="3" t="s">
        <v>5</v>
      </c>
    </row>
    <row r="3167" spans="1:3" ht="15.75" thickBot="1">
      <c r="A3167" s="6" t="s">
        <v>6029</v>
      </c>
      <c r="B3167" s="5" t="s">
        <v>6030</v>
      </c>
      <c r="C3167" s="3" t="s">
        <v>5</v>
      </c>
    </row>
    <row r="3168" spans="1:3" ht="15.75" thickBot="1">
      <c r="A3168" s="6" t="s">
        <v>6031</v>
      </c>
      <c r="B3168" s="5" t="s">
        <v>6032</v>
      </c>
      <c r="C3168" s="3" t="s">
        <v>5</v>
      </c>
    </row>
    <row r="3169" spans="1:3" ht="15.75" thickBot="1">
      <c r="A3169" s="6" t="s">
        <v>6033</v>
      </c>
      <c r="B3169" s="5" t="s">
        <v>6034</v>
      </c>
      <c r="C3169" s="3" t="s">
        <v>5</v>
      </c>
    </row>
    <row r="3170" spans="1:3" ht="26.25" thickBot="1">
      <c r="A3170" s="6" t="s">
        <v>6035</v>
      </c>
      <c r="B3170" s="5" t="s">
        <v>6036</v>
      </c>
      <c r="C3170" s="3" t="s">
        <v>5</v>
      </c>
    </row>
    <row r="3171" spans="1:3" ht="15.75" thickBot="1">
      <c r="A3171" s="6" t="s">
        <v>6037</v>
      </c>
      <c r="B3171" s="5" t="s">
        <v>6038</v>
      </c>
      <c r="C3171" s="3" t="s">
        <v>5</v>
      </c>
    </row>
    <row r="3172" spans="1:3" ht="15.75" thickBot="1">
      <c r="A3172" s="6" t="s">
        <v>6039</v>
      </c>
      <c r="B3172" s="5" t="s">
        <v>6040</v>
      </c>
      <c r="C3172" s="3" t="s">
        <v>5</v>
      </c>
    </row>
    <row r="3173" spans="1:3" ht="15.75" thickBot="1">
      <c r="A3173" s="6" t="s">
        <v>6041</v>
      </c>
      <c r="B3173" s="5" t="s">
        <v>6020</v>
      </c>
      <c r="C3173" s="3" t="s">
        <v>5</v>
      </c>
    </row>
    <row r="3174" spans="1:3" ht="15.75" thickBot="1">
      <c r="A3174" s="6" t="s">
        <v>6042</v>
      </c>
      <c r="B3174" s="5" t="s">
        <v>6043</v>
      </c>
      <c r="C3174" s="3" t="s">
        <v>5</v>
      </c>
    </row>
    <row r="3175" spans="1:3" ht="15.75" thickBot="1">
      <c r="A3175" s="6" t="s">
        <v>6044</v>
      </c>
      <c r="B3175" s="5" t="s">
        <v>6045</v>
      </c>
      <c r="C3175" s="3" t="s">
        <v>5</v>
      </c>
    </row>
    <row r="3176" spans="1:3" ht="15.75" thickBot="1">
      <c r="A3176" s="6" t="s">
        <v>6046</v>
      </c>
      <c r="B3176" s="5" t="s">
        <v>6047</v>
      </c>
      <c r="C3176" s="3" t="s">
        <v>5</v>
      </c>
    </row>
    <row r="3177" spans="1:3" ht="15.75" thickBot="1">
      <c r="A3177" s="6" t="s">
        <v>6048</v>
      </c>
      <c r="B3177" s="5" t="s">
        <v>5976</v>
      </c>
      <c r="C3177" s="3" t="s">
        <v>5</v>
      </c>
    </row>
    <row r="3178" spans="1:3" ht="15.75" thickBot="1">
      <c r="A3178" s="6" t="s">
        <v>6049</v>
      </c>
      <c r="B3178" s="5" t="s">
        <v>6050</v>
      </c>
      <c r="C3178" s="3" t="s">
        <v>5</v>
      </c>
    </row>
    <row r="3179" spans="1:3" ht="15.75" thickBot="1">
      <c r="A3179" s="6" t="s">
        <v>6051</v>
      </c>
      <c r="B3179" s="5" t="s">
        <v>6052</v>
      </c>
      <c r="C3179" s="3" t="s">
        <v>5</v>
      </c>
    </row>
    <row r="3180" spans="1:3" ht="15.75" thickBot="1">
      <c r="A3180" s="6" t="s">
        <v>6053</v>
      </c>
      <c r="B3180" s="5" t="s">
        <v>6054</v>
      </c>
      <c r="C3180" s="3" t="s">
        <v>5</v>
      </c>
    </row>
    <row r="3181" spans="1:3" ht="15.75" thickBot="1">
      <c r="A3181" s="6" t="s">
        <v>6055</v>
      </c>
      <c r="B3181" s="5" t="s">
        <v>6056</v>
      </c>
      <c r="C3181" s="3" t="s">
        <v>5</v>
      </c>
    </row>
    <row r="3182" spans="1:3" ht="15.75" thickBot="1">
      <c r="A3182" s="6" t="s">
        <v>6057</v>
      </c>
      <c r="B3182" s="5" t="s">
        <v>6058</v>
      </c>
      <c r="C3182" s="3" t="s">
        <v>5</v>
      </c>
    </row>
    <row r="3183" spans="1:3" ht="15.75" thickBot="1">
      <c r="A3183" s="6" t="s">
        <v>6059</v>
      </c>
      <c r="B3183" s="5" t="s">
        <v>6060</v>
      </c>
      <c r="C3183" s="3" t="s">
        <v>5</v>
      </c>
    </row>
    <row r="3184" spans="1:3" ht="15.75" thickBot="1">
      <c r="A3184" s="6" t="s">
        <v>6061</v>
      </c>
      <c r="B3184" s="5" t="s">
        <v>6062</v>
      </c>
      <c r="C3184" s="3" t="s">
        <v>5</v>
      </c>
    </row>
    <row r="3185" spans="1:3" ht="15.75" thickBot="1">
      <c r="A3185" s="6" t="s">
        <v>6063</v>
      </c>
      <c r="B3185" s="5" t="s">
        <v>6064</v>
      </c>
      <c r="C3185" s="3" t="s">
        <v>5</v>
      </c>
    </row>
    <row r="3186" spans="1:3" ht="15.75" thickBot="1">
      <c r="A3186" s="6" t="s">
        <v>6065</v>
      </c>
      <c r="B3186" s="5" t="s">
        <v>6066</v>
      </c>
      <c r="C3186" s="3" t="s">
        <v>5</v>
      </c>
    </row>
    <row r="3187" spans="1:3" ht="15.75" thickBot="1">
      <c r="A3187" s="6" t="s">
        <v>6067</v>
      </c>
      <c r="B3187" s="5" t="s">
        <v>6068</v>
      </c>
      <c r="C3187" s="3" t="s">
        <v>5</v>
      </c>
    </row>
    <row r="3188" spans="1:3" ht="15.75" thickBot="1">
      <c r="A3188" s="6" t="s">
        <v>6069</v>
      </c>
      <c r="B3188" s="5" t="s">
        <v>6070</v>
      </c>
      <c r="C3188" s="3" t="s">
        <v>5</v>
      </c>
    </row>
    <row r="3189" spans="1:3" ht="15.75" thickBot="1">
      <c r="A3189" s="6" t="s">
        <v>6071</v>
      </c>
      <c r="B3189" s="5" t="s">
        <v>6072</v>
      </c>
      <c r="C3189" s="3" t="s">
        <v>5</v>
      </c>
    </row>
    <row r="3190" spans="1:3" ht="15.75" thickBot="1">
      <c r="A3190" s="6" t="s">
        <v>6073</v>
      </c>
      <c r="B3190" s="5" t="s">
        <v>6074</v>
      </c>
      <c r="C3190" s="3" t="s">
        <v>5</v>
      </c>
    </row>
    <row r="3191" spans="1:3" ht="15.75" thickBot="1">
      <c r="A3191" s="6" t="s">
        <v>6075</v>
      </c>
      <c r="B3191" s="5" t="s">
        <v>6076</v>
      </c>
      <c r="C3191" s="3" t="s">
        <v>5</v>
      </c>
    </row>
    <row r="3192" spans="1:3" ht="15.75" thickBot="1">
      <c r="A3192" s="6" t="s">
        <v>6077</v>
      </c>
      <c r="B3192" s="5" t="s">
        <v>6078</v>
      </c>
      <c r="C3192" s="3" t="s">
        <v>5</v>
      </c>
    </row>
    <row r="3193" spans="1:3" ht="15.75" thickBot="1">
      <c r="A3193" s="6" t="s">
        <v>6079</v>
      </c>
      <c r="B3193" s="5" t="s">
        <v>6080</v>
      </c>
      <c r="C3193" s="3" t="s">
        <v>5</v>
      </c>
    </row>
    <row r="3194" spans="1:3" ht="15.75" thickBot="1">
      <c r="A3194" s="6" t="s">
        <v>6081</v>
      </c>
      <c r="B3194" s="5" t="s">
        <v>6082</v>
      </c>
      <c r="C3194" s="3" t="s">
        <v>5</v>
      </c>
    </row>
    <row r="3195" spans="1:3" ht="15.75" thickBot="1">
      <c r="A3195" s="6" t="s">
        <v>6083</v>
      </c>
      <c r="B3195" s="5" t="s">
        <v>6084</v>
      </c>
      <c r="C3195" s="3" t="s">
        <v>5</v>
      </c>
    </row>
    <row r="3196" spans="1:3" ht="15.75" thickBot="1">
      <c r="A3196" s="6" t="s">
        <v>6085</v>
      </c>
      <c r="B3196" s="5" t="s">
        <v>6086</v>
      </c>
      <c r="C3196" s="3" t="s">
        <v>5</v>
      </c>
    </row>
    <row r="3197" spans="1:3" ht="15.75" thickBot="1">
      <c r="A3197" s="6" t="s">
        <v>6087</v>
      </c>
      <c r="B3197" s="5" t="s">
        <v>6088</v>
      </c>
      <c r="C3197" s="3" t="s">
        <v>5</v>
      </c>
    </row>
    <row r="3198" spans="1:3" ht="15.75" thickBot="1">
      <c r="A3198" s="6" t="s">
        <v>6089</v>
      </c>
      <c r="B3198" s="5" t="s">
        <v>6090</v>
      </c>
      <c r="C3198" s="3" t="s">
        <v>5</v>
      </c>
    </row>
    <row r="3199" spans="1:3" ht="15.75" thickBot="1">
      <c r="A3199" s="6" t="s">
        <v>6091</v>
      </c>
      <c r="B3199" s="5" t="s">
        <v>6092</v>
      </c>
      <c r="C3199" s="3" t="s">
        <v>5</v>
      </c>
    </row>
    <row r="3200" spans="1:3" ht="15.75" thickBot="1">
      <c r="A3200" s="6" t="s">
        <v>6093</v>
      </c>
      <c r="B3200" s="5" t="s">
        <v>6094</v>
      </c>
      <c r="C3200" s="3" t="s">
        <v>5</v>
      </c>
    </row>
    <row r="3201" spans="1:3" ht="15.75" thickBot="1">
      <c r="A3201" s="6" t="s">
        <v>6095</v>
      </c>
      <c r="B3201" s="5" t="s">
        <v>6096</v>
      </c>
      <c r="C3201" s="3" t="s">
        <v>5</v>
      </c>
    </row>
    <row r="3202" spans="1:3" ht="15.75" thickBot="1">
      <c r="A3202" s="6" t="s">
        <v>6097</v>
      </c>
      <c r="B3202" s="5" t="s">
        <v>6098</v>
      </c>
      <c r="C3202" s="3" t="s">
        <v>5</v>
      </c>
    </row>
    <row r="3203" spans="1:3" ht="15.75" thickBot="1">
      <c r="A3203" s="6" t="s">
        <v>6099</v>
      </c>
      <c r="B3203" s="5" t="s">
        <v>6100</v>
      </c>
      <c r="C3203" s="3" t="s">
        <v>5</v>
      </c>
    </row>
    <row r="3204" spans="1:3" ht="26.25" thickBot="1">
      <c r="A3204" s="6" t="s">
        <v>6101</v>
      </c>
      <c r="B3204" s="5" t="s">
        <v>6102</v>
      </c>
      <c r="C3204" s="3" t="s">
        <v>5</v>
      </c>
    </row>
    <row r="3205" spans="1:3" ht="15.75" thickBot="1">
      <c r="A3205" s="6" t="s">
        <v>6101</v>
      </c>
      <c r="B3205" s="5" t="s">
        <v>6103</v>
      </c>
      <c r="C3205" s="3" t="s">
        <v>5</v>
      </c>
    </row>
    <row r="3206" spans="1:3" ht="15.75" thickBot="1">
      <c r="A3206" s="6" t="s">
        <v>6104</v>
      </c>
      <c r="B3206" s="5" t="s">
        <v>6105</v>
      </c>
      <c r="C3206" s="3" t="s">
        <v>5</v>
      </c>
    </row>
    <row r="3207" spans="1:3" ht="15.75" thickBot="1">
      <c r="A3207" s="6" t="s">
        <v>6106</v>
      </c>
      <c r="B3207" s="5" t="s">
        <v>6107</v>
      </c>
      <c r="C3207" s="3" t="s">
        <v>5</v>
      </c>
    </row>
    <row r="3208" spans="1:3" ht="15.75" thickBot="1">
      <c r="A3208" s="6" t="s">
        <v>6108</v>
      </c>
      <c r="B3208" s="5" t="s">
        <v>6109</v>
      </c>
      <c r="C3208" s="3" t="s">
        <v>5</v>
      </c>
    </row>
    <row r="3209" spans="1:3" ht="15.75" thickBot="1">
      <c r="A3209" s="6" t="s">
        <v>6110</v>
      </c>
      <c r="B3209" s="5" t="s">
        <v>6111</v>
      </c>
      <c r="C3209" s="3" t="s">
        <v>5</v>
      </c>
    </row>
    <row r="3210" spans="1:3" ht="15.75" thickBot="1">
      <c r="A3210" s="6" t="s">
        <v>6112</v>
      </c>
      <c r="B3210" s="5" t="s">
        <v>6113</v>
      </c>
      <c r="C3210" s="3" t="s">
        <v>5</v>
      </c>
    </row>
    <row r="3211" spans="1:3" ht="15.75" thickBot="1">
      <c r="A3211" s="6" t="s">
        <v>6114</v>
      </c>
      <c r="B3211" s="5" t="s">
        <v>6115</v>
      </c>
      <c r="C3211" s="3" t="s">
        <v>5</v>
      </c>
    </row>
    <row r="3212" spans="1:3" ht="26.25" thickBot="1">
      <c r="A3212" s="6" t="s">
        <v>6116</v>
      </c>
      <c r="B3212" s="5" t="s">
        <v>6117</v>
      </c>
      <c r="C3212" s="3" t="s">
        <v>5</v>
      </c>
    </row>
    <row r="3213" spans="1:3" ht="15.75" thickBot="1">
      <c r="A3213" s="6" t="s">
        <v>6118</v>
      </c>
      <c r="B3213" s="5" t="s">
        <v>6119</v>
      </c>
      <c r="C3213" s="3" t="s">
        <v>5</v>
      </c>
    </row>
    <row r="3214" spans="1:3" ht="15.75" thickBot="1">
      <c r="A3214" s="6" t="s">
        <v>6120</v>
      </c>
      <c r="B3214" s="5" t="s">
        <v>6121</v>
      </c>
      <c r="C3214" s="3" t="s">
        <v>5</v>
      </c>
    </row>
    <row r="3215" spans="1:3" ht="15.75" thickBot="1">
      <c r="A3215" s="6" t="s">
        <v>6122</v>
      </c>
      <c r="B3215" s="5" t="s">
        <v>6123</v>
      </c>
      <c r="C3215" s="3" t="s">
        <v>5</v>
      </c>
    </row>
    <row r="3216" spans="1:3">
      <c r="A3216" s="1" t="s">
        <v>6124</v>
      </c>
      <c r="B3216" s="2" t="s">
        <v>6125</v>
      </c>
      <c r="C3216" s="3" t="s">
        <v>5</v>
      </c>
    </row>
    <row r="3217" spans="1:3" ht="15.75" thickBot="1">
      <c r="A3217" s="4"/>
      <c r="B3217" s="5" t="s">
        <v>6126</v>
      </c>
      <c r="C3217" s="3" t="s">
        <v>5</v>
      </c>
    </row>
    <row r="3218" spans="1:3">
      <c r="A3218" s="1" t="s">
        <v>6127</v>
      </c>
      <c r="B3218" s="2" t="s">
        <v>6128</v>
      </c>
      <c r="C3218" s="3" t="s">
        <v>5</v>
      </c>
    </row>
    <row r="3219" spans="1:3" ht="15.75" thickBot="1">
      <c r="A3219" s="4"/>
      <c r="B3219" s="5" t="s">
        <v>6129</v>
      </c>
      <c r="C3219" s="3" t="s">
        <v>5</v>
      </c>
    </row>
    <row r="3220" spans="1:3" ht="15.75" thickBot="1">
      <c r="A3220" s="6" t="s">
        <v>6130</v>
      </c>
      <c r="B3220" s="5" t="e">
        <f xml:space="preserve"> fixed capacitor</f>
        <v>#NAME?</v>
      </c>
      <c r="C3220" s="3" t="s">
        <v>5</v>
      </c>
    </row>
    <row r="3221" spans="1:3" ht="15.75" thickBot="1">
      <c r="A3221" s="6" t="s">
        <v>6131</v>
      </c>
      <c r="B3221" s="5" t="s">
        <v>6132</v>
      </c>
      <c r="C3221" s="3" t="s">
        <v>5</v>
      </c>
    </row>
    <row r="3222" spans="1:3" ht="15.75" thickBot="1">
      <c r="A3222" s="6" t="s">
        <v>6133</v>
      </c>
      <c r="B3222" s="5" t="s">
        <v>6134</v>
      </c>
      <c r="C3222" s="3" t="s">
        <v>5</v>
      </c>
    </row>
    <row r="3223" spans="1:3" ht="15.75" thickBot="1">
      <c r="A3223" s="6" t="s">
        <v>6135</v>
      </c>
      <c r="B3223" s="5" t="s">
        <v>6136</v>
      </c>
      <c r="C3223" s="3" t="s">
        <v>5</v>
      </c>
    </row>
    <row r="3224" spans="1:3" ht="15.75" thickBot="1">
      <c r="A3224" s="6" t="s">
        <v>6137</v>
      </c>
      <c r="B3224" s="5" t="s">
        <v>6138</v>
      </c>
      <c r="C3224" s="3" t="s">
        <v>5</v>
      </c>
    </row>
    <row r="3225" spans="1:3" ht="15.75" thickBot="1">
      <c r="A3225" s="6" t="s">
        <v>6139</v>
      </c>
      <c r="B3225" s="5" t="s">
        <v>6140</v>
      </c>
      <c r="C3225" s="3" t="s">
        <v>5</v>
      </c>
    </row>
    <row r="3226" spans="1:3" ht="15.75" thickBot="1">
      <c r="A3226" s="6" t="s">
        <v>6141</v>
      </c>
      <c r="B3226" s="5" t="e">
        <f xml:space="preserve"> constant time lag</f>
        <v>#NAME?</v>
      </c>
      <c r="C3226" s="3" t="s">
        <v>5</v>
      </c>
    </row>
    <row r="3227" spans="1:3" ht="15.75" thickBot="1">
      <c r="A3227" s="6" t="s">
        <v>6142</v>
      </c>
      <c r="B3227" s="5" t="s">
        <v>6143</v>
      </c>
      <c r="C3227" s="3" t="s">
        <v>5</v>
      </c>
    </row>
    <row r="3228" spans="1:3" ht="15.75" thickBot="1">
      <c r="A3228" s="6" t="s">
        <v>6144</v>
      </c>
      <c r="B3228" s="5" t="s">
        <v>6145</v>
      </c>
      <c r="C3228" s="3" t="s">
        <v>5</v>
      </c>
    </row>
    <row r="3229" spans="1:3" ht="15.75" thickBot="1">
      <c r="A3229" s="6" t="s">
        <v>6146</v>
      </c>
      <c r="B3229" s="5" t="s">
        <v>6147</v>
      </c>
      <c r="C3229" s="3" t="s">
        <v>5</v>
      </c>
    </row>
    <row r="3230" spans="1:3" ht="15.75" thickBot="1">
      <c r="A3230" s="6" t="s">
        <v>6148</v>
      </c>
      <c r="B3230" s="5" t="s">
        <v>6149</v>
      </c>
      <c r="C3230" s="3" t="s">
        <v>5</v>
      </c>
    </row>
    <row r="3231" spans="1:3" ht="15.75" thickBot="1">
      <c r="A3231" s="6" t="s">
        <v>6150</v>
      </c>
      <c r="B3231" s="5" t="s">
        <v>6151</v>
      </c>
      <c r="C3231" s="3" t="s">
        <v>5</v>
      </c>
    </row>
    <row r="3232" spans="1:3" ht="15.75" thickBot="1">
      <c r="A3232" s="6" t="s">
        <v>6152</v>
      </c>
      <c r="B3232" s="5" t="s">
        <v>6153</v>
      </c>
      <c r="C3232" s="3" t="s">
        <v>5</v>
      </c>
    </row>
    <row r="3233" spans="1:3" ht="15.75" thickBot="1">
      <c r="A3233" s="6" t="s">
        <v>6154</v>
      </c>
      <c r="B3233" s="5" t="s">
        <v>6155</v>
      </c>
      <c r="C3233" s="3" t="s">
        <v>5</v>
      </c>
    </row>
    <row r="3234" spans="1:3">
      <c r="A3234" s="1" t="s">
        <v>6156</v>
      </c>
      <c r="B3234" s="2" t="s">
        <v>6157</v>
      </c>
      <c r="C3234" s="3" t="s">
        <v>5</v>
      </c>
    </row>
    <row r="3235" spans="1:3" ht="15.75" thickBot="1">
      <c r="A3235" s="4"/>
      <c r="B3235" s="5" t="e">
        <f xml:space="preserve"> flash light lamp</f>
        <v>#NAME?</v>
      </c>
      <c r="C3235" s="3" t="s">
        <v>5</v>
      </c>
    </row>
    <row r="3236" spans="1:3" ht="15.75" thickBot="1">
      <c r="A3236" s="6" t="s">
        <v>6158</v>
      </c>
      <c r="B3236" s="5" t="s">
        <v>6159</v>
      </c>
      <c r="C3236" s="3" t="s">
        <v>5</v>
      </c>
    </row>
    <row r="3237" spans="1:3" ht="15.75" thickBot="1">
      <c r="A3237" s="6" t="s">
        <v>6160</v>
      </c>
      <c r="B3237" s="5" t="s">
        <v>6161</v>
      </c>
      <c r="C3237" s="3" t="s">
        <v>5</v>
      </c>
    </row>
    <row r="3238" spans="1:3" ht="15.75" thickBot="1">
      <c r="A3238" s="6" t="s">
        <v>6162</v>
      </c>
      <c r="B3238" s="5" t="s">
        <v>6163</v>
      </c>
      <c r="C3238" s="3" t="s">
        <v>5</v>
      </c>
    </row>
    <row r="3239" spans="1:3" ht="15.75" thickBot="1">
      <c r="A3239" s="6" t="s">
        <v>6164</v>
      </c>
      <c r="B3239" s="5" t="s">
        <v>6165</v>
      </c>
      <c r="C3239" s="3" t="s">
        <v>5</v>
      </c>
    </row>
    <row r="3240" spans="1:3" ht="15.75" thickBot="1">
      <c r="A3240" s="6" t="s">
        <v>6166</v>
      </c>
      <c r="B3240" s="5" t="s">
        <v>6167</v>
      </c>
      <c r="C3240" s="3" t="s">
        <v>5</v>
      </c>
    </row>
    <row r="3241" spans="1:3" ht="15.75" thickBot="1">
      <c r="A3241" s="6" t="s">
        <v>6168</v>
      </c>
      <c r="B3241" s="5" t="e">
        <f xml:space="preserve"> sparkover test</f>
        <v>#NAME?</v>
      </c>
      <c r="C3241" s="3" t="s">
        <v>5</v>
      </c>
    </row>
    <row r="3242" spans="1:3" ht="15.75" thickBot="1">
      <c r="A3242" s="6" t="s">
        <v>6169</v>
      </c>
      <c r="B3242" s="5" t="s">
        <v>6170</v>
      </c>
      <c r="C3242" s="3" t="s">
        <v>5</v>
      </c>
    </row>
    <row r="3243" spans="1:3" ht="15.75" thickBot="1">
      <c r="A3243" s="6" t="s">
        <v>6171</v>
      </c>
      <c r="B3243" s="5" t="s">
        <v>6172</v>
      </c>
      <c r="C3243" s="3" t="s">
        <v>5</v>
      </c>
    </row>
    <row r="3244" spans="1:3" ht="15.75" thickBot="1">
      <c r="A3244" s="6" t="s">
        <v>6173</v>
      </c>
      <c r="B3244" s="5" t="s">
        <v>6174</v>
      </c>
      <c r="C3244" s="3" t="s">
        <v>5</v>
      </c>
    </row>
    <row r="3245" spans="1:3" ht="15.75" thickBot="1">
      <c r="A3245" s="6" t="s">
        <v>6175</v>
      </c>
      <c r="B3245" s="5" t="s">
        <v>6176</v>
      </c>
      <c r="C3245" s="3" t="s">
        <v>5</v>
      </c>
    </row>
    <row r="3246" spans="1:3">
      <c r="A3246" s="1" t="s">
        <v>6177</v>
      </c>
      <c r="B3246" s="2" t="s">
        <v>6178</v>
      </c>
      <c r="C3246" s="3" t="s">
        <v>5</v>
      </c>
    </row>
    <row r="3247" spans="1:3" ht="15.75" thickBot="1">
      <c r="A3247" s="4"/>
      <c r="B3247" s="5" t="s">
        <v>6179</v>
      </c>
      <c r="C3247" s="3" t="s">
        <v>5</v>
      </c>
    </row>
    <row r="3248" spans="1:3" ht="15.75" thickBot="1">
      <c r="A3248" s="6" t="s">
        <v>6180</v>
      </c>
      <c r="B3248" s="5" t="s">
        <v>6181</v>
      </c>
      <c r="C3248" s="3" t="s">
        <v>5</v>
      </c>
    </row>
    <row r="3249" spans="1:3" ht="15.75" thickBot="1">
      <c r="A3249" s="6" t="s">
        <v>6182</v>
      </c>
      <c r="B3249" s="5" t="s">
        <v>6183</v>
      </c>
      <c r="C3249" s="3" t="s">
        <v>5</v>
      </c>
    </row>
    <row r="3250" spans="1:3" ht="15.75" thickBot="1">
      <c r="A3250" s="6" t="s">
        <v>6184</v>
      </c>
      <c r="B3250" s="5" t="s">
        <v>6185</v>
      </c>
      <c r="C3250" s="3" t="s">
        <v>5</v>
      </c>
    </row>
    <row r="3251" spans="1:3" ht="15.75" thickBot="1">
      <c r="A3251" s="6" t="s">
        <v>6186</v>
      </c>
      <c r="B3251" s="5" t="s">
        <v>6187</v>
      </c>
      <c r="C3251" s="3" t="s">
        <v>5</v>
      </c>
    </row>
    <row r="3252" spans="1:3" ht="15.75" thickBot="1">
      <c r="A3252" s="6" t="s">
        <v>6188</v>
      </c>
      <c r="B3252" s="5" t="s">
        <v>6189</v>
      </c>
      <c r="C3252" s="3" t="s">
        <v>5</v>
      </c>
    </row>
    <row r="3253" spans="1:3" ht="15.75" thickBot="1">
      <c r="A3253" s="6" t="s">
        <v>6190</v>
      </c>
      <c r="B3253" s="5" t="s">
        <v>6191</v>
      </c>
      <c r="C3253" s="3" t="s">
        <v>5</v>
      </c>
    </row>
    <row r="3254" spans="1:3" ht="15.75" thickBot="1">
      <c r="A3254" s="6" t="s">
        <v>6192</v>
      </c>
      <c r="B3254" s="5" t="s">
        <v>6193</v>
      </c>
      <c r="C3254" s="3" t="s">
        <v>5</v>
      </c>
    </row>
    <row r="3255" spans="1:3" ht="15.75" thickBot="1">
      <c r="A3255" s="6" t="s">
        <v>6194</v>
      </c>
      <c r="B3255" s="5" t="s">
        <v>6195</v>
      </c>
      <c r="C3255" s="3" t="s">
        <v>5</v>
      </c>
    </row>
    <row r="3256" spans="1:3" ht="15.75" thickBot="1">
      <c r="A3256" s="6" t="s">
        <v>6196</v>
      </c>
      <c r="B3256" s="5" t="s">
        <v>6197</v>
      </c>
      <c r="C3256" s="3" t="s">
        <v>5</v>
      </c>
    </row>
    <row r="3257" spans="1:3" ht="15.75" thickBot="1">
      <c r="A3257" s="6" t="s">
        <v>6198</v>
      </c>
      <c r="B3257" s="5" t="s">
        <v>6199</v>
      </c>
      <c r="C3257" s="3" t="s">
        <v>5</v>
      </c>
    </row>
    <row r="3258" spans="1:3" ht="15.75" thickBot="1">
      <c r="A3258" s="6" t="s">
        <v>6200</v>
      </c>
      <c r="B3258" s="5" t="s">
        <v>6201</v>
      </c>
      <c r="C3258" s="3" t="s">
        <v>5</v>
      </c>
    </row>
    <row r="3259" spans="1:3" ht="15.75" thickBot="1">
      <c r="A3259" s="6" t="s">
        <v>6202</v>
      </c>
      <c r="B3259" s="5" t="s">
        <v>6203</v>
      </c>
      <c r="C3259" s="3" t="s">
        <v>5</v>
      </c>
    </row>
    <row r="3260" spans="1:3" ht="15.75" thickBot="1">
      <c r="A3260" s="6" t="s">
        <v>6204</v>
      </c>
      <c r="B3260" s="5" t="s">
        <v>6205</v>
      </c>
      <c r="C3260" s="3" t="s">
        <v>5</v>
      </c>
    </row>
    <row r="3261" spans="1:3" ht="15.75" thickBot="1">
      <c r="A3261" s="6" t="s">
        <v>6206</v>
      </c>
      <c r="B3261" s="5" t="s">
        <v>6207</v>
      </c>
      <c r="C3261" s="3" t="s">
        <v>5</v>
      </c>
    </row>
    <row r="3262" spans="1:3" ht="15.75" thickBot="1">
      <c r="A3262" s="6" t="s">
        <v>6208</v>
      </c>
      <c r="B3262" s="5" t="s">
        <v>6209</v>
      </c>
      <c r="C3262" s="3" t="s">
        <v>5</v>
      </c>
    </row>
    <row r="3263" spans="1:3" ht="15.75" thickBot="1">
      <c r="A3263" s="6" t="s">
        <v>6210</v>
      </c>
      <c r="B3263" s="5" t="s">
        <v>6211</v>
      </c>
      <c r="C3263" s="3" t="s">
        <v>5</v>
      </c>
    </row>
    <row r="3264" spans="1:3" ht="15.75" thickBot="1">
      <c r="A3264" s="6" t="s">
        <v>6212</v>
      </c>
      <c r="B3264" s="5" t="s">
        <v>6213</v>
      </c>
      <c r="C3264" s="3" t="s">
        <v>5</v>
      </c>
    </row>
    <row r="3265" spans="1:3">
      <c r="A3265" s="1" t="s">
        <v>6214</v>
      </c>
      <c r="B3265" s="2" t="s">
        <v>6215</v>
      </c>
      <c r="C3265" s="3" t="s">
        <v>5</v>
      </c>
    </row>
    <row r="3266" spans="1:3" ht="15.75" thickBot="1">
      <c r="A3266" s="4"/>
      <c r="B3266" s="5" t="s">
        <v>3774</v>
      </c>
      <c r="C3266" s="3" t="s">
        <v>5</v>
      </c>
    </row>
    <row r="3267" spans="1:3" ht="15.75" thickBot="1">
      <c r="A3267" s="6" t="s">
        <v>6216</v>
      </c>
      <c r="B3267" s="5" t="s">
        <v>6217</v>
      </c>
      <c r="C3267" s="3" t="s">
        <v>5</v>
      </c>
    </row>
    <row r="3268" spans="1:3" ht="15.75" thickBot="1">
      <c r="A3268" s="6" t="s">
        <v>6218</v>
      </c>
      <c r="B3268" s="5" t="s">
        <v>6219</v>
      </c>
      <c r="C3268" s="3" t="s">
        <v>5</v>
      </c>
    </row>
    <row r="3269" spans="1:3">
      <c r="A3269" s="1" t="s">
        <v>6220</v>
      </c>
      <c r="B3269" s="2" t="s">
        <v>6221</v>
      </c>
      <c r="C3269" s="3" t="s">
        <v>5</v>
      </c>
    </row>
    <row r="3270" spans="1:3" ht="15.75" thickBot="1">
      <c r="A3270" s="4"/>
      <c r="B3270" s="5" t="s">
        <v>1997</v>
      </c>
      <c r="C3270" s="3" t="s">
        <v>5</v>
      </c>
    </row>
    <row r="3271" spans="1:3" ht="15.75" thickBot="1">
      <c r="A3271" s="6" t="s">
        <v>6222</v>
      </c>
      <c r="B3271" s="5" t="s">
        <v>6223</v>
      </c>
      <c r="C3271" s="3" t="s">
        <v>5</v>
      </c>
    </row>
    <row r="3272" spans="1:3" ht="15.75" thickBot="1">
      <c r="A3272" s="6" t="s">
        <v>6224</v>
      </c>
      <c r="B3272" s="5" t="s">
        <v>6225</v>
      </c>
      <c r="C3272" s="3" t="s">
        <v>5</v>
      </c>
    </row>
    <row r="3273" spans="1:3" ht="15.75" thickBot="1">
      <c r="A3273" s="6" t="s">
        <v>6226</v>
      </c>
      <c r="B3273" s="5" t="s">
        <v>6227</v>
      </c>
      <c r="C3273" s="3" t="s">
        <v>5</v>
      </c>
    </row>
    <row r="3274" spans="1:3" ht="15.75" thickBot="1">
      <c r="A3274" s="6" t="s">
        <v>6228</v>
      </c>
      <c r="B3274" s="5" t="s">
        <v>6229</v>
      </c>
      <c r="C3274" s="3" t="s">
        <v>5</v>
      </c>
    </row>
    <row r="3275" spans="1:3" ht="15.75" thickBot="1">
      <c r="A3275" s="6" t="s">
        <v>6230</v>
      </c>
      <c r="B3275" s="5" t="s">
        <v>6231</v>
      </c>
      <c r="C3275" s="3" t="s">
        <v>5</v>
      </c>
    </row>
    <row r="3276" spans="1:3" ht="15.75" thickBot="1">
      <c r="A3276" s="6" t="s">
        <v>6232</v>
      </c>
      <c r="B3276" s="5" t="s">
        <v>6233</v>
      </c>
      <c r="C3276" s="3" t="s">
        <v>5</v>
      </c>
    </row>
    <row r="3277" spans="1:3" ht="15.75" thickBot="1">
      <c r="A3277" s="6" t="s">
        <v>6234</v>
      </c>
      <c r="B3277" s="5" t="s">
        <v>6235</v>
      </c>
      <c r="C3277" s="3" t="s">
        <v>5</v>
      </c>
    </row>
    <row r="3278" spans="1:3" ht="15.75" thickBot="1">
      <c r="A3278" s="6" t="s">
        <v>6236</v>
      </c>
      <c r="B3278" s="5" t="s">
        <v>6237</v>
      </c>
      <c r="C3278" s="3" t="s">
        <v>5</v>
      </c>
    </row>
    <row r="3279" spans="1:3" ht="15.75" thickBot="1">
      <c r="A3279" s="6" t="s">
        <v>6238</v>
      </c>
      <c r="B3279" s="5" t="s">
        <v>4068</v>
      </c>
      <c r="C3279" s="3" t="s">
        <v>5</v>
      </c>
    </row>
    <row r="3280" spans="1:3" ht="15.75" thickBot="1">
      <c r="A3280" s="6" t="s">
        <v>6239</v>
      </c>
      <c r="B3280" s="5" t="s">
        <v>6240</v>
      </c>
      <c r="C3280" s="3" t="s">
        <v>5</v>
      </c>
    </row>
    <row r="3281" spans="1:3" ht="15.75" thickBot="1">
      <c r="A3281" s="6" t="s">
        <v>6241</v>
      </c>
      <c r="B3281" s="5" t="s">
        <v>6242</v>
      </c>
      <c r="C3281" s="3" t="s">
        <v>5</v>
      </c>
    </row>
    <row r="3282" spans="1:3" ht="15.75" thickBot="1">
      <c r="A3282" s="6" t="s">
        <v>6243</v>
      </c>
      <c r="B3282" s="5" t="s">
        <v>6244</v>
      </c>
      <c r="C3282" s="3" t="s">
        <v>5</v>
      </c>
    </row>
    <row r="3283" spans="1:3" ht="15.75" thickBot="1">
      <c r="A3283" s="6" t="s">
        <v>6245</v>
      </c>
      <c r="B3283" s="5" t="s">
        <v>6246</v>
      </c>
      <c r="C3283" s="3" t="s">
        <v>5</v>
      </c>
    </row>
    <row r="3284" spans="1:3" ht="15.75" thickBot="1">
      <c r="A3284" s="6" t="s">
        <v>6247</v>
      </c>
      <c r="B3284" s="5" t="s">
        <v>6248</v>
      </c>
      <c r="C3284" s="3" t="s">
        <v>5</v>
      </c>
    </row>
    <row r="3285" spans="1:3" ht="15.75" thickBot="1">
      <c r="A3285" s="6" t="s">
        <v>6249</v>
      </c>
      <c r="B3285" s="5" t="s">
        <v>6250</v>
      </c>
      <c r="C3285" s="3" t="s">
        <v>5</v>
      </c>
    </row>
    <row r="3286" spans="1:3" ht="15.75" thickBot="1">
      <c r="A3286" s="6" t="s">
        <v>6251</v>
      </c>
      <c r="B3286" s="5" t="s">
        <v>6252</v>
      </c>
      <c r="C3286" s="3" t="s">
        <v>5</v>
      </c>
    </row>
    <row r="3287" spans="1:3" ht="15.75" thickBot="1">
      <c r="A3287" s="6" t="s">
        <v>6253</v>
      </c>
      <c r="B3287" s="5" t="s">
        <v>6254</v>
      </c>
      <c r="C3287" s="3" t="s">
        <v>5</v>
      </c>
    </row>
    <row r="3288" spans="1:3" ht="15.75" thickBot="1">
      <c r="A3288" s="6" t="s">
        <v>6255</v>
      </c>
      <c r="B3288" s="5" t="s">
        <v>6256</v>
      </c>
      <c r="C3288" s="3" t="s">
        <v>5</v>
      </c>
    </row>
    <row r="3289" spans="1:3" ht="15.75" thickBot="1">
      <c r="A3289" s="6" t="s">
        <v>6257</v>
      </c>
      <c r="B3289" s="5" t="s">
        <v>6258</v>
      </c>
      <c r="C3289" s="3" t="s">
        <v>5</v>
      </c>
    </row>
    <row r="3290" spans="1:3" ht="15.75" thickBot="1">
      <c r="A3290" s="6" t="s">
        <v>6259</v>
      </c>
      <c r="B3290" s="5" t="s">
        <v>6260</v>
      </c>
      <c r="C3290" s="3" t="s">
        <v>5</v>
      </c>
    </row>
    <row r="3291" spans="1:3" ht="15.75" thickBot="1">
      <c r="A3291" s="6" t="s">
        <v>6261</v>
      </c>
      <c r="B3291" s="5" t="s">
        <v>6262</v>
      </c>
      <c r="C3291" s="3" t="s">
        <v>5</v>
      </c>
    </row>
    <row r="3292" spans="1:3" ht="15.75" thickBot="1">
      <c r="A3292" s="6" t="s">
        <v>6263</v>
      </c>
      <c r="B3292" s="5" t="s">
        <v>6264</v>
      </c>
      <c r="C3292" s="3" t="s">
        <v>5</v>
      </c>
    </row>
    <row r="3293" spans="1:3" ht="15.75" thickBot="1">
      <c r="A3293" s="6" t="s">
        <v>6265</v>
      </c>
      <c r="B3293" s="5" t="s">
        <v>6266</v>
      </c>
      <c r="C3293" s="3" t="s">
        <v>5</v>
      </c>
    </row>
    <row r="3294" spans="1:3" ht="15.75" thickBot="1">
      <c r="A3294" s="6" t="s">
        <v>6267</v>
      </c>
      <c r="B3294" s="5" t="s">
        <v>6268</v>
      </c>
      <c r="C3294" s="3" t="s">
        <v>5</v>
      </c>
    </row>
    <row r="3295" spans="1:3" ht="15.75" thickBot="1">
      <c r="A3295" s="6" t="s">
        <v>6269</v>
      </c>
      <c r="B3295" s="5" t="s">
        <v>6270</v>
      </c>
      <c r="C3295" s="3" t="s">
        <v>5</v>
      </c>
    </row>
    <row r="3296" spans="1:3" ht="15.75" thickBot="1">
      <c r="A3296" s="6" t="s">
        <v>6271</v>
      </c>
      <c r="B3296" s="5" t="s">
        <v>6272</v>
      </c>
      <c r="C3296" s="3" t="s">
        <v>5</v>
      </c>
    </row>
    <row r="3297" spans="1:3" ht="15.75" thickBot="1">
      <c r="A3297" s="6" t="s">
        <v>6273</v>
      </c>
      <c r="B3297" s="5" t="s">
        <v>6274</v>
      </c>
      <c r="C3297" s="3" t="s">
        <v>5</v>
      </c>
    </row>
    <row r="3298" spans="1:3" ht="15.75" thickBot="1">
      <c r="A3298" s="6" t="s">
        <v>6275</v>
      </c>
      <c r="B3298" s="5" t="s">
        <v>6276</v>
      </c>
      <c r="C3298" s="3" t="s">
        <v>5</v>
      </c>
    </row>
    <row r="3299" spans="1:3" ht="15.75" thickBot="1">
      <c r="A3299" s="6" t="s">
        <v>6277</v>
      </c>
      <c r="B3299" s="5" t="s">
        <v>6278</v>
      </c>
      <c r="C3299" s="3" t="s">
        <v>5</v>
      </c>
    </row>
    <row r="3300" spans="1:3" ht="15.75" thickBot="1">
      <c r="A3300" s="6" t="s">
        <v>6279</v>
      </c>
      <c r="B3300" s="5" t="s">
        <v>6280</v>
      </c>
      <c r="C3300" s="3" t="s">
        <v>5</v>
      </c>
    </row>
    <row r="3301" spans="1:3" ht="15.75" thickBot="1">
      <c r="A3301" s="6" t="s">
        <v>6281</v>
      </c>
      <c r="B3301" s="5" t="s">
        <v>6282</v>
      </c>
      <c r="C3301" s="3" t="s">
        <v>5</v>
      </c>
    </row>
    <row r="3302" spans="1:3" ht="15.75" thickBot="1">
      <c r="A3302" s="6" t="s">
        <v>6283</v>
      </c>
      <c r="B3302" s="5" t="s">
        <v>6284</v>
      </c>
      <c r="C3302" s="3" t="s">
        <v>5</v>
      </c>
    </row>
    <row r="3303" spans="1:3" ht="15.75" thickBot="1">
      <c r="A3303" s="6" t="s">
        <v>6285</v>
      </c>
      <c r="B3303" s="5" t="s">
        <v>6286</v>
      </c>
      <c r="C3303" s="3" t="s">
        <v>5</v>
      </c>
    </row>
    <row r="3304" spans="1:3" ht="15.75" thickBot="1">
      <c r="A3304" s="6" t="s">
        <v>6287</v>
      </c>
      <c r="B3304" s="5" t="s">
        <v>6288</v>
      </c>
      <c r="C3304" s="3" t="s">
        <v>5</v>
      </c>
    </row>
    <row r="3305" spans="1:3" ht="15.75" thickBot="1">
      <c r="A3305" s="6" t="s">
        <v>6289</v>
      </c>
      <c r="B3305" s="5" t="s">
        <v>6290</v>
      </c>
      <c r="C3305" s="3" t="s">
        <v>5</v>
      </c>
    </row>
    <row r="3306" spans="1:3" ht="15.75" thickBot="1">
      <c r="A3306" s="6" t="s">
        <v>6291</v>
      </c>
      <c r="B3306" s="5" t="s">
        <v>6292</v>
      </c>
      <c r="C3306" s="3" t="s">
        <v>5</v>
      </c>
    </row>
    <row r="3307" spans="1:3" ht="15.75" thickBot="1">
      <c r="A3307" s="6" t="s">
        <v>6293</v>
      </c>
      <c r="B3307" s="5" t="s">
        <v>6294</v>
      </c>
      <c r="C3307" s="3" t="s">
        <v>5</v>
      </c>
    </row>
    <row r="3308" spans="1:3" ht="15.75" thickBot="1">
      <c r="A3308" s="6" t="s">
        <v>6295</v>
      </c>
      <c r="B3308" s="5" t="s">
        <v>6296</v>
      </c>
      <c r="C3308" s="3" t="s">
        <v>5</v>
      </c>
    </row>
    <row r="3309" spans="1:3" ht="15.75" thickBot="1">
      <c r="A3309" s="6" t="s">
        <v>6297</v>
      </c>
      <c r="B3309" s="5" t="s">
        <v>6298</v>
      </c>
      <c r="C3309" s="3" t="s">
        <v>5</v>
      </c>
    </row>
    <row r="3310" spans="1:3" ht="15.75" thickBot="1">
      <c r="A3310" s="6" t="s">
        <v>6299</v>
      </c>
      <c r="B3310" s="5" t="s">
        <v>6300</v>
      </c>
      <c r="C3310" s="3" t="s">
        <v>5</v>
      </c>
    </row>
    <row r="3311" spans="1:3" ht="15.75" thickBot="1">
      <c r="A3311" s="6" t="s">
        <v>6301</v>
      </c>
      <c r="B3311" s="5" t="s">
        <v>6302</v>
      </c>
      <c r="C3311" s="3" t="s">
        <v>5</v>
      </c>
    </row>
    <row r="3312" spans="1:3" ht="15.75" thickBot="1">
      <c r="A3312" s="6" t="s">
        <v>6303</v>
      </c>
      <c r="B3312" s="5" t="s">
        <v>6304</v>
      </c>
      <c r="C3312" s="3" t="s">
        <v>5</v>
      </c>
    </row>
    <row r="3313" spans="1:3" ht="15.75" thickBot="1">
      <c r="A3313" s="6" t="s">
        <v>6305</v>
      </c>
      <c r="B3313" s="5" t="s">
        <v>6306</v>
      </c>
      <c r="C3313" s="3" t="s">
        <v>5</v>
      </c>
    </row>
    <row r="3314" spans="1:3" ht="15.75" thickBot="1">
      <c r="A3314" s="6" t="s">
        <v>6307</v>
      </c>
      <c r="B3314" s="5" t="s">
        <v>6308</v>
      </c>
      <c r="C3314" s="3" t="s">
        <v>5</v>
      </c>
    </row>
    <row r="3315" spans="1:3" ht="15.75" thickBot="1">
      <c r="A3315" s="6" t="s">
        <v>6309</v>
      </c>
      <c r="B3315" s="5" t="s">
        <v>6310</v>
      </c>
      <c r="C3315" s="3" t="s">
        <v>5</v>
      </c>
    </row>
    <row r="3316" spans="1:3" ht="15.75" thickBot="1">
      <c r="A3316" s="6" t="s">
        <v>6311</v>
      </c>
      <c r="B3316" s="5" t="s">
        <v>6312</v>
      </c>
      <c r="C3316" s="3" t="s">
        <v>5</v>
      </c>
    </row>
    <row r="3317" spans="1:3" ht="15.75" thickBot="1">
      <c r="A3317" s="6" t="s">
        <v>6313</v>
      </c>
      <c r="B3317" s="5" t="s">
        <v>6314</v>
      </c>
      <c r="C3317" s="3" t="s">
        <v>5</v>
      </c>
    </row>
    <row r="3318" spans="1:3" ht="15.75" thickBot="1">
      <c r="A3318" s="6" t="s">
        <v>6315</v>
      </c>
      <c r="B3318" s="5" t="s">
        <v>6316</v>
      </c>
      <c r="C3318" s="3" t="s">
        <v>5</v>
      </c>
    </row>
    <row r="3319" spans="1:3" ht="15.75" thickBot="1">
      <c r="A3319" s="6" t="s">
        <v>6317</v>
      </c>
      <c r="B3319" s="5" t="s">
        <v>6318</v>
      </c>
      <c r="C3319" s="3" t="s">
        <v>5</v>
      </c>
    </row>
    <row r="3320" spans="1:3" ht="15.75" thickBot="1">
      <c r="A3320" s="6" t="s">
        <v>6319</v>
      </c>
      <c r="B3320" s="5" t="s">
        <v>6320</v>
      </c>
      <c r="C3320" s="3" t="s">
        <v>5</v>
      </c>
    </row>
    <row r="3321" spans="1:3" ht="15.75" thickBot="1">
      <c r="A3321" s="6" t="s">
        <v>6321</v>
      </c>
      <c r="B3321" s="5" t="s">
        <v>6322</v>
      </c>
      <c r="C3321" s="3" t="s">
        <v>5</v>
      </c>
    </row>
    <row r="3322" spans="1:3">
      <c r="A3322" s="1" t="s">
        <v>6323</v>
      </c>
      <c r="B3322" s="2" t="s">
        <v>6324</v>
      </c>
      <c r="C3322" s="3" t="s">
        <v>5</v>
      </c>
    </row>
    <row r="3323" spans="1:3" ht="15.75" thickBot="1">
      <c r="A3323" s="4"/>
      <c r="B3323" s="5" t="s">
        <v>6325</v>
      </c>
      <c r="C3323" s="3" t="s">
        <v>5</v>
      </c>
    </row>
    <row r="3324" spans="1:3">
      <c r="A3324" s="1" t="s">
        <v>6326</v>
      </c>
      <c r="B3324" s="2" t="s">
        <v>6327</v>
      </c>
      <c r="C3324" s="3" t="s">
        <v>5</v>
      </c>
    </row>
    <row r="3325" spans="1:3" ht="15.75" thickBot="1">
      <c r="A3325" s="4"/>
      <c r="B3325" s="5" t="s">
        <v>6328</v>
      </c>
      <c r="C3325" s="3" t="s">
        <v>5</v>
      </c>
    </row>
    <row r="3326" spans="1:3" ht="15.75" thickBot="1">
      <c r="A3326" s="6" t="s">
        <v>6329</v>
      </c>
      <c r="B3326" s="5" t="e">
        <f xml:space="preserve"> forward lead</f>
        <v>#NAME?</v>
      </c>
      <c r="C3326" s="3" t="s">
        <v>5</v>
      </c>
    </row>
    <row r="3327" spans="1:3" ht="15.75" thickBot="1">
      <c r="A3327" s="6" t="s">
        <v>6330</v>
      </c>
      <c r="B3327" s="5" t="s">
        <v>6331</v>
      </c>
      <c r="C3327" s="3" t="s">
        <v>5</v>
      </c>
    </row>
    <row r="3328" spans="1:3" ht="15.75" thickBot="1">
      <c r="A3328" s="6" t="s">
        <v>6332</v>
      </c>
      <c r="B3328" s="5" t="s">
        <v>6333</v>
      </c>
      <c r="C3328" s="3" t="s">
        <v>5</v>
      </c>
    </row>
    <row r="3329" spans="1:3" ht="15.75" thickBot="1">
      <c r="A3329" s="6" t="s">
        <v>6334</v>
      </c>
      <c r="B3329" s="5" t="s">
        <v>6335</v>
      </c>
      <c r="C3329" s="3" t="s">
        <v>5</v>
      </c>
    </row>
    <row r="3330" spans="1:3" ht="15.75" thickBot="1">
      <c r="A3330" s="6" t="s">
        <v>6336</v>
      </c>
      <c r="B3330" s="5" t="s">
        <v>6337</v>
      </c>
      <c r="C3330" s="3" t="s">
        <v>5</v>
      </c>
    </row>
    <row r="3331" spans="1:3" ht="15.75" thickBot="1">
      <c r="A3331" s="6" t="s">
        <v>6338</v>
      </c>
      <c r="B3331" s="5" t="s">
        <v>6339</v>
      </c>
      <c r="C3331" s="3" t="s">
        <v>5</v>
      </c>
    </row>
    <row r="3332" spans="1:3" ht="15.75" thickBot="1">
      <c r="A3332" s="6" t="s">
        <v>6340</v>
      </c>
      <c r="B3332" s="5" t="s">
        <v>6341</v>
      </c>
      <c r="C3332" s="3" t="s">
        <v>5</v>
      </c>
    </row>
    <row r="3333" spans="1:3" ht="15.75" thickBot="1">
      <c r="A3333" s="6" t="s">
        <v>6342</v>
      </c>
      <c r="B3333" s="5" t="s">
        <v>6343</v>
      </c>
      <c r="C3333" s="3" t="s">
        <v>5</v>
      </c>
    </row>
    <row r="3334" spans="1:3" ht="15.75" thickBot="1">
      <c r="A3334" s="6" t="s">
        <v>6344</v>
      </c>
      <c r="B3334" s="5" t="s">
        <v>6345</v>
      </c>
      <c r="C3334" s="3" t="s">
        <v>5</v>
      </c>
    </row>
    <row r="3335" spans="1:3" ht="15.75" thickBot="1">
      <c r="A3335" s="6" t="s">
        <v>6346</v>
      </c>
      <c r="B3335" s="5" t="s">
        <v>6347</v>
      </c>
      <c r="C3335" s="3" t="s">
        <v>5</v>
      </c>
    </row>
    <row r="3336" spans="1:3" ht="15.75" thickBot="1">
      <c r="A3336" s="6" t="s">
        <v>6348</v>
      </c>
      <c r="B3336" s="5" t="s">
        <v>6349</v>
      </c>
      <c r="C3336" s="3" t="s">
        <v>5</v>
      </c>
    </row>
    <row r="3337" spans="1:3" ht="15.75" thickBot="1">
      <c r="A3337" s="6" t="s">
        <v>6350</v>
      </c>
      <c r="B3337" s="5" t="s">
        <v>6351</v>
      </c>
      <c r="C3337" s="3" t="s">
        <v>5</v>
      </c>
    </row>
    <row r="3338" spans="1:3" ht="15.75" thickBot="1">
      <c r="A3338" s="6" t="s">
        <v>6352</v>
      </c>
      <c r="B3338" s="5" t="s">
        <v>6353</v>
      </c>
      <c r="C3338" s="3" t="s">
        <v>5</v>
      </c>
    </row>
    <row r="3339" spans="1:3" ht="15.75" thickBot="1">
      <c r="A3339" s="6" t="s">
        <v>6354</v>
      </c>
      <c r="B3339" s="5" t="e">
        <f xml:space="preserve"> coil antenna</f>
        <v>#NAME?</v>
      </c>
      <c r="C3339" s="3" t="s">
        <v>5</v>
      </c>
    </row>
    <row r="3340" spans="1:3" ht="15.75" thickBot="1">
      <c r="A3340" s="6" t="s">
        <v>6355</v>
      </c>
      <c r="B3340" s="5" t="s">
        <v>6356</v>
      </c>
      <c r="C3340" s="3" t="s">
        <v>5</v>
      </c>
    </row>
    <row r="3341" spans="1:3" ht="15.75" thickBot="1">
      <c r="A3341" s="6" t="s">
        <v>6357</v>
      </c>
      <c r="B3341" s="5" t="s">
        <v>6358</v>
      </c>
      <c r="C3341" s="3" t="s">
        <v>5</v>
      </c>
    </row>
    <row r="3342" spans="1:3">
      <c r="A3342" s="1" t="s">
        <v>6359</v>
      </c>
      <c r="B3342" s="2" t="s">
        <v>6360</v>
      </c>
      <c r="C3342" s="3" t="s">
        <v>5</v>
      </c>
    </row>
    <row r="3343" spans="1:3" ht="15.75" thickBot="1">
      <c r="A3343" s="4"/>
      <c r="B3343" s="5" t="s">
        <v>6361</v>
      </c>
      <c r="C3343" s="3" t="s">
        <v>5</v>
      </c>
    </row>
    <row r="3344" spans="1:3" ht="15.75" thickBot="1">
      <c r="A3344" s="6" t="s">
        <v>6362</v>
      </c>
      <c r="B3344" s="5" t="s">
        <v>6363</v>
      </c>
      <c r="C3344" s="3" t="s">
        <v>5</v>
      </c>
    </row>
    <row r="3345" spans="1:3" ht="15.75" thickBot="1">
      <c r="A3345" s="6" t="s">
        <v>6364</v>
      </c>
      <c r="B3345" s="5" t="s">
        <v>6365</v>
      </c>
      <c r="C3345" s="3" t="s">
        <v>5</v>
      </c>
    </row>
    <row r="3346" spans="1:3" ht="15.75" thickBot="1">
      <c r="A3346" s="6" t="s">
        <v>6366</v>
      </c>
      <c r="B3346" s="5" t="s">
        <v>6367</v>
      </c>
      <c r="C3346" s="3" t="s">
        <v>5</v>
      </c>
    </row>
    <row r="3347" spans="1:3" ht="15.75" thickBot="1">
      <c r="A3347" s="6" t="s">
        <v>6368</v>
      </c>
      <c r="B3347" s="5" t="s">
        <v>6369</v>
      </c>
      <c r="C3347" s="3" t="s">
        <v>5</v>
      </c>
    </row>
    <row r="3348" spans="1:3" ht="15.75" thickBot="1">
      <c r="A3348" s="6" t="s">
        <v>6370</v>
      </c>
      <c r="B3348" s="5" t="s">
        <v>6371</v>
      </c>
      <c r="C3348" s="3" t="s">
        <v>5</v>
      </c>
    </row>
    <row r="3349" spans="1:3" ht="15.75" thickBot="1">
      <c r="A3349" s="6" t="s">
        <v>6372</v>
      </c>
      <c r="B3349" s="5" t="s">
        <v>6373</v>
      </c>
      <c r="C3349" s="3" t="s">
        <v>5</v>
      </c>
    </row>
    <row r="3350" spans="1:3" ht="15.75" thickBot="1">
      <c r="A3350" s="6" t="s">
        <v>6374</v>
      </c>
      <c r="B3350" s="5" t="s">
        <v>6375</v>
      </c>
      <c r="C3350" s="3" t="s">
        <v>5</v>
      </c>
    </row>
    <row r="3351" spans="1:3" ht="15.75" thickBot="1">
      <c r="A3351" s="6" t="s">
        <v>6376</v>
      </c>
      <c r="B3351" s="5" t="s">
        <v>6377</v>
      </c>
      <c r="C3351" s="3" t="s">
        <v>5</v>
      </c>
    </row>
    <row r="3352" spans="1:3" ht="15.75" thickBot="1">
      <c r="A3352" s="6" t="s">
        <v>6378</v>
      </c>
      <c r="B3352" s="5" t="s">
        <v>6379</v>
      </c>
      <c r="C3352" s="3" t="s">
        <v>5</v>
      </c>
    </row>
    <row r="3353" spans="1:3" ht="15.75" thickBot="1">
      <c r="A3353" s="6" t="s">
        <v>6380</v>
      </c>
      <c r="B3353" s="5" t="s">
        <v>6381</v>
      </c>
      <c r="C3353" s="3" t="s">
        <v>5</v>
      </c>
    </row>
    <row r="3354" spans="1:3" ht="15.75" thickBot="1">
      <c r="A3354" s="6" t="s">
        <v>6382</v>
      </c>
      <c r="B3354" s="5" t="e">
        <f xml:space="preserve"> balancing speed</f>
        <v>#NAME?</v>
      </c>
      <c r="C3354" s="3" t="s">
        <v>5</v>
      </c>
    </row>
    <row r="3355" spans="1:3" ht="15.75" thickBot="1">
      <c r="A3355" s="6" t="s">
        <v>6383</v>
      </c>
      <c r="B3355" s="5" t="s">
        <v>6384</v>
      </c>
      <c r="C3355" s="3" t="s">
        <v>5</v>
      </c>
    </row>
    <row r="3356" spans="1:3" ht="15.75" thickBot="1">
      <c r="A3356" s="6" t="s">
        <v>6385</v>
      </c>
      <c r="B3356" s="5" t="s">
        <v>6386</v>
      </c>
      <c r="C3356" s="3" t="s">
        <v>5</v>
      </c>
    </row>
    <row r="3357" spans="1:3">
      <c r="A3357" s="1" t="s">
        <v>6387</v>
      </c>
      <c r="B3357" s="2" t="s">
        <v>6388</v>
      </c>
      <c r="C3357" s="3" t="s">
        <v>5</v>
      </c>
    </row>
    <row r="3358" spans="1:3" ht="128.25" thickBot="1">
      <c r="A3358" s="4"/>
      <c r="B3358" s="5" t="s">
        <v>6389</v>
      </c>
      <c r="C3358" s="3" t="s">
        <v>5</v>
      </c>
    </row>
    <row r="3359" spans="1:3" ht="15.75" thickBot="1">
      <c r="A3359" s="6" t="s">
        <v>6390</v>
      </c>
      <c r="B3359" s="5" t="s">
        <v>6391</v>
      </c>
      <c r="C3359" s="3" t="s">
        <v>5</v>
      </c>
    </row>
    <row r="3360" spans="1:3" ht="15.75" thickBot="1">
      <c r="A3360" s="6" t="s">
        <v>6392</v>
      </c>
      <c r="B3360" s="5" t="s">
        <v>6393</v>
      </c>
      <c r="C3360" s="3" t="s">
        <v>5</v>
      </c>
    </row>
    <row r="3361" spans="1:3" ht="15.75" thickBot="1">
      <c r="A3361" s="6" t="s">
        <v>6394</v>
      </c>
      <c r="B3361" s="5" t="s">
        <v>6395</v>
      </c>
      <c r="C3361" s="3" t="s">
        <v>5</v>
      </c>
    </row>
    <row r="3362" spans="1:3" ht="15.75" thickBot="1">
      <c r="A3362" s="6" t="s">
        <v>6396</v>
      </c>
      <c r="B3362" s="5" t="s">
        <v>6397</v>
      </c>
      <c r="C3362" s="3" t="s">
        <v>5</v>
      </c>
    </row>
    <row r="3363" spans="1:3" ht="15.75" thickBot="1">
      <c r="A3363" s="6" t="s">
        <v>6398</v>
      </c>
      <c r="B3363" s="5" t="s">
        <v>6399</v>
      </c>
      <c r="C3363" s="3" t="s">
        <v>5</v>
      </c>
    </row>
    <row r="3364" spans="1:3" ht="15.75" thickBot="1">
      <c r="A3364" s="6" t="s">
        <v>6400</v>
      </c>
      <c r="B3364" s="5" t="s">
        <v>6401</v>
      </c>
      <c r="C3364" s="3" t="s">
        <v>5</v>
      </c>
    </row>
    <row r="3365" spans="1:3" ht="15.75" thickBot="1">
      <c r="A3365" s="6" t="s">
        <v>6402</v>
      </c>
      <c r="B3365" s="5" t="s">
        <v>6403</v>
      </c>
      <c r="C3365" s="3" t="s">
        <v>5</v>
      </c>
    </row>
    <row r="3366" spans="1:3" ht="15.75" thickBot="1">
      <c r="A3366" s="6" t="s">
        <v>6404</v>
      </c>
      <c r="B3366" s="5" t="s">
        <v>6405</v>
      </c>
      <c r="C3366" s="3" t="s">
        <v>5</v>
      </c>
    </row>
    <row r="3367" spans="1:3" ht="15.75" thickBot="1">
      <c r="A3367" s="6" t="s">
        <v>6406</v>
      </c>
      <c r="B3367" s="5" t="s">
        <v>6407</v>
      </c>
      <c r="C3367" s="3" t="s">
        <v>5</v>
      </c>
    </row>
    <row r="3368" spans="1:3" ht="15.75" thickBot="1">
      <c r="A3368" s="6" t="s">
        <v>6408</v>
      </c>
      <c r="B3368" s="5" t="s">
        <v>6409</v>
      </c>
      <c r="C3368" s="3" t="s">
        <v>5</v>
      </c>
    </row>
    <row r="3369" spans="1:3" ht="15.75" thickBot="1">
      <c r="A3369" s="6" t="s">
        <v>6410</v>
      </c>
      <c r="B3369" s="5" t="s">
        <v>6411</v>
      </c>
      <c r="C3369" s="3" t="s">
        <v>5</v>
      </c>
    </row>
    <row r="3370" spans="1:3" ht="15.75" thickBot="1">
      <c r="A3370" s="6" t="s">
        <v>6412</v>
      </c>
      <c r="B3370" s="5" t="s">
        <v>6413</v>
      </c>
      <c r="C3370" s="3" t="s">
        <v>5</v>
      </c>
    </row>
    <row r="3371" spans="1:3" ht="15.75" thickBot="1">
      <c r="A3371" s="6" t="s">
        <v>6414</v>
      </c>
      <c r="B3371" s="5" t="s">
        <v>6415</v>
      </c>
      <c r="C3371" s="3" t="s">
        <v>5</v>
      </c>
    </row>
    <row r="3372" spans="1:3" ht="15.75" thickBot="1">
      <c r="A3372" s="6" t="s">
        <v>6416</v>
      </c>
      <c r="B3372" s="5" t="s">
        <v>6417</v>
      </c>
      <c r="C3372" s="3" t="s">
        <v>5</v>
      </c>
    </row>
    <row r="3373" spans="1:3" ht="15.75" thickBot="1">
      <c r="A3373" s="6" t="s">
        <v>6418</v>
      </c>
      <c r="B3373" s="5" t="s">
        <v>6409</v>
      </c>
      <c r="C3373" s="3" t="s">
        <v>5</v>
      </c>
    </row>
    <row r="3374" spans="1:3" ht="15.75" thickBot="1">
      <c r="A3374" s="6" t="s">
        <v>6419</v>
      </c>
      <c r="B3374" s="5" t="s">
        <v>6420</v>
      </c>
      <c r="C3374" s="3" t="s">
        <v>5</v>
      </c>
    </row>
    <row r="3375" spans="1:3" ht="15.75" thickBot="1">
      <c r="A3375" s="6" t="s">
        <v>6421</v>
      </c>
      <c r="B3375" s="5" t="s">
        <v>6422</v>
      </c>
      <c r="C3375" s="3" t="s">
        <v>5</v>
      </c>
    </row>
    <row r="3376" spans="1:3" ht="15.75" thickBot="1">
      <c r="A3376" s="6" t="s">
        <v>6423</v>
      </c>
      <c r="B3376" s="5" t="s">
        <v>6424</v>
      </c>
      <c r="C3376" s="3" t="s">
        <v>5</v>
      </c>
    </row>
    <row r="3377" spans="1:3" ht="15.75" thickBot="1">
      <c r="A3377" s="6" t="s">
        <v>6425</v>
      </c>
      <c r="B3377" s="5" t="s">
        <v>6426</v>
      </c>
      <c r="C3377" s="3" t="s">
        <v>5</v>
      </c>
    </row>
    <row r="3378" spans="1:3" ht="15.75" thickBot="1">
      <c r="A3378" s="6" t="s">
        <v>6427</v>
      </c>
      <c r="B3378" s="5" t="s">
        <v>6428</v>
      </c>
      <c r="C3378" s="3" t="s">
        <v>5</v>
      </c>
    </row>
    <row r="3379" spans="1:3" ht="15.75" thickBot="1">
      <c r="A3379" s="6" t="s">
        <v>6429</v>
      </c>
      <c r="B3379" s="5" t="s">
        <v>6430</v>
      </c>
      <c r="C3379" s="3" t="s">
        <v>5</v>
      </c>
    </row>
    <row r="3380" spans="1:3" ht="15.75" thickBot="1">
      <c r="A3380" s="6" t="s">
        <v>6431</v>
      </c>
      <c r="B3380" s="5" t="s">
        <v>6432</v>
      </c>
      <c r="C3380" s="3" t="s">
        <v>5</v>
      </c>
    </row>
    <row r="3381" spans="1:3" ht="15.75" thickBot="1">
      <c r="A3381" s="6" t="s">
        <v>6433</v>
      </c>
      <c r="B3381" s="5" t="s">
        <v>6434</v>
      </c>
      <c r="C3381" s="3" t="s">
        <v>5</v>
      </c>
    </row>
    <row r="3382" spans="1:3" ht="15.75" thickBot="1">
      <c r="A3382" s="6" t="s">
        <v>6435</v>
      </c>
      <c r="B3382" s="5" t="s">
        <v>6436</v>
      </c>
      <c r="C3382" s="3" t="s">
        <v>5</v>
      </c>
    </row>
    <row r="3383" spans="1:3" ht="15.75" thickBot="1">
      <c r="A3383" s="6" t="s">
        <v>6437</v>
      </c>
      <c r="B3383" s="5" t="s">
        <v>6438</v>
      </c>
      <c r="C3383" s="3" t="s">
        <v>5</v>
      </c>
    </row>
    <row r="3384" spans="1:3" ht="15.75" thickBot="1">
      <c r="A3384" s="6" t="s">
        <v>6439</v>
      </c>
      <c r="B3384" s="5" t="s">
        <v>6440</v>
      </c>
      <c r="C3384" s="3" t="s">
        <v>5</v>
      </c>
    </row>
    <row r="3385" spans="1:3" ht="15.75" thickBot="1">
      <c r="A3385" s="6" t="s">
        <v>6441</v>
      </c>
      <c r="B3385" s="5" t="s">
        <v>6442</v>
      </c>
      <c r="C3385" s="3" t="s">
        <v>5</v>
      </c>
    </row>
    <row r="3386" spans="1:3" ht="15.75" thickBot="1">
      <c r="A3386" s="6" t="s">
        <v>6443</v>
      </c>
      <c r="B3386" s="5" t="s">
        <v>6444</v>
      </c>
      <c r="C3386" s="3" t="s">
        <v>5</v>
      </c>
    </row>
    <row r="3387" spans="1:3" ht="15.75" thickBot="1">
      <c r="A3387" s="6" t="s">
        <v>6445</v>
      </c>
      <c r="B3387" s="5" t="s">
        <v>6446</v>
      </c>
      <c r="C3387" s="3" t="s">
        <v>5</v>
      </c>
    </row>
    <row r="3388" spans="1:3" ht="15.75" thickBot="1">
      <c r="A3388" s="6" t="s">
        <v>6447</v>
      </c>
      <c r="B3388" s="5" t="s">
        <v>6448</v>
      </c>
      <c r="C3388" s="3" t="s">
        <v>5</v>
      </c>
    </row>
    <row r="3389" spans="1:3" ht="15.75" thickBot="1">
      <c r="A3389" s="6" t="s">
        <v>6449</v>
      </c>
      <c r="B3389" s="5" t="s">
        <v>6450</v>
      </c>
      <c r="C3389" s="3" t="s">
        <v>5</v>
      </c>
    </row>
    <row r="3390" spans="1:3" ht="15.75" thickBot="1">
      <c r="A3390" s="6" t="s">
        <v>6451</v>
      </c>
      <c r="B3390" s="5" t="s">
        <v>6452</v>
      </c>
      <c r="C3390" s="3" t="s">
        <v>5</v>
      </c>
    </row>
    <row r="3391" spans="1:3" ht="15.75" thickBot="1">
      <c r="A3391" s="6" t="s">
        <v>6453</v>
      </c>
      <c r="B3391" s="5" t="s">
        <v>6454</v>
      </c>
      <c r="C3391" s="3" t="s">
        <v>5</v>
      </c>
    </row>
    <row r="3392" spans="1:3" ht="15.75" thickBot="1">
      <c r="A3392" s="6" t="s">
        <v>6455</v>
      </c>
      <c r="B3392" s="5" t="s">
        <v>6456</v>
      </c>
      <c r="C3392" s="3" t="s">
        <v>5</v>
      </c>
    </row>
    <row r="3393" spans="1:3" ht="15.75" thickBot="1">
      <c r="A3393" s="6" t="s">
        <v>6457</v>
      </c>
      <c r="B3393" s="5" t="s">
        <v>6458</v>
      </c>
      <c r="C3393" s="3" t="s">
        <v>5</v>
      </c>
    </row>
    <row r="3394" spans="1:3" ht="15.75" thickBot="1">
      <c r="A3394" s="6" t="s">
        <v>6459</v>
      </c>
      <c r="B3394" s="5" t="s">
        <v>6460</v>
      </c>
      <c r="C3394" s="3" t="s">
        <v>5</v>
      </c>
    </row>
    <row r="3395" spans="1:3" ht="15.75" thickBot="1">
      <c r="A3395" s="6" t="s">
        <v>6461</v>
      </c>
      <c r="B3395" s="5" t="s">
        <v>6462</v>
      </c>
      <c r="C3395" s="3" t="s">
        <v>5</v>
      </c>
    </row>
    <row r="3396" spans="1:3" ht="15.75" thickBot="1">
      <c r="A3396" s="6" t="s">
        <v>6463</v>
      </c>
      <c r="B3396" s="5" t="s">
        <v>6464</v>
      </c>
      <c r="C3396" s="3" t="s">
        <v>5</v>
      </c>
    </row>
    <row r="3397" spans="1:3" ht="15.75" thickBot="1">
      <c r="A3397" s="6" t="s">
        <v>6465</v>
      </c>
      <c r="B3397" s="5" t="s">
        <v>6466</v>
      </c>
      <c r="C3397" s="3" t="s">
        <v>5</v>
      </c>
    </row>
    <row r="3398" spans="1:3" ht="15.75" thickBot="1">
      <c r="A3398" s="6" t="s">
        <v>6467</v>
      </c>
      <c r="B3398" s="5" t="s">
        <v>6468</v>
      </c>
      <c r="C3398" s="3" t="s">
        <v>5</v>
      </c>
    </row>
    <row r="3399" spans="1:3" ht="15.75" thickBot="1">
      <c r="A3399" s="6" t="s">
        <v>6469</v>
      </c>
      <c r="B3399" s="5" t="e">
        <f xml:space="preserve"> forward pitch</f>
        <v>#NAME?</v>
      </c>
      <c r="C3399" s="3" t="s">
        <v>5</v>
      </c>
    </row>
    <row r="3400" spans="1:3" ht="15.75" thickBot="1">
      <c r="A3400" s="6" t="s">
        <v>6470</v>
      </c>
      <c r="B3400" s="5" t="s">
        <v>6471</v>
      </c>
      <c r="C3400" s="3" t="s">
        <v>5</v>
      </c>
    </row>
    <row r="3401" spans="1:3" ht="15.75" thickBot="1">
      <c r="A3401" s="6" t="s">
        <v>6472</v>
      </c>
      <c r="B3401" s="5" t="s">
        <v>6473</v>
      </c>
      <c r="C3401" s="3" t="s">
        <v>5</v>
      </c>
    </row>
    <row r="3402" spans="1:3" ht="15.75" thickBot="1">
      <c r="A3402" s="6" t="s">
        <v>6474</v>
      </c>
      <c r="B3402" s="5" t="s">
        <v>6475</v>
      </c>
      <c r="C3402" s="3" t="s">
        <v>5</v>
      </c>
    </row>
    <row r="3403" spans="1:3" ht="15.75" thickBot="1">
      <c r="A3403" s="6" t="s">
        <v>6476</v>
      </c>
      <c r="B3403" s="5" t="s">
        <v>6477</v>
      </c>
      <c r="C3403" s="3" t="s">
        <v>5</v>
      </c>
    </row>
    <row r="3404" spans="1:3" ht="15.75" thickBot="1">
      <c r="A3404" s="6" t="s">
        <v>6478</v>
      </c>
      <c r="B3404" s="5" t="s">
        <v>6479</v>
      </c>
      <c r="C3404" s="3" t="s">
        <v>5</v>
      </c>
    </row>
    <row r="3405" spans="1:3" ht="15.75" thickBot="1">
      <c r="A3405" s="6" t="s">
        <v>6480</v>
      </c>
      <c r="B3405" s="5" t="s">
        <v>6481</v>
      </c>
      <c r="C3405" s="3" t="s">
        <v>5</v>
      </c>
    </row>
    <row r="3406" spans="1:3" ht="15.75" thickBot="1">
      <c r="A3406" s="6" t="s">
        <v>6482</v>
      </c>
      <c r="B3406" s="5" t="s">
        <v>6483</v>
      </c>
      <c r="C3406" s="3" t="s">
        <v>5</v>
      </c>
    </row>
    <row r="3407" spans="1:3" ht="15.75" thickBot="1">
      <c r="A3407" s="6" t="s">
        <v>6484</v>
      </c>
      <c r="B3407" s="5" t="s">
        <v>6485</v>
      </c>
      <c r="C3407" s="3" t="s">
        <v>5</v>
      </c>
    </row>
    <row r="3408" spans="1:3" ht="15.75" thickBot="1">
      <c r="A3408" s="6" t="s">
        <v>6486</v>
      </c>
      <c r="B3408" s="5" t="s">
        <v>6487</v>
      </c>
      <c r="C3408" s="3" t="s">
        <v>5</v>
      </c>
    </row>
    <row r="3409" spans="1:3" ht="15.75" thickBot="1">
      <c r="A3409" s="6" t="s">
        <v>6488</v>
      </c>
      <c r="B3409" s="5" t="s">
        <v>6489</v>
      </c>
      <c r="C3409" s="3" t="s">
        <v>5</v>
      </c>
    </row>
    <row r="3410" spans="1:3" ht="15.75" thickBot="1">
      <c r="A3410" s="6" t="s">
        <v>6490</v>
      </c>
      <c r="B3410" s="5" t="s">
        <v>6491</v>
      </c>
      <c r="C3410" s="3" t="s">
        <v>5</v>
      </c>
    </row>
    <row r="3411" spans="1:3" ht="15.75" thickBot="1">
      <c r="A3411" s="6" t="s">
        <v>6492</v>
      </c>
      <c r="B3411" s="5" t="s">
        <v>6493</v>
      </c>
      <c r="C3411" s="3" t="s">
        <v>5</v>
      </c>
    </row>
    <row r="3412" spans="1:3" ht="15.75" thickBot="1">
      <c r="A3412" s="6" t="s">
        <v>6494</v>
      </c>
      <c r="B3412" s="5" t="s">
        <v>6495</v>
      </c>
      <c r="C3412" s="3" t="s">
        <v>5</v>
      </c>
    </row>
    <row r="3413" spans="1:3" ht="15.75" thickBot="1">
      <c r="A3413" s="6" t="s">
        <v>6496</v>
      </c>
      <c r="B3413" s="5" t="s">
        <v>6497</v>
      </c>
      <c r="C3413" s="3" t="s">
        <v>5</v>
      </c>
    </row>
    <row r="3414" spans="1:3" ht="15.75" thickBot="1">
      <c r="A3414" s="6" t="s">
        <v>6498</v>
      </c>
      <c r="B3414" s="5" t="s">
        <v>6499</v>
      </c>
      <c r="C3414" s="3" t="s">
        <v>5</v>
      </c>
    </row>
    <row r="3415" spans="1:3" ht="15.75" thickBot="1">
      <c r="A3415" s="6" t="s">
        <v>6500</v>
      </c>
      <c r="B3415" s="5" t="s">
        <v>6501</v>
      </c>
      <c r="C3415" s="3" t="s">
        <v>5</v>
      </c>
    </row>
    <row r="3416" spans="1:3" ht="15.75" thickBot="1">
      <c r="A3416" s="6" t="s">
        <v>6502</v>
      </c>
      <c r="B3416" s="5" t="s">
        <v>6503</v>
      </c>
      <c r="C3416" s="3" t="s">
        <v>5</v>
      </c>
    </row>
    <row r="3417" spans="1:3" ht="15.75" thickBot="1">
      <c r="A3417" s="6" t="s">
        <v>6504</v>
      </c>
      <c r="B3417" s="5" t="s">
        <v>6505</v>
      </c>
      <c r="C3417" s="3" t="s">
        <v>5</v>
      </c>
    </row>
    <row r="3418" spans="1:3" ht="15.75" thickBot="1">
      <c r="A3418" s="6" t="s">
        <v>6506</v>
      </c>
      <c r="B3418" s="5" t="s">
        <v>6507</v>
      </c>
      <c r="C3418" s="3" t="s">
        <v>5</v>
      </c>
    </row>
    <row r="3419" spans="1:3" ht="15.75" thickBot="1">
      <c r="A3419" s="6" t="s">
        <v>6508</v>
      </c>
      <c r="B3419" s="5" t="s">
        <v>6509</v>
      </c>
      <c r="C3419" s="3" t="s">
        <v>5</v>
      </c>
    </row>
    <row r="3420" spans="1:3" ht="15.75" thickBot="1">
      <c r="A3420" s="6" t="s">
        <v>6510</v>
      </c>
      <c r="B3420" s="5" t="s">
        <v>6511</v>
      </c>
      <c r="C3420" s="3" t="s">
        <v>5</v>
      </c>
    </row>
    <row r="3421" spans="1:3" ht="15.75" thickBot="1">
      <c r="A3421" s="6" t="s">
        <v>6512</v>
      </c>
      <c r="B3421" s="5" t="s">
        <v>6513</v>
      </c>
      <c r="C3421" s="3" t="s">
        <v>5</v>
      </c>
    </row>
    <row r="3422" spans="1:3" ht="15.75" thickBot="1">
      <c r="A3422" s="6" t="s">
        <v>6514</v>
      </c>
      <c r="B3422" s="5" t="s">
        <v>6515</v>
      </c>
      <c r="C3422" s="3" t="s">
        <v>5</v>
      </c>
    </row>
    <row r="3423" spans="1:3" ht="15.75" thickBot="1">
      <c r="A3423" s="6" t="s">
        <v>6516</v>
      </c>
      <c r="B3423" s="5" t="s">
        <v>6517</v>
      </c>
      <c r="C3423" s="3" t="s">
        <v>5</v>
      </c>
    </row>
    <row r="3424" spans="1:3" ht="15.75" thickBot="1">
      <c r="A3424" s="6" t="s">
        <v>6518</v>
      </c>
      <c r="B3424" s="5" t="s">
        <v>6519</v>
      </c>
      <c r="C3424" s="3" t="s">
        <v>5</v>
      </c>
    </row>
    <row r="3425" spans="1:3" ht="15.75" thickBot="1">
      <c r="A3425" s="6" t="s">
        <v>6520</v>
      </c>
      <c r="B3425" s="5" t="s">
        <v>6521</v>
      </c>
      <c r="C3425" s="3" t="s">
        <v>5</v>
      </c>
    </row>
    <row r="3426" spans="1:3" ht="15.75" thickBot="1">
      <c r="A3426" s="6" t="s">
        <v>6522</v>
      </c>
      <c r="B3426" s="5" t="s">
        <v>6523</v>
      </c>
      <c r="C3426" s="3" t="s">
        <v>5</v>
      </c>
    </row>
    <row r="3427" spans="1:3" ht="15.75" thickBot="1">
      <c r="A3427" s="6" t="s">
        <v>6524</v>
      </c>
      <c r="B3427" s="5" t="s">
        <v>6525</v>
      </c>
      <c r="C3427" s="3" t="s">
        <v>5</v>
      </c>
    </row>
    <row r="3428" spans="1:3" ht="15.75" thickBot="1">
      <c r="A3428" s="6" t="s">
        <v>6526</v>
      </c>
      <c r="B3428" s="5" t="s">
        <v>6527</v>
      </c>
      <c r="C3428" s="3" t="s">
        <v>5</v>
      </c>
    </row>
    <row r="3429" spans="1:3" ht="15.75" thickBot="1">
      <c r="A3429" s="6" t="s">
        <v>6528</v>
      </c>
      <c r="B3429" s="5" t="e">
        <f xml:space="preserve"> fuse holder</f>
        <v>#NAME?</v>
      </c>
      <c r="C3429" s="3" t="s">
        <v>5</v>
      </c>
    </row>
    <row r="3430" spans="1:3" ht="15.75" thickBot="1">
      <c r="A3430" s="6" t="s">
        <v>6529</v>
      </c>
      <c r="B3430" s="5" t="s">
        <v>6530</v>
      </c>
      <c r="C3430" s="3" t="s">
        <v>5</v>
      </c>
    </row>
    <row r="3431" spans="1:3" ht="15.75" thickBot="1">
      <c r="A3431" s="6" t="s">
        <v>6531</v>
      </c>
      <c r="B3431" s="5" t="s">
        <v>6532</v>
      </c>
      <c r="C3431" s="3" t="s">
        <v>5</v>
      </c>
    </row>
    <row r="3432" spans="1:3" ht="15.75" thickBot="1">
      <c r="A3432" s="6" t="s">
        <v>6533</v>
      </c>
      <c r="B3432" s="5" t="s">
        <v>6521</v>
      </c>
      <c r="C3432" s="3" t="s">
        <v>5</v>
      </c>
    </row>
    <row r="3433" spans="1:3" ht="15.75" thickBot="1">
      <c r="A3433" s="6" t="s">
        <v>6534</v>
      </c>
      <c r="B3433" s="5" t="s">
        <v>6535</v>
      </c>
      <c r="C3433" s="3" t="s">
        <v>5</v>
      </c>
    </row>
    <row r="3434" spans="1:3">
      <c r="A3434" s="1" t="s">
        <v>6536</v>
      </c>
      <c r="B3434" s="2" t="s">
        <v>6537</v>
      </c>
      <c r="C3434" s="3" t="s">
        <v>5</v>
      </c>
    </row>
    <row r="3435" spans="1:3" ht="15.75" thickBot="1">
      <c r="A3435" s="4"/>
      <c r="B3435" s="5" t="s">
        <v>6538</v>
      </c>
      <c r="C3435" s="3" t="s">
        <v>5</v>
      </c>
    </row>
    <row r="3436" spans="1:3" ht="15.75" thickBot="1">
      <c r="A3436" s="6" t="s">
        <v>6539</v>
      </c>
      <c r="B3436" s="5" t="s">
        <v>6540</v>
      </c>
      <c r="C3436" s="3" t="s">
        <v>5</v>
      </c>
    </row>
    <row r="3437" spans="1:3" ht="15.75" thickBot="1">
      <c r="A3437" s="6" t="s">
        <v>6541</v>
      </c>
      <c r="B3437" s="5" t="s">
        <v>6542</v>
      </c>
      <c r="C3437" s="3" t="s">
        <v>5</v>
      </c>
    </row>
    <row r="3438" spans="1:3" ht="15.75" thickBot="1">
      <c r="A3438" s="6" t="s">
        <v>6543</v>
      </c>
      <c r="B3438" s="5" t="s">
        <v>6544</v>
      </c>
      <c r="C3438" s="3" t="s">
        <v>5</v>
      </c>
    </row>
    <row r="3439" spans="1:3" ht="15.75" thickBot="1">
      <c r="A3439" s="6" t="s">
        <v>6545</v>
      </c>
      <c r="B3439" s="5" t="s">
        <v>6546</v>
      </c>
      <c r="C3439" s="3" t="s">
        <v>5</v>
      </c>
    </row>
    <row r="3440" spans="1:3" ht="15.75" thickBot="1">
      <c r="A3440" s="6" t="s">
        <v>6547</v>
      </c>
      <c r="B3440" s="5" t="s">
        <v>6548</v>
      </c>
      <c r="C3440" s="3" t="s">
        <v>5</v>
      </c>
    </row>
    <row r="3441" spans="1:3" ht="26.25" thickBot="1">
      <c r="A3441" s="6" t="s">
        <v>6549</v>
      </c>
      <c r="B3441" s="5" t="s">
        <v>6550</v>
      </c>
      <c r="C3441" s="3" t="s">
        <v>5</v>
      </c>
    </row>
    <row r="3442" spans="1:3" ht="15.75" thickBot="1">
      <c r="A3442" s="6" t="s">
        <v>6551</v>
      </c>
      <c r="B3442" s="5" t="s">
        <v>6552</v>
      </c>
      <c r="C3442" s="3" t="s">
        <v>5</v>
      </c>
    </row>
    <row r="3443" spans="1:3" ht="15.75" thickBot="1">
      <c r="A3443" s="6" t="s">
        <v>6553</v>
      </c>
      <c r="B3443" s="5" t="s">
        <v>6554</v>
      </c>
      <c r="C3443" s="3" t="s">
        <v>5</v>
      </c>
    </row>
    <row r="3444" spans="1:3" ht="15.75" thickBot="1">
      <c r="A3444" s="6" t="s">
        <v>6555</v>
      </c>
      <c r="B3444" s="5" t="s">
        <v>6556</v>
      </c>
      <c r="C3444" s="3" t="s">
        <v>5</v>
      </c>
    </row>
    <row r="3445" spans="1:3" ht="15.75" thickBot="1">
      <c r="A3445" s="6" t="s">
        <v>6557</v>
      </c>
      <c r="B3445" s="5" t="s">
        <v>6558</v>
      </c>
      <c r="C3445" s="3" t="s">
        <v>5</v>
      </c>
    </row>
    <row r="3446" spans="1:3" ht="15.75" thickBot="1">
      <c r="A3446" s="6" t="s">
        <v>6559</v>
      </c>
      <c r="B3446" s="5" t="s">
        <v>6560</v>
      </c>
      <c r="C3446" s="3" t="s">
        <v>5</v>
      </c>
    </row>
    <row r="3447" spans="1:3" ht="15.75" thickBot="1">
      <c r="A3447" s="6" t="s">
        <v>6561</v>
      </c>
      <c r="B3447" s="5" t="s">
        <v>6562</v>
      </c>
      <c r="C3447" s="3" t="s">
        <v>5</v>
      </c>
    </row>
    <row r="3448" spans="1:3" ht="15.75" thickBot="1">
      <c r="A3448" s="6" t="s">
        <v>6563</v>
      </c>
      <c r="B3448" s="5" t="s">
        <v>6564</v>
      </c>
      <c r="C3448" s="3" t="s">
        <v>5</v>
      </c>
    </row>
    <row r="3449" spans="1:3" ht="15.75" thickBot="1">
      <c r="A3449" s="6" t="s">
        <v>6565</v>
      </c>
      <c r="B3449" s="5" t="s">
        <v>6566</v>
      </c>
      <c r="C3449" s="3" t="s">
        <v>5</v>
      </c>
    </row>
    <row r="3450" spans="1:3" ht="15.75" thickBot="1">
      <c r="A3450" s="6" t="s">
        <v>6567</v>
      </c>
      <c r="B3450" s="5" t="s">
        <v>6568</v>
      </c>
      <c r="C3450" s="3" t="s">
        <v>5</v>
      </c>
    </row>
    <row r="3451" spans="1:3" ht="15.75" thickBot="1">
      <c r="A3451" s="6" t="s">
        <v>6569</v>
      </c>
      <c r="B3451" s="5" t="s">
        <v>6570</v>
      </c>
      <c r="C3451" s="3" t="s">
        <v>5</v>
      </c>
    </row>
    <row r="3452" spans="1:3" ht="15.75" thickBot="1">
      <c r="A3452" s="6" t="s">
        <v>6571</v>
      </c>
      <c r="B3452" s="5" t="s">
        <v>6572</v>
      </c>
      <c r="C3452" s="3" t="s">
        <v>5</v>
      </c>
    </row>
    <row r="3453" spans="1:3" ht="15.75" thickBot="1">
      <c r="A3453" s="6" t="s">
        <v>6573</v>
      </c>
      <c r="B3453" s="5" t="s">
        <v>6574</v>
      </c>
      <c r="C3453" s="3" t="s">
        <v>5</v>
      </c>
    </row>
    <row r="3454" spans="1:3" ht="15.75" thickBot="1">
      <c r="A3454" s="6" t="s">
        <v>6575</v>
      </c>
      <c r="B3454" s="5" t="s">
        <v>6576</v>
      </c>
      <c r="C3454" s="3" t="s">
        <v>5</v>
      </c>
    </row>
    <row r="3455" spans="1:3" ht="15.75" thickBot="1">
      <c r="A3455" s="6" t="s">
        <v>6577</v>
      </c>
      <c r="B3455" s="5" t="s">
        <v>6578</v>
      </c>
      <c r="C3455" s="3" t="s">
        <v>5</v>
      </c>
    </row>
    <row r="3456" spans="1:3" ht="15.75" thickBot="1">
      <c r="A3456" s="6" t="s">
        <v>6579</v>
      </c>
      <c r="B3456" s="5" t="s">
        <v>6580</v>
      </c>
      <c r="C3456" s="3" t="s">
        <v>5</v>
      </c>
    </row>
    <row r="3457" spans="1:3" ht="15.75" thickBot="1">
      <c r="A3457" s="6" t="s">
        <v>6581</v>
      </c>
      <c r="B3457" s="5" t="s">
        <v>6582</v>
      </c>
      <c r="C3457" s="3" t="s">
        <v>5</v>
      </c>
    </row>
    <row r="3458" spans="1:3" ht="15.75" thickBot="1">
      <c r="A3458" s="6" t="s">
        <v>6583</v>
      </c>
      <c r="B3458" s="5" t="s">
        <v>6584</v>
      </c>
      <c r="C3458" s="3" t="s">
        <v>5</v>
      </c>
    </row>
    <row r="3459" spans="1:3" ht="15.75" thickBot="1">
      <c r="A3459" s="6" t="s">
        <v>6585</v>
      </c>
      <c r="B3459" s="5" t="s">
        <v>6586</v>
      </c>
      <c r="C3459" s="3" t="s">
        <v>5</v>
      </c>
    </row>
    <row r="3460" spans="1:3" ht="15.75" thickBot="1">
      <c r="A3460" s="6" t="s">
        <v>6587</v>
      </c>
      <c r="B3460" s="5" t="s">
        <v>6588</v>
      </c>
      <c r="C3460" s="3" t="s">
        <v>5</v>
      </c>
    </row>
    <row r="3461" spans="1:3" ht="15.75" thickBot="1">
      <c r="A3461" s="6" t="s">
        <v>6589</v>
      </c>
      <c r="B3461" s="5" t="s">
        <v>6590</v>
      </c>
      <c r="C3461" s="3" t="s">
        <v>5</v>
      </c>
    </row>
    <row r="3462" spans="1:3" ht="15.75" thickBot="1">
      <c r="A3462" s="6" t="s">
        <v>6591</v>
      </c>
      <c r="B3462" s="5" t="s">
        <v>6592</v>
      </c>
      <c r="C3462" s="3" t="s">
        <v>5</v>
      </c>
    </row>
    <row r="3463" spans="1:3" ht="15.75" thickBot="1">
      <c r="A3463" s="6" t="s">
        <v>6593</v>
      </c>
      <c r="B3463" s="5" t="s">
        <v>6594</v>
      </c>
      <c r="C3463" s="3" t="s">
        <v>5</v>
      </c>
    </row>
    <row r="3464" spans="1:3" ht="15.75" thickBot="1">
      <c r="A3464" s="6" t="s">
        <v>6595</v>
      </c>
      <c r="B3464" s="5" t="s">
        <v>6596</v>
      </c>
      <c r="C3464" s="3" t="s">
        <v>5</v>
      </c>
    </row>
    <row r="3465" spans="1:3">
      <c r="A3465" s="1" t="s">
        <v>6597</v>
      </c>
      <c r="B3465" s="2" t="s">
        <v>6598</v>
      </c>
      <c r="C3465" s="3" t="s">
        <v>5</v>
      </c>
    </row>
    <row r="3466" spans="1:3" ht="15.75" thickBot="1">
      <c r="A3466" s="4"/>
      <c r="B3466" s="5" t="s">
        <v>422</v>
      </c>
      <c r="C3466" s="3" t="s">
        <v>5</v>
      </c>
    </row>
    <row r="3467" spans="1:3" ht="15.75" thickBot="1">
      <c r="A3467" s="6" t="s">
        <v>6599</v>
      </c>
      <c r="B3467" s="5" t="s">
        <v>6600</v>
      </c>
      <c r="C3467" s="3" t="s">
        <v>5</v>
      </c>
    </row>
    <row r="3468" spans="1:3" ht="15.75" thickBot="1">
      <c r="A3468" s="6" t="s">
        <v>6601</v>
      </c>
      <c r="B3468" s="5" t="s">
        <v>6602</v>
      </c>
      <c r="C3468" s="3" t="s">
        <v>5</v>
      </c>
    </row>
    <row r="3469" spans="1:3" ht="15.75" thickBot="1">
      <c r="A3469" s="6" t="s">
        <v>6603</v>
      </c>
      <c r="B3469" s="5" t="s">
        <v>6604</v>
      </c>
      <c r="C3469" s="3" t="s">
        <v>5</v>
      </c>
    </row>
    <row r="3470" spans="1:3" ht="15.75" thickBot="1">
      <c r="A3470" s="6" t="s">
        <v>6605</v>
      </c>
      <c r="B3470" s="5" t="s">
        <v>6606</v>
      </c>
      <c r="C3470" s="3" t="s">
        <v>5</v>
      </c>
    </row>
    <row r="3471" spans="1:3" ht="15.75" thickBot="1">
      <c r="A3471" s="6" t="s">
        <v>6607</v>
      </c>
      <c r="B3471" s="5" t="s">
        <v>6608</v>
      </c>
      <c r="C3471" s="3" t="s">
        <v>5</v>
      </c>
    </row>
    <row r="3472" spans="1:3" ht="15.75" thickBot="1">
      <c r="A3472" s="6" t="s">
        <v>6609</v>
      </c>
      <c r="B3472" s="5" t="s">
        <v>6610</v>
      </c>
      <c r="C3472" s="3" t="s">
        <v>5</v>
      </c>
    </row>
    <row r="3473" spans="1:3" ht="15.75" thickBot="1">
      <c r="A3473" s="6" t="s">
        <v>6611</v>
      </c>
      <c r="B3473" s="5" t="s">
        <v>6612</v>
      </c>
      <c r="C3473" s="3" t="s">
        <v>5</v>
      </c>
    </row>
    <row r="3474" spans="1:3" ht="15.75" thickBot="1">
      <c r="A3474" s="6" t="s">
        <v>6613</v>
      </c>
      <c r="B3474" s="5" t="s">
        <v>6614</v>
      </c>
      <c r="C3474" s="3" t="s">
        <v>5</v>
      </c>
    </row>
    <row r="3475" spans="1:3" ht="15.75" thickBot="1">
      <c r="A3475" s="6" t="s">
        <v>6615</v>
      </c>
      <c r="B3475" s="5" t="s">
        <v>6616</v>
      </c>
      <c r="C3475" s="3" t="s">
        <v>5</v>
      </c>
    </row>
    <row r="3476" spans="1:3" ht="15.75" thickBot="1">
      <c r="A3476" s="6" t="s">
        <v>6617</v>
      </c>
      <c r="B3476" s="5" t="s">
        <v>6618</v>
      </c>
      <c r="C3476" s="3" t="s">
        <v>5</v>
      </c>
    </row>
    <row r="3477" spans="1:3" ht="15.75" thickBot="1">
      <c r="A3477" s="6" t="s">
        <v>6619</v>
      </c>
      <c r="B3477" s="5" t="s">
        <v>6620</v>
      </c>
      <c r="C3477" s="3" t="s">
        <v>5</v>
      </c>
    </row>
    <row r="3478" spans="1:3" ht="15.75" thickBot="1">
      <c r="A3478" s="6" t="s">
        <v>6621</v>
      </c>
      <c r="B3478" s="5" t="s">
        <v>6622</v>
      </c>
      <c r="C3478" s="3" t="s">
        <v>5</v>
      </c>
    </row>
    <row r="3479" spans="1:3" ht="15.75" thickBot="1">
      <c r="A3479" s="6" t="s">
        <v>6623</v>
      </c>
      <c r="B3479" s="5" t="s">
        <v>6624</v>
      </c>
      <c r="C3479" s="3" t="s">
        <v>5</v>
      </c>
    </row>
    <row r="3480" spans="1:3" ht="15.75" thickBot="1">
      <c r="A3480" s="6" t="s">
        <v>6625</v>
      </c>
      <c r="B3480" s="5" t="s">
        <v>6626</v>
      </c>
      <c r="C3480" s="3" t="s">
        <v>5</v>
      </c>
    </row>
    <row r="3481" spans="1:3" ht="15.75" thickBot="1">
      <c r="A3481" s="6" t="s">
        <v>6627</v>
      </c>
      <c r="B3481" s="5" t="s">
        <v>6628</v>
      </c>
      <c r="C3481" s="3" t="s">
        <v>5</v>
      </c>
    </row>
    <row r="3482" spans="1:3" ht="15.75" thickBot="1">
      <c r="A3482" s="6" t="s">
        <v>6629</v>
      </c>
      <c r="B3482" s="5" t="s">
        <v>6630</v>
      </c>
      <c r="C3482" s="3" t="s">
        <v>5</v>
      </c>
    </row>
    <row r="3483" spans="1:3" ht="15.75" thickBot="1">
      <c r="A3483" s="6" t="s">
        <v>6631</v>
      </c>
      <c r="B3483" s="5" t="s">
        <v>6632</v>
      </c>
      <c r="C3483" s="3" t="s">
        <v>5</v>
      </c>
    </row>
    <row r="3484" spans="1:3" ht="15.75" thickBot="1">
      <c r="A3484" s="6" t="s">
        <v>6633</v>
      </c>
      <c r="B3484" s="5" t="s">
        <v>6634</v>
      </c>
      <c r="C3484" s="3" t="s">
        <v>5</v>
      </c>
    </row>
    <row r="3485" spans="1:3" ht="15.75" thickBot="1">
      <c r="A3485" s="6" t="s">
        <v>6635</v>
      </c>
      <c r="B3485" s="5" t="s">
        <v>6636</v>
      </c>
      <c r="C3485" s="3" t="s">
        <v>5</v>
      </c>
    </row>
    <row r="3486" spans="1:3" ht="15.75" thickBot="1">
      <c r="A3486" s="6" t="s">
        <v>6637</v>
      </c>
      <c r="B3486" s="5" t="s">
        <v>6638</v>
      </c>
      <c r="C3486" s="3" t="s">
        <v>5</v>
      </c>
    </row>
    <row r="3487" spans="1:3">
      <c r="A3487" s="1" t="s">
        <v>6639</v>
      </c>
      <c r="B3487" s="2" t="s">
        <v>6640</v>
      </c>
      <c r="C3487" s="3" t="s">
        <v>5</v>
      </c>
    </row>
    <row r="3488" spans="1:3" ht="51.75" thickBot="1">
      <c r="A3488" s="4"/>
      <c r="B3488" s="5" t="s">
        <v>6641</v>
      </c>
      <c r="C3488" s="3" t="s">
        <v>5</v>
      </c>
    </row>
    <row r="3489" spans="1:3" ht="15.75" thickBot="1">
      <c r="A3489" s="6" t="s">
        <v>6642</v>
      </c>
      <c r="B3489" s="5" t="s">
        <v>6643</v>
      </c>
      <c r="C3489" s="3" t="s">
        <v>5</v>
      </c>
    </row>
    <row r="3490" spans="1:3" ht="15.75" thickBot="1">
      <c r="A3490" s="6" t="s">
        <v>6644</v>
      </c>
      <c r="B3490" s="5" t="s">
        <v>6645</v>
      </c>
      <c r="C3490" s="3" t="s">
        <v>5</v>
      </c>
    </row>
    <row r="3491" spans="1:3" ht="15.75" thickBot="1">
      <c r="A3491" s="6" t="s">
        <v>6644</v>
      </c>
      <c r="B3491" s="5" t="s">
        <v>6645</v>
      </c>
      <c r="C3491" s="3" t="s">
        <v>5</v>
      </c>
    </row>
    <row r="3492" spans="1:3" ht="15.75" thickBot="1">
      <c r="A3492" s="6" t="s">
        <v>6646</v>
      </c>
      <c r="B3492" s="5" t="s">
        <v>6647</v>
      </c>
      <c r="C3492" s="3" t="s">
        <v>5</v>
      </c>
    </row>
    <row r="3493" spans="1:3" ht="15.75" thickBot="1">
      <c r="A3493" s="6" t="s">
        <v>6648</v>
      </c>
      <c r="B3493" s="5" t="s">
        <v>6649</v>
      </c>
      <c r="C3493" s="3" t="s">
        <v>5</v>
      </c>
    </row>
    <row r="3494" spans="1:3" ht="15.75" thickBot="1">
      <c r="A3494" s="6" t="s">
        <v>6650</v>
      </c>
      <c r="B3494" s="5" t="s">
        <v>6651</v>
      </c>
      <c r="C3494" s="3" t="s">
        <v>5</v>
      </c>
    </row>
    <row r="3495" spans="1:3" ht="15.75" thickBot="1">
      <c r="A3495" s="6" t="s">
        <v>6652</v>
      </c>
      <c r="B3495" s="5" t="s">
        <v>6653</v>
      </c>
      <c r="C3495" s="3" t="s">
        <v>5</v>
      </c>
    </row>
    <row r="3496" spans="1:3" ht="15.75" thickBot="1">
      <c r="A3496" s="6" t="s">
        <v>6654</v>
      </c>
      <c r="B3496" s="5" t="s">
        <v>6655</v>
      </c>
      <c r="C3496" s="3" t="s">
        <v>5</v>
      </c>
    </row>
    <row r="3497" spans="1:3" ht="15.75" thickBot="1">
      <c r="A3497" s="6" t="s">
        <v>6656</v>
      </c>
      <c r="B3497" s="5" t="e">
        <f xml:space="preserve"> door operator</f>
        <v>#NAME?</v>
      </c>
      <c r="C3497" s="3" t="s">
        <v>5</v>
      </c>
    </row>
    <row r="3498" spans="1:3" ht="15.75" thickBot="1">
      <c r="A3498" s="6" t="s">
        <v>6657</v>
      </c>
      <c r="B3498" s="5" t="s">
        <v>4696</v>
      </c>
      <c r="C3498" s="3" t="s">
        <v>5</v>
      </c>
    </row>
    <row r="3499" spans="1:3" ht="15.75" thickBot="1">
      <c r="A3499" s="6" t="s">
        <v>6658</v>
      </c>
      <c r="B3499" s="5" t="s">
        <v>6659</v>
      </c>
      <c r="C3499" s="3" t="s">
        <v>5</v>
      </c>
    </row>
    <row r="3500" spans="1:3" ht="15.75" thickBot="1">
      <c r="A3500" s="6" t="s">
        <v>6660</v>
      </c>
      <c r="B3500" s="5" t="s">
        <v>6661</v>
      </c>
      <c r="C3500" s="3" t="s">
        <v>5</v>
      </c>
    </row>
    <row r="3501" spans="1:3">
      <c r="A3501" s="1" t="s">
        <v>6662</v>
      </c>
      <c r="B3501" s="2" t="s">
        <v>6663</v>
      </c>
      <c r="C3501" s="3" t="s">
        <v>5</v>
      </c>
    </row>
    <row r="3502" spans="1:3" ht="15.75" thickBot="1">
      <c r="A3502" s="4"/>
      <c r="B3502" s="5" t="s">
        <v>1142</v>
      </c>
      <c r="C3502" s="3" t="s">
        <v>5</v>
      </c>
    </row>
    <row r="3503" spans="1:3" ht="15.75" thickBot="1">
      <c r="A3503" s="6" t="s">
        <v>6664</v>
      </c>
      <c r="B3503" s="5" t="s">
        <v>6665</v>
      </c>
      <c r="C3503" s="3" t="s">
        <v>5</v>
      </c>
    </row>
    <row r="3504" spans="1:3" ht="15.75" thickBot="1">
      <c r="A3504" s="6" t="s">
        <v>6666</v>
      </c>
      <c r="B3504" s="5" t="s">
        <v>6667</v>
      </c>
      <c r="C3504" s="3" t="s">
        <v>5</v>
      </c>
    </row>
    <row r="3505" spans="1:3" ht="15.75" thickBot="1">
      <c r="A3505" s="6" t="s">
        <v>6668</v>
      </c>
      <c r="B3505" s="5" t="s">
        <v>6669</v>
      </c>
      <c r="C3505" s="3" t="s">
        <v>5</v>
      </c>
    </row>
    <row r="3506" spans="1:3" ht="15.75" thickBot="1">
      <c r="A3506" s="6" t="s">
        <v>6670</v>
      </c>
      <c r="B3506" s="5" t="s">
        <v>6671</v>
      </c>
      <c r="C3506" s="3" t="s">
        <v>5</v>
      </c>
    </row>
    <row r="3507" spans="1:3" ht="15.75" thickBot="1">
      <c r="A3507" s="6" t="s">
        <v>6672</v>
      </c>
      <c r="B3507" s="5" t="s">
        <v>6673</v>
      </c>
      <c r="C3507" s="3" t="s">
        <v>5</v>
      </c>
    </row>
    <row r="3508" spans="1:3" ht="15.75" thickBot="1">
      <c r="A3508" s="6" t="s">
        <v>6674</v>
      </c>
      <c r="B3508" s="5" t="s">
        <v>6675</v>
      </c>
      <c r="C3508" s="3" t="s">
        <v>5</v>
      </c>
    </row>
    <row r="3509" spans="1:3" ht="15.75" thickBot="1">
      <c r="A3509" s="6" t="s">
        <v>6676</v>
      </c>
      <c r="B3509" s="5" t="s">
        <v>6677</v>
      </c>
      <c r="C3509" s="3" t="s">
        <v>5</v>
      </c>
    </row>
    <row r="3510" spans="1:3" ht="15.75" thickBot="1">
      <c r="A3510" s="6" t="s">
        <v>6678</v>
      </c>
      <c r="B3510" s="5" t="s">
        <v>6679</v>
      </c>
      <c r="C3510" s="3" t="s">
        <v>5</v>
      </c>
    </row>
    <row r="3511" spans="1:3" ht="15.75" thickBot="1">
      <c r="A3511" s="6" t="s">
        <v>6680</v>
      </c>
      <c r="B3511" s="5" t="s">
        <v>6681</v>
      </c>
      <c r="C3511" s="3" t="s">
        <v>5</v>
      </c>
    </row>
    <row r="3512" spans="1:3" ht="15.75" thickBot="1">
      <c r="A3512" s="6" t="s">
        <v>6682</v>
      </c>
      <c r="B3512" s="5" t="s">
        <v>6683</v>
      </c>
      <c r="C3512" s="3" t="s">
        <v>5</v>
      </c>
    </row>
    <row r="3513" spans="1:3" ht="26.25" thickBot="1">
      <c r="A3513" s="6" t="s">
        <v>6684</v>
      </c>
      <c r="B3513" s="5" t="s">
        <v>6685</v>
      </c>
      <c r="C3513" s="3" t="s">
        <v>5</v>
      </c>
    </row>
    <row r="3514" spans="1:3" ht="15.75" thickBot="1">
      <c r="A3514" s="6" t="s">
        <v>6686</v>
      </c>
      <c r="B3514" s="5" t="s">
        <v>6687</v>
      </c>
      <c r="C3514" s="3" t="s">
        <v>5</v>
      </c>
    </row>
    <row r="3515" spans="1:3" ht="15.75" thickBot="1">
      <c r="A3515" s="6" t="s">
        <v>6688</v>
      </c>
      <c r="B3515" s="5" t="s">
        <v>6689</v>
      </c>
      <c r="C3515" s="3" t="s">
        <v>5</v>
      </c>
    </row>
    <row r="3516" spans="1:3" ht="15.75" thickBot="1">
      <c r="A3516" s="6" t="s">
        <v>6690</v>
      </c>
      <c r="B3516" s="5" t="s">
        <v>6691</v>
      </c>
      <c r="C3516" s="3" t="s">
        <v>5</v>
      </c>
    </row>
    <row r="3517" spans="1:3" ht="15.75" thickBot="1">
      <c r="A3517" s="6" t="s">
        <v>6692</v>
      </c>
      <c r="B3517" s="5" t="s">
        <v>6693</v>
      </c>
      <c r="C3517" s="3" t="s">
        <v>5</v>
      </c>
    </row>
    <row r="3518" spans="1:3" ht="15.75" thickBot="1">
      <c r="A3518" s="6" t="s">
        <v>6694</v>
      </c>
      <c r="B3518" s="5" t="s">
        <v>6695</v>
      </c>
      <c r="C3518" s="3" t="s">
        <v>5</v>
      </c>
    </row>
    <row r="3519" spans="1:3" ht="15.75" thickBot="1">
      <c r="A3519" s="6" t="s">
        <v>6696</v>
      </c>
      <c r="B3519" s="5" t="s">
        <v>6697</v>
      </c>
      <c r="C3519" s="3" t="s">
        <v>5</v>
      </c>
    </row>
    <row r="3520" spans="1:3" ht="15.75" thickBot="1">
      <c r="A3520" s="6" t="s">
        <v>6698</v>
      </c>
      <c r="B3520" s="5" t="s">
        <v>6699</v>
      </c>
      <c r="C3520" s="3" t="s">
        <v>5</v>
      </c>
    </row>
    <row r="3521" spans="1:3" ht="15.75" thickBot="1">
      <c r="A3521" s="6" t="s">
        <v>6700</v>
      </c>
      <c r="B3521" s="5" t="s">
        <v>6701</v>
      </c>
      <c r="C3521" s="3" t="s">
        <v>5</v>
      </c>
    </row>
    <row r="3522" spans="1:3" ht="15.75" thickBot="1">
      <c r="A3522" s="6" t="s">
        <v>6702</v>
      </c>
      <c r="B3522" s="5" t="s">
        <v>6703</v>
      </c>
      <c r="C3522" s="3" t="s">
        <v>5</v>
      </c>
    </row>
    <row r="3523" spans="1:3" ht="15.75" thickBot="1">
      <c r="A3523" s="6" t="s">
        <v>6704</v>
      </c>
      <c r="B3523" s="5" t="s">
        <v>6705</v>
      </c>
      <c r="C3523" s="3" t="s">
        <v>5</v>
      </c>
    </row>
    <row r="3524" spans="1:3" ht="15.75" thickBot="1">
      <c r="A3524" s="6" t="s">
        <v>6706</v>
      </c>
      <c r="B3524" s="5" t="s">
        <v>6707</v>
      </c>
      <c r="C3524" s="3" t="s">
        <v>5</v>
      </c>
    </row>
    <row r="3525" spans="1:3" ht="15.75" thickBot="1">
      <c r="A3525" s="6" t="s">
        <v>6708</v>
      </c>
      <c r="B3525" s="5" t="s">
        <v>6709</v>
      </c>
      <c r="C3525" s="3" t="s">
        <v>5</v>
      </c>
    </row>
    <row r="3526" spans="1:3" ht="15.75" thickBot="1">
      <c r="A3526" s="6" t="s">
        <v>6710</v>
      </c>
      <c r="B3526" s="5" t="s">
        <v>6711</v>
      </c>
      <c r="C3526" s="3" t="s">
        <v>5</v>
      </c>
    </row>
    <row r="3527" spans="1:3" ht="15.75" thickBot="1">
      <c r="A3527" s="6" t="s">
        <v>6712</v>
      </c>
      <c r="B3527" s="5" t="s">
        <v>6713</v>
      </c>
      <c r="C3527" s="3" t="s">
        <v>5</v>
      </c>
    </row>
    <row r="3528" spans="1:3" ht="15.75" thickBot="1">
      <c r="A3528" s="6" t="s">
        <v>6714</v>
      </c>
      <c r="B3528" s="5" t="s">
        <v>6715</v>
      </c>
      <c r="C3528" s="3" t="s">
        <v>5</v>
      </c>
    </row>
    <row r="3529" spans="1:3" ht="15.75" thickBot="1">
      <c r="A3529" s="6" t="s">
        <v>6716</v>
      </c>
      <c r="B3529" s="5" t="s">
        <v>6717</v>
      </c>
      <c r="C3529" s="3" t="s">
        <v>5</v>
      </c>
    </row>
    <row r="3530" spans="1:3" ht="15.75" thickBot="1">
      <c r="A3530" s="6" t="s">
        <v>6718</v>
      </c>
      <c r="B3530" s="5" t="s">
        <v>6719</v>
      </c>
      <c r="C3530" s="3" t="s">
        <v>5</v>
      </c>
    </row>
    <row r="3531" spans="1:3" ht="15.75" thickBot="1">
      <c r="A3531" s="6" t="s">
        <v>6720</v>
      </c>
      <c r="B3531" s="5" t="s">
        <v>6721</v>
      </c>
      <c r="C3531" s="3" t="s">
        <v>5</v>
      </c>
    </row>
    <row r="3532" spans="1:3" ht="15.75" thickBot="1">
      <c r="A3532" s="6" t="s">
        <v>6722</v>
      </c>
      <c r="B3532" s="5" t="s">
        <v>6723</v>
      </c>
      <c r="C3532" s="3" t="s">
        <v>5</v>
      </c>
    </row>
    <row r="3533" spans="1:3" ht="15.75" thickBot="1">
      <c r="A3533" s="6" t="s">
        <v>6724</v>
      </c>
      <c r="B3533" s="5" t="s">
        <v>6725</v>
      </c>
      <c r="C3533" s="3" t="s">
        <v>5</v>
      </c>
    </row>
    <row r="3534" spans="1:3" ht="15.75" thickBot="1">
      <c r="A3534" s="6" t="s">
        <v>6726</v>
      </c>
      <c r="B3534" s="5" t="s">
        <v>6727</v>
      </c>
      <c r="C3534" s="3" t="s">
        <v>5</v>
      </c>
    </row>
    <row r="3535" spans="1:3" ht="15.75" thickBot="1">
      <c r="A3535" s="6" t="s">
        <v>6728</v>
      </c>
      <c r="B3535" s="5" t="s">
        <v>6729</v>
      </c>
      <c r="C3535" s="3" t="s">
        <v>5</v>
      </c>
    </row>
    <row r="3536" spans="1:3" ht="15.75" thickBot="1">
      <c r="A3536" s="6" t="s">
        <v>6730</v>
      </c>
      <c r="B3536" s="5" t="s">
        <v>6731</v>
      </c>
      <c r="C3536" s="3" t="s">
        <v>5</v>
      </c>
    </row>
    <row r="3537" spans="1:3" ht="15.75" thickBot="1">
      <c r="A3537" s="6" t="s">
        <v>6732</v>
      </c>
      <c r="B3537" s="5" t="s">
        <v>6733</v>
      </c>
      <c r="C3537" s="3" t="s">
        <v>5</v>
      </c>
    </row>
    <row r="3538" spans="1:3">
      <c r="A3538" s="1" t="s">
        <v>6734</v>
      </c>
      <c r="B3538" s="2" t="s">
        <v>6735</v>
      </c>
      <c r="C3538" s="3" t="s">
        <v>5</v>
      </c>
    </row>
    <row r="3539" spans="1:3" ht="15.75" thickBot="1">
      <c r="A3539" s="4"/>
      <c r="B3539" s="5" t="s">
        <v>1997</v>
      </c>
      <c r="C3539" s="3" t="s">
        <v>5</v>
      </c>
    </row>
    <row r="3540" spans="1:3">
      <c r="A3540" s="1" t="s">
        <v>6736</v>
      </c>
      <c r="B3540" s="2" t="s">
        <v>6737</v>
      </c>
      <c r="C3540" s="3" t="s">
        <v>5</v>
      </c>
    </row>
    <row r="3541" spans="1:3" ht="15.75" thickBot="1">
      <c r="A3541" s="4"/>
      <c r="B3541" s="5" t="s">
        <v>1997</v>
      </c>
      <c r="C3541" s="3" t="s">
        <v>5</v>
      </c>
    </row>
    <row r="3542" spans="1:3" ht="15.75" thickBot="1">
      <c r="A3542" s="6" t="s">
        <v>6738</v>
      </c>
      <c r="B3542" s="5" t="s">
        <v>6739</v>
      </c>
      <c r="C3542" s="3" t="s">
        <v>5</v>
      </c>
    </row>
    <row r="3543" spans="1:3" ht="15.75" thickBot="1">
      <c r="A3543" s="6" t="s">
        <v>6740</v>
      </c>
      <c r="B3543" s="5" t="s">
        <v>6741</v>
      </c>
      <c r="C3543" s="3" t="s">
        <v>5</v>
      </c>
    </row>
    <row r="3544" spans="1:3" ht="15.75" thickBot="1">
      <c r="A3544" s="6" t="s">
        <v>6742</v>
      </c>
      <c r="B3544" s="5" t="s">
        <v>6743</v>
      </c>
      <c r="C3544" s="3" t="s">
        <v>5</v>
      </c>
    </row>
    <row r="3545" spans="1:3" ht="15.75" thickBot="1">
      <c r="A3545" s="6" t="s">
        <v>6744</v>
      </c>
      <c r="B3545" s="5" t="s">
        <v>6745</v>
      </c>
      <c r="C3545" s="3" t="s">
        <v>5</v>
      </c>
    </row>
    <row r="3546" spans="1:3" ht="15.75" thickBot="1">
      <c r="A3546" s="6" t="s">
        <v>6746</v>
      </c>
      <c r="B3546" s="5" t="s">
        <v>6747</v>
      </c>
      <c r="C3546" s="3" t="s">
        <v>5</v>
      </c>
    </row>
    <row r="3547" spans="1:3" ht="15.75" thickBot="1">
      <c r="A3547" s="6" t="s">
        <v>6748</v>
      </c>
      <c r="B3547" s="5" t="s">
        <v>6749</v>
      </c>
      <c r="C3547" s="3" t="s">
        <v>5</v>
      </c>
    </row>
    <row r="3548" spans="1:3" ht="15.75" thickBot="1">
      <c r="A3548" s="6" t="s">
        <v>6750</v>
      </c>
      <c r="B3548" s="5" t="s">
        <v>6751</v>
      </c>
      <c r="C3548" s="3" t="s">
        <v>5</v>
      </c>
    </row>
    <row r="3549" spans="1:3" ht="15.75" thickBot="1">
      <c r="A3549" s="6" t="s">
        <v>6752</v>
      </c>
      <c r="B3549" s="5" t="s">
        <v>6753</v>
      </c>
      <c r="C3549" s="3" t="s">
        <v>5</v>
      </c>
    </row>
    <row r="3550" spans="1:3" ht="15.75" thickBot="1">
      <c r="A3550" s="6" t="s">
        <v>6754</v>
      </c>
      <c r="B3550" s="5" t="s">
        <v>6755</v>
      </c>
      <c r="C3550" s="3" t="s">
        <v>5</v>
      </c>
    </row>
    <row r="3551" spans="1:3" ht="15.75" thickBot="1">
      <c r="A3551" s="6" t="s">
        <v>6756</v>
      </c>
      <c r="B3551" s="5" t="s">
        <v>6757</v>
      </c>
      <c r="C3551" s="3" t="s">
        <v>5</v>
      </c>
    </row>
    <row r="3552" spans="1:3" ht="15.75" thickBot="1">
      <c r="A3552" s="6" t="s">
        <v>6758</v>
      </c>
      <c r="B3552" s="5" t="s">
        <v>6759</v>
      </c>
      <c r="C3552" s="3" t="s">
        <v>5</v>
      </c>
    </row>
    <row r="3553" spans="1:3" ht="15.75" thickBot="1">
      <c r="A3553" s="6" t="s">
        <v>6760</v>
      </c>
      <c r="B3553" s="5" t="s">
        <v>6761</v>
      </c>
      <c r="C3553" s="3" t="s">
        <v>5</v>
      </c>
    </row>
    <row r="3554" spans="1:3" ht="15.75" thickBot="1">
      <c r="A3554" s="6" t="s">
        <v>6760</v>
      </c>
      <c r="B3554" s="5" t="s">
        <v>6761</v>
      </c>
      <c r="C3554" s="3" t="s">
        <v>5</v>
      </c>
    </row>
    <row r="3555" spans="1:3" ht="15.75" thickBot="1">
      <c r="A3555" s="6" t="s">
        <v>6762</v>
      </c>
      <c r="B3555" s="5" t="s">
        <v>6763</v>
      </c>
      <c r="C3555" s="3" t="s">
        <v>5</v>
      </c>
    </row>
    <row r="3556" spans="1:3" ht="15.75" thickBot="1">
      <c r="A3556" s="6" t="s">
        <v>6764</v>
      </c>
      <c r="B3556" s="5" t="s">
        <v>6765</v>
      </c>
      <c r="C3556" s="3" t="s">
        <v>5</v>
      </c>
    </row>
    <row r="3557" spans="1:3" ht="15.75" thickBot="1">
      <c r="A3557" s="6" t="s">
        <v>6766</v>
      </c>
      <c r="B3557" s="5" t="s">
        <v>6767</v>
      </c>
      <c r="C3557" s="3" t="s">
        <v>5</v>
      </c>
    </row>
    <row r="3558" spans="1:3">
      <c r="A3558" s="1" t="s">
        <v>6768</v>
      </c>
      <c r="B3558" s="2" t="s">
        <v>6769</v>
      </c>
      <c r="C3558" s="3" t="s">
        <v>5</v>
      </c>
    </row>
    <row r="3559" spans="1:3" ht="15.75" thickBot="1">
      <c r="A3559" s="4"/>
      <c r="B3559" s="5" t="s">
        <v>6770</v>
      </c>
      <c r="C3559" s="3" t="s">
        <v>5</v>
      </c>
    </row>
    <row r="3560" spans="1:3" ht="15.75" thickBot="1">
      <c r="A3560" s="6" t="s">
        <v>6771</v>
      </c>
      <c r="B3560" s="5" t="s">
        <v>6772</v>
      </c>
      <c r="C3560" s="3" t="s">
        <v>5</v>
      </c>
    </row>
    <row r="3561" spans="1:3" ht="15.75" thickBot="1">
      <c r="A3561" s="6" t="s">
        <v>6773</v>
      </c>
      <c r="B3561" s="5" t="s">
        <v>6774</v>
      </c>
      <c r="C3561" s="3" t="s">
        <v>5</v>
      </c>
    </row>
    <row r="3562" spans="1:3" ht="15.75" thickBot="1">
      <c r="A3562" s="6" t="s">
        <v>6775</v>
      </c>
      <c r="B3562" s="5" t="s">
        <v>6776</v>
      </c>
      <c r="C3562" s="3" t="s">
        <v>5</v>
      </c>
    </row>
    <row r="3563" spans="1:3" ht="15.75" thickBot="1">
      <c r="A3563" s="6" t="s">
        <v>6777</v>
      </c>
      <c r="B3563" s="5" t="s">
        <v>6778</v>
      </c>
      <c r="C3563" s="3" t="s">
        <v>5</v>
      </c>
    </row>
    <row r="3564" spans="1:3" ht="15.75" thickBot="1">
      <c r="A3564" s="6" t="s">
        <v>6779</v>
      </c>
      <c r="B3564" s="5" t="s">
        <v>6780</v>
      </c>
      <c r="C3564" s="3" t="s">
        <v>5</v>
      </c>
    </row>
    <row r="3565" spans="1:3" ht="15.75" thickBot="1">
      <c r="A3565" s="6" t="s">
        <v>6781</v>
      </c>
      <c r="B3565" s="5" t="s">
        <v>6782</v>
      </c>
      <c r="C3565" s="3" t="s">
        <v>5</v>
      </c>
    </row>
    <row r="3566" spans="1:3" ht="15.75" thickBot="1">
      <c r="A3566" s="6" t="s">
        <v>6783</v>
      </c>
      <c r="B3566" s="5" t="s">
        <v>6784</v>
      </c>
      <c r="C3566" s="3" t="s">
        <v>5</v>
      </c>
    </row>
    <row r="3567" spans="1:3" ht="15.75" thickBot="1">
      <c r="A3567" s="6" t="s">
        <v>6785</v>
      </c>
      <c r="B3567" s="5" t="s">
        <v>6786</v>
      </c>
      <c r="C3567" s="3" t="s">
        <v>5</v>
      </c>
    </row>
    <row r="3568" spans="1:3" ht="15.75" thickBot="1">
      <c r="A3568" s="6" t="s">
        <v>6787</v>
      </c>
      <c r="B3568" s="5" t="s">
        <v>6788</v>
      </c>
      <c r="C3568" s="3" t="s">
        <v>5</v>
      </c>
    </row>
    <row r="3569" spans="1:3" ht="15.75" thickBot="1">
      <c r="A3569" s="6" t="s">
        <v>6789</v>
      </c>
      <c r="B3569" s="5" t="s">
        <v>6790</v>
      </c>
      <c r="C3569" s="3" t="s">
        <v>5</v>
      </c>
    </row>
    <row r="3570" spans="1:3" ht="15.75" thickBot="1">
      <c r="A3570" s="6" t="s">
        <v>6791</v>
      </c>
      <c r="B3570" s="5" t="s">
        <v>6792</v>
      </c>
      <c r="C3570" s="3" t="s">
        <v>5</v>
      </c>
    </row>
    <row r="3571" spans="1:3" ht="15.75" thickBot="1">
      <c r="A3571" s="6" t="s">
        <v>6793</v>
      </c>
      <c r="B3571" s="5" t="s">
        <v>6794</v>
      </c>
      <c r="C3571" s="3" t="s">
        <v>5</v>
      </c>
    </row>
    <row r="3572" spans="1:3" ht="15.75" thickBot="1">
      <c r="A3572" s="6" t="s">
        <v>6795</v>
      </c>
      <c r="B3572" s="5" t="s">
        <v>6796</v>
      </c>
      <c r="C3572" s="3" t="s">
        <v>5</v>
      </c>
    </row>
    <row r="3573" spans="1:3" ht="15.75" thickBot="1">
      <c r="A3573" s="6" t="s">
        <v>6797</v>
      </c>
      <c r="B3573" s="5" t="s">
        <v>6798</v>
      </c>
      <c r="C3573" s="3" t="s">
        <v>5</v>
      </c>
    </row>
    <row r="3574" spans="1:3" ht="15.75" thickBot="1">
      <c r="A3574" s="6" t="s">
        <v>6799</v>
      </c>
      <c r="B3574" s="5" t="s">
        <v>6800</v>
      </c>
      <c r="C3574" s="3" t="s">
        <v>5</v>
      </c>
    </row>
    <row r="3575" spans="1:3" ht="15.75" thickBot="1">
      <c r="A3575" s="6" t="s">
        <v>6801</v>
      </c>
      <c r="B3575" s="5" t="s">
        <v>6802</v>
      </c>
      <c r="C3575" s="3" t="s">
        <v>5</v>
      </c>
    </row>
    <row r="3576" spans="1:3" ht="15.75" thickBot="1">
      <c r="A3576" s="6" t="s">
        <v>6803</v>
      </c>
      <c r="B3576" s="5" t="s">
        <v>6804</v>
      </c>
      <c r="C3576" s="3" t="s">
        <v>5</v>
      </c>
    </row>
    <row r="3577" spans="1:3" ht="15.75" thickBot="1">
      <c r="A3577" s="6" t="s">
        <v>6805</v>
      </c>
      <c r="B3577" s="5" t="s">
        <v>6806</v>
      </c>
      <c r="C3577" s="3" t="s">
        <v>5</v>
      </c>
    </row>
    <row r="3578" spans="1:3" ht="15.75" thickBot="1">
      <c r="A3578" s="6" t="s">
        <v>6807</v>
      </c>
      <c r="B3578" s="5" t="s">
        <v>6808</v>
      </c>
      <c r="C3578" s="3" t="s">
        <v>5</v>
      </c>
    </row>
    <row r="3579" spans="1:3" ht="15.75" thickBot="1">
      <c r="A3579" s="6" t="s">
        <v>6809</v>
      </c>
      <c r="B3579" s="5" t="s">
        <v>6810</v>
      </c>
      <c r="C3579" s="3" t="s">
        <v>5</v>
      </c>
    </row>
    <row r="3580" spans="1:3" ht="15.75" thickBot="1">
      <c r="A3580" s="6" t="s">
        <v>6811</v>
      </c>
      <c r="B3580" s="5" t="s">
        <v>6812</v>
      </c>
      <c r="C3580" s="3" t="s">
        <v>5</v>
      </c>
    </row>
    <row r="3581" spans="1:3" ht="15.75" thickBot="1">
      <c r="A3581" s="6" t="s">
        <v>6813</v>
      </c>
      <c r="B3581" s="5" t="s">
        <v>6814</v>
      </c>
      <c r="C3581" s="3" t="s">
        <v>5</v>
      </c>
    </row>
    <row r="3582" spans="1:3" ht="15.75" thickBot="1">
      <c r="A3582" s="6" t="s">
        <v>6815</v>
      </c>
      <c r="B3582" s="5" t="s">
        <v>6816</v>
      </c>
      <c r="C3582" s="3" t="s">
        <v>5</v>
      </c>
    </row>
    <row r="3583" spans="1:3" ht="15.75" thickBot="1">
      <c r="A3583" s="6" t="s">
        <v>6817</v>
      </c>
      <c r="B3583" s="5" t="s">
        <v>6818</v>
      </c>
      <c r="C3583" s="3" t="s">
        <v>5</v>
      </c>
    </row>
    <row r="3584" spans="1:3" ht="15.75" thickBot="1">
      <c r="A3584" s="6" t="s">
        <v>6819</v>
      </c>
      <c r="B3584" s="5" t="s">
        <v>6820</v>
      </c>
      <c r="C3584" s="3" t="s">
        <v>5</v>
      </c>
    </row>
    <row r="3585" spans="1:3" ht="15.75" thickBot="1">
      <c r="A3585" s="6" t="s">
        <v>6821</v>
      </c>
      <c r="B3585" s="5" t="s">
        <v>6822</v>
      </c>
      <c r="C3585" s="3" t="s">
        <v>5</v>
      </c>
    </row>
    <row r="3586" spans="1:3" ht="15.75" thickBot="1">
      <c r="A3586" s="6" t="s">
        <v>6823</v>
      </c>
      <c r="B3586" s="5" t="s">
        <v>6824</v>
      </c>
      <c r="C3586" s="3" t="s">
        <v>5</v>
      </c>
    </row>
    <row r="3587" spans="1:3" ht="15.75" thickBot="1">
      <c r="A3587" s="6" t="s">
        <v>6825</v>
      </c>
      <c r="B3587" s="5" t="s">
        <v>6826</v>
      </c>
      <c r="C3587" s="3" t="s">
        <v>5</v>
      </c>
    </row>
    <row r="3588" spans="1:3" ht="15.75" thickBot="1">
      <c r="A3588" s="6" t="s">
        <v>6827</v>
      </c>
      <c r="B3588" s="5" t="s">
        <v>6828</v>
      </c>
      <c r="C3588" s="3" t="s">
        <v>5</v>
      </c>
    </row>
    <row r="3589" spans="1:3" ht="15.75" thickBot="1">
      <c r="A3589" s="6" t="s">
        <v>6829</v>
      </c>
      <c r="B3589" s="5" t="s">
        <v>6830</v>
      </c>
      <c r="C3589" s="3" t="s">
        <v>5</v>
      </c>
    </row>
    <row r="3590" spans="1:3" ht="15.75" thickBot="1">
      <c r="A3590" s="6" t="s">
        <v>6831</v>
      </c>
      <c r="B3590" s="5" t="s">
        <v>6832</v>
      </c>
      <c r="C3590" s="3" t="s">
        <v>5</v>
      </c>
    </row>
    <row r="3591" spans="1:3" ht="15.75" thickBot="1">
      <c r="A3591" s="6" t="s">
        <v>6833</v>
      </c>
      <c r="B3591" s="5" t="s">
        <v>6834</v>
      </c>
      <c r="C3591" s="3" t="s">
        <v>5</v>
      </c>
    </row>
    <row r="3592" spans="1:3" ht="15.75" thickBot="1">
      <c r="A3592" s="6" t="s">
        <v>6835</v>
      </c>
      <c r="B3592" s="5" t="s">
        <v>6836</v>
      </c>
      <c r="C3592" s="3" t="s">
        <v>5</v>
      </c>
    </row>
    <row r="3593" spans="1:3" ht="15.75" thickBot="1">
      <c r="A3593" s="6" t="s">
        <v>6837</v>
      </c>
      <c r="B3593" s="5" t="s">
        <v>6838</v>
      </c>
      <c r="C3593" s="3" t="s">
        <v>5</v>
      </c>
    </row>
    <row r="3594" spans="1:3" ht="15.75" thickBot="1">
      <c r="A3594" s="6" t="s">
        <v>6837</v>
      </c>
      <c r="B3594" s="5" t="s">
        <v>4958</v>
      </c>
      <c r="C3594" s="3" t="s">
        <v>5</v>
      </c>
    </row>
    <row r="3595" spans="1:3" ht="15.75" thickBot="1">
      <c r="A3595" s="6" t="s">
        <v>6839</v>
      </c>
      <c r="B3595" s="5" t="s">
        <v>6840</v>
      </c>
      <c r="C3595" s="3" t="s">
        <v>5</v>
      </c>
    </row>
    <row r="3596" spans="1:3" ht="15.75" thickBot="1">
      <c r="A3596" s="6" t="s">
        <v>6841</v>
      </c>
      <c r="B3596" s="5" t="s">
        <v>6842</v>
      </c>
      <c r="C3596" s="3" t="s">
        <v>5</v>
      </c>
    </row>
    <row r="3597" spans="1:3" ht="15.75" thickBot="1">
      <c r="A3597" s="6" t="s">
        <v>6843</v>
      </c>
      <c r="B3597" s="5" t="s">
        <v>6844</v>
      </c>
      <c r="C3597" s="3" t="s">
        <v>5</v>
      </c>
    </row>
    <row r="3598" spans="1:3" ht="15.75" thickBot="1">
      <c r="A3598" s="6" t="s">
        <v>6845</v>
      </c>
      <c r="B3598" s="5" t="s">
        <v>6846</v>
      </c>
      <c r="C3598" s="3" t="s">
        <v>5</v>
      </c>
    </row>
    <row r="3599" spans="1:3" ht="15.75" thickBot="1">
      <c r="A3599" s="6" t="s">
        <v>6847</v>
      </c>
      <c r="B3599" s="5" t="s">
        <v>6848</v>
      </c>
      <c r="C3599" s="3" t="s">
        <v>5</v>
      </c>
    </row>
    <row r="3600" spans="1:3" ht="15.75" thickBot="1">
      <c r="A3600" s="6" t="s">
        <v>6849</v>
      </c>
      <c r="B3600" s="5" t="s">
        <v>4977</v>
      </c>
      <c r="C3600" s="3" t="s">
        <v>5</v>
      </c>
    </row>
    <row r="3601" spans="1:3" ht="15.75" thickBot="1">
      <c r="A3601" s="6" t="s">
        <v>6850</v>
      </c>
      <c r="B3601" s="5" t="s">
        <v>6851</v>
      </c>
      <c r="C3601" s="3" t="s">
        <v>5</v>
      </c>
    </row>
    <row r="3602" spans="1:3" ht="15.75" thickBot="1">
      <c r="A3602" s="6" t="s">
        <v>6852</v>
      </c>
      <c r="B3602" s="5" t="s">
        <v>6853</v>
      </c>
      <c r="C3602" s="3" t="s">
        <v>5</v>
      </c>
    </row>
    <row r="3603" spans="1:3" ht="15.75" thickBot="1">
      <c r="A3603" s="6" t="s">
        <v>6854</v>
      </c>
      <c r="B3603" s="5" t="s">
        <v>6855</v>
      </c>
      <c r="C3603" s="3" t="s">
        <v>5</v>
      </c>
    </row>
    <row r="3604" spans="1:3" ht="15.75" thickBot="1">
      <c r="A3604" s="6" t="s">
        <v>6856</v>
      </c>
      <c r="B3604" s="5" t="s">
        <v>6857</v>
      </c>
      <c r="C3604" s="3" t="s">
        <v>5</v>
      </c>
    </row>
    <row r="3605" spans="1:3" ht="15.75" thickBot="1">
      <c r="A3605" s="6" t="s">
        <v>6858</v>
      </c>
      <c r="B3605" s="5" t="s">
        <v>6859</v>
      </c>
      <c r="C3605" s="3" t="s">
        <v>5</v>
      </c>
    </row>
    <row r="3606" spans="1:3" ht="15.75" thickBot="1">
      <c r="A3606" s="6" t="s">
        <v>6860</v>
      </c>
      <c r="B3606" s="5" t="s">
        <v>6861</v>
      </c>
      <c r="C3606" s="3" t="s">
        <v>5</v>
      </c>
    </row>
    <row r="3607" spans="1:3" ht="15.75" thickBot="1">
      <c r="A3607" s="6" t="s">
        <v>6862</v>
      </c>
      <c r="B3607" s="5" t="s">
        <v>6863</v>
      </c>
      <c r="C3607" s="3" t="s">
        <v>5</v>
      </c>
    </row>
    <row r="3608" spans="1:3" ht="15.75" thickBot="1">
      <c r="A3608" s="6" t="s">
        <v>6864</v>
      </c>
      <c r="B3608" s="5" t="s">
        <v>4998</v>
      </c>
      <c r="C3608" s="3" t="s">
        <v>5</v>
      </c>
    </row>
    <row r="3609" spans="1:3" ht="15.75" thickBot="1">
      <c r="A3609" s="6" t="s">
        <v>6865</v>
      </c>
      <c r="B3609" s="5" t="s">
        <v>6866</v>
      </c>
      <c r="C3609" s="3" t="s">
        <v>5</v>
      </c>
    </row>
    <row r="3610" spans="1:3" ht="15.75" thickBot="1">
      <c r="A3610" s="6" t="s">
        <v>6867</v>
      </c>
      <c r="B3610" s="5" t="s">
        <v>6868</v>
      </c>
      <c r="C3610" s="3" t="s">
        <v>5</v>
      </c>
    </row>
    <row r="3611" spans="1:3" ht="15.75" thickBot="1">
      <c r="A3611" s="6" t="s">
        <v>6869</v>
      </c>
      <c r="B3611" s="5" t="s">
        <v>6870</v>
      </c>
      <c r="C3611" s="3" t="s">
        <v>5</v>
      </c>
    </row>
    <row r="3612" spans="1:3" ht="15.75" thickBot="1">
      <c r="A3612" s="6" t="s">
        <v>6871</v>
      </c>
      <c r="B3612" s="5" t="s">
        <v>6872</v>
      </c>
      <c r="C3612" s="3" t="s">
        <v>5</v>
      </c>
    </row>
    <row r="3613" spans="1:3" ht="15.75" thickBot="1">
      <c r="A3613" s="6" t="s">
        <v>6873</v>
      </c>
      <c r="B3613" s="5" t="s">
        <v>6874</v>
      </c>
      <c r="C3613" s="3" t="s">
        <v>5</v>
      </c>
    </row>
    <row r="3614" spans="1:3" ht="15.75" thickBot="1">
      <c r="A3614" s="6" t="s">
        <v>6875</v>
      </c>
      <c r="B3614" s="5" t="s">
        <v>6876</v>
      </c>
      <c r="C3614" s="3" t="s">
        <v>5</v>
      </c>
    </row>
    <row r="3615" spans="1:3" ht="15.75" thickBot="1">
      <c r="A3615" s="6" t="s">
        <v>6877</v>
      </c>
      <c r="B3615" s="5" t="s">
        <v>6878</v>
      </c>
      <c r="C3615" s="3" t="s">
        <v>5</v>
      </c>
    </row>
    <row r="3616" spans="1:3" ht="15.75" thickBot="1">
      <c r="A3616" s="6" t="s">
        <v>6879</v>
      </c>
      <c r="B3616" s="5" t="s">
        <v>6880</v>
      </c>
      <c r="C3616" s="3" t="s">
        <v>5</v>
      </c>
    </row>
    <row r="3617" spans="1:3" ht="15.75" thickBot="1">
      <c r="A3617" s="6" t="s">
        <v>6881</v>
      </c>
      <c r="B3617" s="5" t="s">
        <v>6882</v>
      </c>
      <c r="C3617" s="3" t="s">
        <v>5</v>
      </c>
    </row>
    <row r="3618" spans="1:3" ht="15.75" thickBot="1">
      <c r="A3618" s="6" t="s">
        <v>6883</v>
      </c>
      <c r="B3618" s="5" t="s">
        <v>6884</v>
      </c>
      <c r="C3618" s="3" t="s">
        <v>5</v>
      </c>
    </row>
    <row r="3619" spans="1:3" ht="15.75" thickBot="1">
      <c r="A3619" s="6" t="s">
        <v>6885</v>
      </c>
      <c r="B3619" s="5" t="s">
        <v>6886</v>
      </c>
      <c r="C3619" s="3" t="s">
        <v>5</v>
      </c>
    </row>
    <row r="3620" spans="1:3" ht="15.75" thickBot="1">
      <c r="A3620" s="6" t="s">
        <v>6887</v>
      </c>
      <c r="B3620" s="5" t="s">
        <v>6888</v>
      </c>
      <c r="C3620" s="3" t="s">
        <v>5</v>
      </c>
    </row>
    <row r="3621" spans="1:3" ht="15.75" thickBot="1">
      <c r="A3621" s="6" t="s">
        <v>6889</v>
      </c>
      <c r="B3621" s="5" t="s">
        <v>6890</v>
      </c>
      <c r="C3621" s="3" t="s">
        <v>5</v>
      </c>
    </row>
    <row r="3622" spans="1:3" ht="15.75" thickBot="1">
      <c r="A3622" s="6" t="s">
        <v>6891</v>
      </c>
      <c r="B3622" s="5" t="s">
        <v>6892</v>
      </c>
      <c r="C3622" s="3" t="s">
        <v>5</v>
      </c>
    </row>
    <row r="3623" spans="1:3" ht="15.75" thickBot="1">
      <c r="A3623" s="6" t="s">
        <v>6893</v>
      </c>
      <c r="B3623" s="5" t="s">
        <v>6894</v>
      </c>
      <c r="C3623" s="3" t="s">
        <v>5</v>
      </c>
    </row>
    <row r="3624" spans="1:3" ht="15.75" thickBot="1">
      <c r="A3624" s="6" t="s">
        <v>6895</v>
      </c>
      <c r="B3624" s="5" t="s">
        <v>5032</v>
      </c>
      <c r="C3624" s="3" t="s">
        <v>5</v>
      </c>
    </row>
    <row r="3625" spans="1:3" ht="15.75" thickBot="1">
      <c r="A3625" s="6" t="s">
        <v>6896</v>
      </c>
      <c r="B3625" s="5" t="s">
        <v>6897</v>
      </c>
      <c r="C3625" s="3" t="s">
        <v>5</v>
      </c>
    </row>
    <row r="3626" spans="1:3" ht="15.75" thickBot="1">
      <c r="A3626" s="6" t="s">
        <v>6898</v>
      </c>
      <c r="B3626" s="5" t="s">
        <v>6899</v>
      </c>
      <c r="C3626" s="3" t="s">
        <v>5</v>
      </c>
    </row>
    <row r="3627" spans="1:3" ht="15.75" thickBot="1">
      <c r="A3627" s="6" t="s">
        <v>6900</v>
      </c>
      <c r="B3627" s="5" t="s">
        <v>6901</v>
      </c>
      <c r="C3627" s="3" t="s">
        <v>5</v>
      </c>
    </row>
    <row r="3628" spans="1:3" ht="15.75" thickBot="1">
      <c r="A3628" s="6" t="s">
        <v>6902</v>
      </c>
      <c r="B3628" s="5" t="s">
        <v>6903</v>
      </c>
      <c r="C3628" s="3" t="s">
        <v>5</v>
      </c>
    </row>
    <row r="3629" spans="1:3" ht="15.75" thickBot="1">
      <c r="A3629" s="6" t="s">
        <v>6904</v>
      </c>
      <c r="B3629" s="5" t="s">
        <v>6905</v>
      </c>
      <c r="C3629" s="3" t="s">
        <v>5</v>
      </c>
    </row>
    <row r="3630" spans="1:3" ht="15.75" thickBot="1">
      <c r="A3630" s="6" t="s">
        <v>6906</v>
      </c>
      <c r="B3630" s="5" t="s">
        <v>6907</v>
      </c>
      <c r="C3630" s="3" t="s">
        <v>5</v>
      </c>
    </row>
    <row r="3631" spans="1:3" ht="15.75" thickBot="1">
      <c r="A3631" s="6" t="s">
        <v>6908</v>
      </c>
      <c r="B3631" s="5" t="s">
        <v>6909</v>
      </c>
      <c r="C3631" s="3" t="s">
        <v>5</v>
      </c>
    </row>
    <row r="3632" spans="1:3" ht="15.75" thickBot="1">
      <c r="A3632" s="6" t="s">
        <v>6910</v>
      </c>
      <c r="B3632" s="5" t="s">
        <v>6911</v>
      </c>
      <c r="C3632" s="3" t="s">
        <v>5</v>
      </c>
    </row>
    <row r="3633" spans="1:3" ht="15.75" thickBot="1">
      <c r="A3633" s="6" t="s">
        <v>6912</v>
      </c>
      <c r="B3633" s="5" t="e">
        <f xml:space="preserve"> envelope velocity</f>
        <v>#NAME?</v>
      </c>
      <c r="C3633" s="3" t="s">
        <v>5</v>
      </c>
    </row>
    <row r="3634" spans="1:3" ht="15.75" thickBot="1">
      <c r="A3634" s="6" t="s">
        <v>6913</v>
      </c>
      <c r="B3634" s="5" t="s">
        <v>6914</v>
      </c>
      <c r="C3634" s="3" t="s">
        <v>5</v>
      </c>
    </row>
    <row r="3635" spans="1:3" ht="15.75" thickBot="1">
      <c r="A3635" s="6" t="s">
        <v>6915</v>
      </c>
      <c r="B3635" s="5" t="s">
        <v>6916</v>
      </c>
      <c r="C3635" s="3" t="s">
        <v>5</v>
      </c>
    </row>
    <row r="3636" spans="1:3" ht="15.75" thickBot="1">
      <c r="A3636" s="6" t="s">
        <v>6917</v>
      </c>
      <c r="B3636" s="5" t="s">
        <v>6918</v>
      </c>
      <c r="C3636" s="3" t="s">
        <v>5</v>
      </c>
    </row>
    <row r="3637" spans="1:3" ht="15.75" thickBot="1">
      <c r="A3637" s="6" t="s">
        <v>6919</v>
      </c>
      <c r="B3637" s="5" t="s">
        <v>6920</v>
      </c>
      <c r="C3637" s="3" t="s">
        <v>5</v>
      </c>
    </row>
    <row r="3638" spans="1:3" ht="15.75" thickBot="1">
      <c r="A3638" s="6" t="s">
        <v>6921</v>
      </c>
      <c r="B3638" s="5" t="s">
        <v>6922</v>
      </c>
      <c r="C3638" s="3" t="s">
        <v>5</v>
      </c>
    </row>
    <row r="3639" spans="1:3" ht="15.75" thickBot="1">
      <c r="A3639" s="6" t="s">
        <v>6923</v>
      </c>
      <c r="B3639" s="5" t="s">
        <v>6924</v>
      </c>
      <c r="C3639" s="3" t="s">
        <v>5</v>
      </c>
    </row>
    <row r="3640" spans="1:3" ht="15.75" thickBot="1">
      <c r="A3640" s="6" t="s">
        <v>6925</v>
      </c>
      <c r="B3640" s="5" t="s">
        <v>6926</v>
      </c>
      <c r="C3640" s="3" t="s">
        <v>5</v>
      </c>
    </row>
    <row r="3641" spans="1:3" ht="15.75" thickBot="1">
      <c r="A3641" s="6" t="s">
        <v>6927</v>
      </c>
      <c r="B3641" s="5" t="s">
        <v>6928</v>
      </c>
      <c r="C3641" s="3" t="s">
        <v>5</v>
      </c>
    </row>
    <row r="3642" spans="1:3" ht="15.75" thickBot="1">
      <c r="A3642" s="6" t="s">
        <v>6929</v>
      </c>
      <c r="B3642" s="5" t="s">
        <v>6930</v>
      </c>
      <c r="C3642" s="3" t="s">
        <v>5</v>
      </c>
    </row>
    <row r="3643" spans="1:3" ht="15.75" thickBot="1">
      <c r="A3643" s="6" t="s">
        <v>6931</v>
      </c>
      <c r="B3643" s="5" t="s">
        <v>6932</v>
      </c>
      <c r="C3643" s="3" t="s">
        <v>5</v>
      </c>
    </row>
    <row r="3644" spans="1:3" ht="15.75" thickBot="1">
      <c r="A3644" s="6" t="s">
        <v>6933</v>
      </c>
      <c r="B3644" s="5" t="s">
        <v>6934</v>
      </c>
      <c r="C3644" s="3" t="s">
        <v>5</v>
      </c>
    </row>
    <row r="3645" spans="1:3" ht="15.75" thickBot="1">
      <c r="A3645" s="6" t="s">
        <v>6935</v>
      </c>
      <c r="B3645" s="5" t="s">
        <v>6936</v>
      </c>
      <c r="C3645" s="3" t="s">
        <v>5</v>
      </c>
    </row>
    <row r="3646" spans="1:3" ht="15.75" thickBot="1">
      <c r="A3646" s="6" t="s">
        <v>6937</v>
      </c>
      <c r="B3646" s="5" t="s">
        <v>6938</v>
      </c>
      <c r="C3646" s="3" t="s">
        <v>5</v>
      </c>
    </row>
    <row r="3647" spans="1:3" ht="15.75" thickBot="1">
      <c r="A3647" s="6" t="s">
        <v>6939</v>
      </c>
      <c r="B3647" s="5" t="s">
        <v>6940</v>
      </c>
      <c r="C3647" s="3" t="s">
        <v>5</v>
      </c>
    </row>
    <row r="3648" spans="1:3" ht="15.75" thickBot="1">
      <c r="A3648" s="6" t="s">
        <v>6941</v>
      </c>
      <c r="B3648" s="5" t="s">
        <v>6942</v>
      </c>
      <c r="C3648" s="3" t="s">
        <v>5</v>
      </c>
    </row>
    <row r="3649" spans="1:3" ht="15.75" thickBot="1">
      <c r="A3649" s="6" t="s">
        <v>6943</v>
      </c>
      <c r="B3649" s="5" t="s">
        <v>6944</v>
      </c>
      <c r="C3649" s="3" t="s">
        <v>5</v>
      </c>
    </row>
    <row r="3650" spans="1:3" ht="15.75" thickBot="1">
      <c r="A3650" s="6" t="s">
        <v>6945</v>
      </c>
      <c r="B3650" s="5" t="s">
        <v>6946</v>
      </c>
      <c r="C3650" s="3" t="s">
        <v>5</v>
      </c>
    </row>
    <row r="3651" spans="1:3" ht="15.75" thickBot="1">
      <c r="A3651" s="6" t="s">
        <v>6947</v>
      </c>
      <c r="B3651" s="5" t="s">
        <v>6948</v>
      </c>
      <c r="C3651" s="3" t="s">
        <v>5</v>
      </c>
    </row>
    <row r="3652" spans="1:3">
      <c r="A3652" s="1" t="s">
        <v>6949</v>
      </c>
      <c r="B3652" s="2" t="s">
        <v>6950</v>
      </c>
      <c r="C3652" s="3" t="s">
        <v>5</v>
      </c>
    </row>
    <row r="3653" spans="1:3" ht="15.75" thickBot="1">
      <c r="A3653" s="4"/>
      <c r="B3653" s="5" t="e">
        <f xml:space="preserve"> guy rope</f>
        <v>#NAME?</v>
      </c>
      <c r="C3653" s="3" t="s">
        <v>5</v>
      </c>
    </row>
    <row r="3654" spans="1:3" ht="15.75" thickBot="1">
      <c r="A3654" s="6" t="s">
        <v>6951</v>
      </c>
      <c r="B3654" s="5" t="s">
        <v>6952</v>
      </c>
      <c r="C3654" s="3" t="s">
        <v>5</v>
      </c>
    </row>
    <row r="3655" spans="1:3" ht="15.75" thickBot="1">
      <c r="A3655" s="6" t="s">
        <v>6953</v>
      </c>
      <c r="B3655" s="5" t="s">
        <v>6954</v>
      </c>
      <c r="C3655" s="3" t="s">
        <v>5</v>
      </c>
    </row>
    <row r="3656" spans="1:3" ht="15.75" thickBot="1">
      <c r="A3656" s="6" t="s">
        <v>6955</v>
      </c>
      <c r="B3656" s="5" t="s">
        <v>6956</v>
      </c>
      <c r="C3656" s="3" t="s">
        <v>5</v>
      </c>
    </row>
    <row r="3657" spans="1:3" ht="15.75" thickBot="1">
      <c r="A3657" s="6" t="s">
        <v>6957</v>
      </c>
      <c r="B3657" s="5" t="s">
        <v>6958</v>
      </c>
      <c r="C3657" s="3" t="s">
        <v>5</v>
      </c>
    </row>
    <row r="3658" spans="1:3" ht="15.75" thickBot="1">
      <c r="A3658" s="6" t="s">
        <v>6959</v>
      </c>
      <c r="B3658" s="5" t="s">
        <v>6960</v>
      </c>
      <c r="C3658" s="3" t="s">
        <v>5</v>
      </c>
    </row>
    <row r="3659" spans="1:3" ht="15.75" thickBot="1">
      <c r="A3659" s="6" t="s">
        <v>6961</v>
      </c>
      <c r="B3659" s="5" t="s">
        <v>6962</v>
      </c>
      <c r="C3659" s="3" t="s">
        <v>5</v>
      </c>
    </row>
    <row r="3660" spans="1:3" ht="15.75" thickBot="1">
      <c r="A3660" s="6" t="s">
        <v>6963</v>
      </c>
      <c r="B3660" s="5" t="s">
        <v>6964</v>
      </c>
      <c r="C3660" s="3" t="s">
        <v>5</v>
      </c>
    </row>
    <row r="3661" spans="1:3">
      <c r="A3661" s="1" t="s">
        <v>6965</v>
      </c>
      <c r="B3661" s="2" t="s">
        <v>6966</v>
      </c>
      <c r="C3661" s="3" t="s">
        <v>5</v>
      </c>
    </row>
    <row r="3662" spans="1:3" ht="15.75" thickBot="1">
      <c r="A3662" s="4"/>
      <c r="B3662" s="5" t="s">
        <v>6967</v>
      </c>
      <c r="C3662" s="3" t="s">
        <v>5</v>
      </c>
    </row>
    <row r="3663" spans="1:3" ht="15.75" thickBot="1">
      <c r="A3663" s="6" t="s">
        <v>6968</v>
      </c>
      <c r="B3663" s="5" t="s">
        <v>6969</v>
      </c>
      <c r="C3663" s="3" t="s">
        <v>5</v>
      </c>
    </row>
    <row r="3664" spans="1:3" ht="15.75" thickBot="1">
      <c r="A3664" s="6" t="s">
        <v>6970</v>
      </c>
      <c r="B3664" s="5" t="s">
        <v>6971</v>
      </c>
      <c r="C3664" s="3" t="s">
        <v>5</v>
      </c>
    </row>
    <row r="3665" spans="1:3">
      <c r="A3665" s="1" t="s">
        <v>6972</v>
      </c>
      <c r="B3665" s="2" t="s">
        <v>6973</v>
      </c>
      <c r="C3665" s="3" t="s">
        <v>5</v>
      </c>
    </row>
    <row r="3666" spans="1:3" ht="15.75" thickBot="1">
      <c r="A3666" s="4"/>
      <c r="B3666" s="5" t="s">
        <v>6974</v>
      </c>
      <c r="C3666" s="3" t="s">
        <v>5</v>
      </c>
    </row>
    <row r="3667" spans="1:3" ht="15.75" thickBot="1">
      <c r="A3667" s="6" t="s">
        <v>6975</v>
      </c>
      <c r="B3667" s="5" t="s">
        <v>6976</v>
      </c>
      <c r="C3667" s="3" t="s">
        <v>5</v>
      </c>
    </row>
    <row r="3668" spans="1:3" ht="15.75" thickBot="1">
      <c r="A3668" s="6" t="s">
        <v>6977</v>
      </c>
      <c r="B3668" s="5" t="s">
        <v>6978</v>
      </c>
      <c r="C3668" s="3" t="s">
        <v>5</v>
      </c>
    </row>
    <row r="3669" spans="1:3" ht="15.75" thickBot="1">
      <c r="A3669" s="6" t="s">
        <v>6979</v>
      </c>
      <c r="B3669" s="5" t="s">
        <v>6980</v>
      </c>
      <c r="C3669" s="3" t="s">
        <v>5</v>
      </c>
    </row>
    <row r="3670" spans="1:3" ht="15.75" thickBot="1">
      <c r="A3670" s="6" t="s">
        <v>6981</v>
      </c>
      <c r="B3670" s="5" t="s">
        <v>6982</v>
      </c>
      <c r="C3670" s="3" t="s">
        <v>5</v>
      </c>
    </row>
    <row r="3671" spans="1:3" ht="15.75" thickBot="1">
      <c r="A3671" s="6" t="s">
        <v>6983</v>
      </c>
      <c r="B3671" s="5" t="s">
        <v>6984</v>
      </c>
      <c r="C3671" s="3" t="s">
        <v>5</v>
      </c>
    </row>
    <row r="3672" spans="1:3" ht="15.75" thickBot="1">
      <c r="A3672" s="6" t="s">
        <v>6985</v>
      </c>
      <c r="B3672" s="5" t="s">
        <v>6986</v>
      </c>
      <c r="C3672" s="3" t="s">
        <v>5</v>
      </c>
    </row>
    <row r="3673" spans="1:3" ht="15.75" thickBot="1">
      <c r="A3673" s="6" t="s">
        <v>6987</v>
      </c>
      <c r="B3673" s="5" t="s">
        <v>6988</v>
      </c>
      <c r="C3673" s="3" t="s">
        <v>5</v>
      </c>
    </row>
    <row r="3674" spans="1:3" ht="15.75" thickBot="1">
      <c r="A3674" s="6" t="s">
        <v>6989</v>
      </c>
      <c r="B3674" s="5" t="s">
        <v>6990</v>
      </c>
      <c r="C3674" s="3" t="s">
        <v>5</v>
      </c>
    </row>
    <row r="3675" spans="1:3" ht="15.75" thickBot="1">
      <c r="A3675" s="6" t="s">
        <v>6991</v>
      </c>
      <c r="B3675" s="5" t="s">
        <v>6992</v>
      </c>
      <c r="C3675" s="3" t="s">
        <v>5</v>
      </c>
    </row>
    <row r="3676" spans="1:3" ht="15.75" thickBot="1">
      <c r="A3676" s="6" t="s">
        <v>6993</v>
      </c>
      <c r="B3676" s="5" t="s">
        <v>6994</v>
      </c>
      <c r="C3676" s="3" t="s">
        <v>5</v>
      </c>
    </row>
    <row r="3677" spans="1:3" ht="15.75" thickBot="1">
      <c r="A3677" s="6" t="s">
        <v>6995</v>
      </c>
      <c r="B3677" s="5" t="s">
        <v>6996</v>
      </c>
      <c r="C3677" s="3" t="s">
        <v>5</v>
      </c>
    </row>
    <row r="3678" spans="1:3" ht="15.75" thickBot="1">
      <c r="A3678" s="6" t="s">
        <v>6997</v>
      </c>
      <c r="B3678" s="5" t="s">
        <v>6998</v>
      </c>
      <c r="C3678" s="3" t="s">
        <v>5</v>
      </c>
    </row>
    <row r="3679" spans="1:3" ht="15.75" thickBot="1">
      <c r="A3679" s="6" t="s">
        <v>6999</v>
      </c>
      <c r="B3679" s="5" t="s">
        <v>7000</v>
      </c>
      <c r="C3679" s="3" t="s">
        <v>5</v>
      </c>
    </row>
    <row r="3680" spans="1:3" ht="15.75" thickBot="1">
      <c r="A3680" s="6" t="s">
        <v>7001</v>
      </c>
      <c r="B3680" s="5" t="s">
        <v>7002</v>
      </c>
      <c r="C3680" s="3" t="s">
        <v>5</v>
      </c>
    </row>
    <row r="3681" spans="1:3" ht="15.75" thickBot="1">
      <c r="A3681" s="6" t="s">
        <v>7003</v>
      </c>
      <c r="B3681" s="5" t="s">
        <v>7004</v>
      </c>
      <c r="C3681" s="3" t="s">
        <v>5</v>
      </c>
    </row>
    <row r="3682" spans="1:3" ht="15.75" thickBot="1">
      <c r="A3682" s="6" t="s">
        <v>7005</v>
      </c>
      <c r="B3682" s="5" t="s">
        <v>7006</v>
      </c>
      <c r="C3682" s="3" t="s">
        <v>5</v>
      </c>
    </row>
    <row r="3683" spans="1:3" ht="15.75" thickBot="1">
      <c r="A3683" s="6" t="s">
        <v>7007</v>
      </c>
      <c r="B3683" s="5" t="s">
        <v>7008</v>
      </c>
      <c r="C3683" s="3" t="s">
        <v>5</v>
      </c>
    </row>
    <row r="3684" spans="1:3" ht="15.75" thickBot="1">
      <c r="A3684" s="6" t="s">
        <v>7009</v>
      </c>
      <c r="B3684" s="5" t="s">
        <v>7010</v>
      </c>
      <c r="C3684" s="3" t="s">
        <v>5</v>
      </c>
    </row>
    <row r="3685" spans="1:3" ht="15.75" thickBot="1">
      <c r="A3685" s="6" t="s">
        <v>7011</v>
      </c>
      <c r="B3685" s="5" t="s">
        <v>7012</v>
      </c>
      <c r="C3685" s="3" t="s">
        <v>5</v>
      </c>
    </row>
    <row r="3686" spans="1:3" ht="15.75" thickBot="1">
      <c r="A3686" s="6" t="s">
        <v>7013</v>
      </c>
      <c r="B3686" s="5" t="s">
        <v>7014</v>
      </c>
      <c r="C3686" s="3" t="s">
        <v>5</v>
      </c>
    </row>
    <row r="3687" spans="1:3" ht="15.75" thickBot="1">
      <c r="A3687" s="6" t="s">
        <v>7015</v>
      </c>
      <c r="B3687" s="5" t="s">
        <v>7016</v>
      </c>
      <c r="C3687" s="3" t="s">
        <v>5</v>
      </c>
    </row>
    <row r="3688" spans="1:3" ht="15.75" thickBot="1">
      <c r="A3688" s="6" t="s">
        <v>7017</v>
      </c>
      <c r="B3688" s="5" t="s">
        <v>7018</v>
      </c>
      <c r="C3688" s="3" t="s">
        <v>5</v>
      </c>
    </row>
    <row r="3689" spans="1:3" ht="15.75" thickBot="1">
      <c r="A3689" s="6" t="s">
        <v>7019</v>
      </c>
      <c r="B3689" s="5" t="s">
        <v>7020</v>
      </c>
      <c r="C3689" s="3" t="s">
        <v>5</v>
      </c>
    </row>
    <row r="3690" spans="1:3" ht="15.75" thickBot="1">
      <c r="A3690" s="6" t="s">
        <v>7021</v>
      </c>
      <c r="B3690" s="5" t="s">
        <v>7022</v>
      </c>
      <c r="C3690" s="3" t="s">
        <v>5</v>
      </c>
    </row>
    <row r="3691" spans="1:3" ht="15.75" thickBot="1">
      <c r="A3691" s="6" t="s">
        <v>7023</v>
      </c>
      <c r="B3691" s="5" t="s">
        <v>7024</v>
      </c>
      <c r="C3691" s="3" t="s">
        <v>5</v>
      </c>
    </row>
    <row r="3692" spans="1:3" ht="15.75" thickBot="1">
      <c r="A3692" s="6" t="s">
        <v>7025</v>
      </c>
      <c r="B3692" s="5" t="s">
        <v>7026</v>
      </c>
      <c r="C3692" s="3" t="s">
        <v>5</v>
      </c>
    </row>
    <row r="3693" spans="1:3" ht="15.75" thickBot="1">
      <c r="A3693" s="6" t="s">
        <v>7027</v>
      </c>
      <c r="B3693" s="5" t="e">
        <f xml:space="preserve"> penetrating rays</f>
        <v>#NAME?</v>
      </c>
      <c r="C3693" s="3" t="s">
        <v>5</v>
      </c>
    </row>
    <row r="3694" spans="1:3">
      <c r="A3694" s="1" t="s">
        <v>7028</v>
      </c>
      <c r="B3694" s="2" t="s">
        <v>7029</v>
      </c>
      <c r="C3694" s="3" t="s">
        <v>5</v>
      </c>
    </row>
    <row r="3695" spans="1:3" ht="15.75" thickBot="1">
      <c r="A3695" s="4"/>
      <c r="B3695" s="5" t="e">
        <f xml:space="preserve"> hard valve</f>
        <v>#NAME?</v>
      </c>
      <c r="C3695" s="3" t="s">
        <v>5</v>
      </c>
    </row>
    <row r="3696" spans="1:3" ht="15.75" thickBot="1">
      <c r="A3696" s="6" t="s">
        <v>7030</v>
      </c>
      <c r="B3696" s="5" t="s">
        <v>7031</v>
      </c>
      <c r="C3696" s="3" t="s">
        <v>5</v>
      </c>
    </row>
    <row r="3697" spans="1:3" ht="15.75" thickBot="1">
      <c r="A3697" s="6" t="s">
        <v>7032</v>
      </c>
      <c r="B3697" s="5" t="s">
        <v>7033</v>
      </c>
      <c r="C3697" s="3" t="s">
        <v>5</v>
      </c>
    </row>
    <row r="3698" spans="1:3" ht="15.75" thickBot="1">
      <c r="A3698" s="6" t="s">
        <v>7034</v>
      </c>
      <c r="B3698" s="5" t="s">
        <v>7035</v>
      </c>
      <c r="C3698" s="3" t="s">
        <v>5</v>
      </c>
    </row>
    <row r="3699" spans="1:3" ht="15.75" thickBot="1">
      <c r="A3699" s="6" t="s">
        <v>7034</v>
      </c>
      <c r="B3699" s="5" t="s">
        <v>7036</v>
      </c>
      <c r="C3699" s="3" t="s">
        <v>5</v>
      </c>
    </row>
    <row r="3700" spans="1:3" ht="15.75" thickBot="1">
      <c r="A3700" s="6" t="s">
        <v>7037</v>
      </c>
      <c r="B3700" s="5" t="s">
        <v>7038</v>
      </c>
      <c r="C3700" s="3" t="s">
        <v>5</v>
      </c>
    </row>
    <row r="3701" spans="1:3" ht="15.75" thickBot="1">
      <c r="A3701" s="6" t="s">
        <v>7039</v>
      </c>
      <c r="B3701" s="5" t="s">
        <v>7040</v>
      </c>
      <c r="C3701" s="3" t="s">
        <v>5</v>
      </c>
    </row>
    <row r="3702" spans="1:3" ht="15.75" thickBot="1">
      <c r="A3702" s="6" t="s">
        <v>7041</v>
      </c>
      <c r="B3702" s="5" t="s">
        <v>7042</v>
      </c>
      <c r="C3702" s="3" t="s">
        <v>5</v>
      </c>
    </row>
    <row r="3703" spans="1:3" ht="15.75" thickBot="1">
      <c r="A3703" s="6" t="s">
        <v>7043</v>
      </c>
      <c r="B3703" s="5" t="s">
        <v>7044</v>
      </c>
      <c r="C3703" s="3" t="s">
        <v>5</v>
      </c>
    </row>
    <row r="3704" spans="1:3" ht="15.75" thickBot="1">
      <c r="A3704" s="6" t="s">
        <v>7045</v>
      </c>
      <c r="B3704" s="5" t="s">
        <v>7046</v>
      </c>
      <c r="C3704" s="3" t="s">
        <v>5</v>
      </c>
    </row>
    <row r="3705" spans="1:3" ht="15.75" thickBot="1">
      <c r="A3705" s="6" t="s">
        <v>7047</v>
      </c>
      <c r="B3705" s="5" t="s">
        <v>7048</v>
      </c>
      <c r="C3705" s="3" t="s">
        <v>5</v>
      </c>
    </row>
    <row r="3706" spans="1:3" ht="15.75" thickBot="1">
      <c r="A3706" s="6" t="s">
        <v>7049</v>
      </c>
      <c r="B3706" s="5" t="s">
        <v>7050</v>
      </c>
      <c r="C3706" s="3" t="s">
        <v>5</v>
      </c>
    </row>
    <row r="3707" spans="1:3" ht="15.75" thickBot="1">
      <c r="A3707" s="6" t="s">
        <v>7051</v>
      </c>
      <c r="B3707" s="5" t="s">
        <v>7052</v>
      </c>
      <c r="C3707" s="3" t="s">
        <v>5</v>
      </c>
    </row>
    <row r="3708" spans="1:3" ht="15.75" thickBot="1">
      <c r="A3708" s="6" t="s">
        <v>7053</v>
      </c>
      <c r="B3708" s="5" t="s">
        <v>7054</v>
      </c>
      <c r="C3708" s="3" t="s">
        <v>5</v>
      </c>
    </row>
    <row r="3709" spans="1:3" ht="15.75" thickBot="1">
      <c r="A3709" s="6" t="s">
        <v>7055</v>
      </c>
      <c r="B3709" s="5" t="s">
        <v>7056</v>
      </c>
      <c r="C3709" s="3" t="s">
        <v>5</v>
      </c>
    </row>
    <row r="3710" spans="1:3" ht="15.75" thickBot="1">
      <c r="A3710" s="6" t="s">
        <v>7057</v>
      </c>
      <c r="B3710" s="5" t="s">
        <v>7058</v>
      </c>
      <c r="C3710" s="3" t="s">
        <v>5</v>
      </c>
    </row>
    <row r="3711" spans="1:3" ht="15.75" thickBot="1">
      <c r="A3711" s="6" t="s">
        <v>7059</v>
      </c>
      <c r="B3711" s="5" t="s">
        <v>7060</v>
      </c>
      <c r="C3711" s="3" t="s">
        <v>5</v>
      </c>
    </row>
    <row r="3712" spans="1:3" ht="15.75" thickBot="1">
      <c r="A3712" s="6" t="s">
        <v>7061</v>
      </c>
      <c r="B3712" s="5" t="s">
        <v>7062</v>
      </c>
      <c r="C3712" s="3" t="s">
        <v>5</v>
      </c>
    </row>
    <row r="3713" spans="1:3" ht="15.75" thickBot="1">
      <c r="A3713" s="6" t="s">
        <v>7063</v>
      </c>
      <c r="B3713" s="5" t="s">
        <v>7064</v>
      </c>
      <c r="C3713" s="3" t="s">
        <v>5</v>
      </c>
    </row>
    <row r="3714" spans="1:3" ht="15.75" thickBot="1">
      <c r="A3714" s="6" t="s">
        <v>7065</v>
      </c>
      <c r="B3714" s="5" t="s">
        <v>7066</v>
      </c>
      <c r="C3714" s="3" t="s">
        <v>5</v>
      </c>
    </row>
    <row r="3715" spans="1:3" ht="15.75" thickBot="1">
      <c r="A3715" s="6" t="s">
        <v>7067</v>
      </c>
      <c r="B3715" s="5" t="s">
        <v>7068</v>
      </c>
      <c r="C3715" s="3" t="s">
        <v>5</v>
      </c>
    </row>
    <row r="3716" spans="1:3" ht="15.75" thickBot="1">
      <c r="A3716" s="6" t="s">
        <v>7069</v>
      </c>
      <c r="B3716" s="5" t="s">
        <v>7070</v>
      </c>
      <c r="C3716" s="3" t="s">
        <v>5</v>
      </c>
    </row>
    <row r="3717" spans="1:3" ht="15.75" thickBot="1">
      <c r="A3717" s="6" t="s">
        <v>7071</v>
      </c>
      <c r="B3717" s="5" t="s">
        <v>7072</v>
      </c>
      <c r="C3717" s="3" t="s">
        <v>5</v>
      </c>
    </row>
    <row r="3718" spans="1:3" ht="15.75" thickBot="1">
      <c r="A3718" s="6" t="s">
        <v>7073</v>
      </c>
      <c r="B3718" s="5" t="s">
        <v>7074</v>
      </c>
      <c r="C3718" s="3" t="s">
        <v>5</v>
      </c>
    </row>
    <row r="3719" spans="1:3" ht="15.75" thickBot="1">
      <c r="A3719" s="6" t="s">
        <v>7075</v>
      </c>
      <c r="B3719" s="5" t="s">
        <v>7076</v>
      </c>
      <c r="C3719" s="3" t="s">
        <v>5</v>
      </c>
    </row>
    <row r="3720" spans="1:3" ht="15.75" thickBot="1">
      <c r="A3720" s="6" t="s">
        <v>7077</v>
      </c>
      <c r="B3720" s="5" t="s">
        <v>7078</v>
      </c>
      <c r="C3720" s="3" t="s">
        <v>5</v>
      </c>
    </row>
    <row r="3721" spans="1:3" ht="15.75" thickBot="1">
      <c r="A3721" s="6" t="s">
        <v>7079</v>
      </c>
      <c r="B3721" s="5" t="s">
        <v>7080</v>
      </c>
      <c r="C3721" s="3" t="s">
        <v>5</v>
      </c>
    </row>
    <row r="3722" spans="1:3" ht="15.75" thickBot="1">
      <c r="A3722" s="6" t="s">
        <v>7081</v>
      </c>
      <c r="B3722" s="5" t="s">
        <v>7082</v>
      </c>
      <c r="C3722" s="3" t="s">
        <v>5</v>
      </c>
    </row>
    <row r="3723" spans="1:3" ht="15.75" thickBot="1">
      <c r="A3723" s="6" t="s">
        <v>7083</v>
      </c>
      <c r="B3723" s="5" t="s">
        <v>7084</v>
      </c>
      <c r="C3723" s="3" t="s">
        <v>5</v>
      </c>
    </row>
    <row r="3724" spans="1:3" ht="15.75" thickBot="1">
      <c r="A3724" s="6" t="s">
        <v>7085</v>
      </c>
      <c r="B3724" s="5" t="s">
        <v>7086</v>
      </c>
      <c r="C3724" s="3" t="s">
        <v>5</v>
      </c>
    </row>
    <row r="3725" spans="1:3" ht="15.75" thickBot="1">
      <c r="A3725" s="6" t="s">
        <v>7087</v>
      </c>
      <c r="B3725" s="5" t="s">
        <v>7088</v>
      </c>
      <c r="C3725" s="3" t="s">
        <v>5</v>
      </c>
    </row>
    <row r="3726" spans="1:3" ht="15.75" thickBot="1">
      <c r="A3726" s="6" t="s">
        <v>7089</v>
      </c>
      <c r="B3726" s="5" t="s">
        <v>7090</v>
      </c>
      <c r="C3726" s="3" t="s">
        <v>5</v>
      </c>
    </row>
    <row r="3727" spans="1:3" ht="15.75" thickBot="1">
      <c r="A3727" s="6" t="s">
        <v>7091</v>
      </c>
      <c r="B3727" s="5" t="s">
        <v>7092</v>
      </c>
      <c r="C3727" s="3" t="s">
        <v>5</v>
      </c>
    </row>
    <row r="3728" spans="1:3" ht="15.75" thickBot="1">
      <c r="A3728" s="6" t="s">
        <v>7093</v>
      </c>
      <c r="B3728" s="5" t="s">
        <v>7094</v>
      </c>
      <c r="C3728" s="3" t="s">
        <v>5</v>
      </c>
    </row>
    <row r="3729" spans="1:3" ht="15.75" thickBot="1">
      <c r="A3729" s="6" t="s">
        <v>7095</v>
      </c>
      <c r="B3729" s="5" t="s">
        <v>7096</v>
      </c>
      <c r="C3729" s="3" t="s">
        <v>5</v>
      </c>
    </row>
    <row r="3730" spans="1:3" ht="15.75" thickBot="1">
      <c r="A3730" s="6" t="s">
        <v>7097</v>
      </c>
      <c r="B3730" s="5" t="s">
        <v>7098</v>
      </c>
      <c r="C3730" s="3" t="s">
        <v>5</v>
      </c>
    </row>
    <row r="3731" spans="1:3" ht="15.75" thickBot="1">
      <c r="A3731" s="6" t="s">
        <v>7099</v>
      </c>
      <c r="B3731" s="5" t="s">
        <v>7100</v>
      </c>
      <c r="C3731" s="3" t="s">
        <v>5</v>
      </c>
    </row>
    <row r="3732" spans="1:3" ht="15.75" thickBot="1">
      <c r="A3732" s="6" t="s">
        <v>7101</v>
      </c>
      <c r="B3732" s="5" t="s">
        <v>7102</v>
      </c>
      <c r="C3732" s="3" t="s">
        <v>5</v>
      </c>
    </row>
    <row r="3733" spans="1:3" ht="15.75" thickBot="1">
      <c r="A3733" s="6" t="s">
        <v>7103</v>
      </c>
      <c r="B3733" s="5" t="s">
        <v>7104</v>
      </c>
      <c r="C3733" s="3" t="s">
        <v>5</v>
      </c>
    </row>
    <row r="3734" spans="1:3" ht="15.75" thickBot="1">
      <c r="A3734" s="6" t="s">
        <v>7105</v>
      </c>
      <c r="B3734" s="5" t="s">
        <v>7106</v>
      </c>
      <c r="C3734" s="3" t="s">
        <v>5</v>
      </c>
    </row>
    <row r="3735" spans="1:3" ht="15.75" thickBot="1">
      <c r="A3735" s="6" t="s">
        <v>7107</v>
      </c>
      <c r="B3735" s="5" t="s">
        <v>7108</v>
      </c>
      <c r="C3735" s="3" t="s">
        <v>5</v>
      </c>
    </row>
    <row r="3736" spans="1:3" ht="15.75" thickBot="1">
      <c r="A3736" s="6" t="s">
        <v>7109</v>
      </c>
      <c r="B3736" s="5" t="s">
        <v>7110</v>
      </c>
      <c r="C3736" s="3" t="s">
        <v>5</v>
      </c>
    </row>
    <row r="3737" spans="1:3" ht="15.75" thickBot="1">
      <c r="A3737" s="6" t="s">
        <v>7111</v>
      </c>
      <c r="B3737" s="5" t="s">
        <v>7112</v>
      </c>
      <c r="C3737" s="3" t="s">
        <v>5</v>
      </c>
    </row>
    <row r="3738" spans="1:3" ht="15.75" thickBot="1">
      <c r="A3738" s="6" t="s">
        <v>7113</v>
      </c>
      <c r="B3738" s="5" t="s">
        <v>7114</v>
      </c>
      <c r="C3738" s="3" t="s">
        <v>5</v>
      </c>
    </row>
    <row r="3739" spans="1:3" ht="15.75" thickBot="1">
      <c r="A3739" s="6" t="s">
        <v>7115</v>
      </c>
      <c r="B3739" s="5" t="s">
        <v>7116</v>
      </c>
      <c r="C3739" s="3" t="s">
        <v>5</v>
      </c>
    </row>
    <row r="3740" spans="1:3">
      <c r="A3740" s="1" t="s">
        <v>7117</v>
      </c>
      <c r="B3740" s="2" t="s">
        <v>7118</v>
      </c>
      <c r="C3740" s="3" t="s">
        <v>5</v>
      </c>
    </row>
    <row r="3741" spans="1:3" ht="15.75" thickBot="1">
      <c r="A3741" s="4"/>
      <c r="B3741" s="5" t="s">
        <v>7119</v>
      </c>
      <c r="C3741" s="3" t="s">
        <v>5</v>
      </c>
    </row>
    <row r="3742" spans="1:3" ht="15.75" thickBot="1">
      <c r="A3742" s="6" t="s">
        <v>7120</v>
      </c>
      <c r="B3742" s="5" t="s">
        <v>7121</v>
      </c>
      <c r="C3742" s="3" t="s">
        <v>5</v>
      </c>
    </row>
    <row r="3743" spans="1:3" ht="15.75" thickBot="1">
      <c r="A3743" s="6" t="s">
        <v>7122</v>
      </c>
      <c r="B3743" s="5" t="s">
        <v>7123</v>
      </c>
      <c r="C3743" s="3" t="s">
        <v>5</v>
      </c>
    </row>
    <row r="3744" spans="1:3" ht="15.75" thickBot="1">
      <c r="A3744" s="6" t="s">
        <v>7124</v>
      </c>
      <c r="B3744" s="5" t="s">
        <v>7125</v>
      </c>
      <c r="C3744" s="3" t="s">
        <v>5</v>
      </c>
    </row>
    <row r="3745" spans="1:3" ht="15.75" thickBot="1">
      <c r="A3745" s="6" t="s">
        <v>7126</v>
      </c>
      <c r="B3745" s="5" t="s">
        <v>7127</v>
      </c>
      <c r="C3745" s="3" t="s">
        <v>5</v>
      </c>
    </row>
    <row r="3746" spans="1:3" ht="15.75" thickBot="1">
      <c r="A3746" s="6" t="s">
        <v>7126</v>
      </c>
      <c r="B3746" s="5" t="s">
        <v>7128</v>
      </c>
      <c r="C3746" s="3" t="s">
        <v>5</v>
      </c>
    </row>
    <row r="3747" spans="1:3" ht="15.75" thickBot="1">
      <c r="A3747" s="6" t="s">
        <v>7129</v>
      </c>
      <c r="B3747" s="5" t="s">
        <v>7130</v>
      </c>
      <c r="C3747" s="3" t="s">
        <v>5</v>
      </c>
    </row>
    <row r="3748" spans="1:3" ht="15.75" thickBot="1">
      <c r="A3748" s="6" t="s">
        <v>7131</v>
      </c>
      <c r="B3748" s="5" t="s">
        <v>7132</v>
      </c>
      <c r="C3748" s="3" t="s">
        <v>5</v>
      </c>
    </row>
    <row r="3749" spans="1:3" ht="15.75" thickBot="1">
      <c r="A3749" s="6" t="s">
        <v>7133</v>
      </c>
      <c r="B3749" s="5" t="s">
        <v>7134</v>
      </c>
      <c r="C3749" s="3" t="s">
        <v>5</v>
      </c>
    </row>
    <row r="3750" spans="1:3" ht="15.75" thickBot="1">
      <c r="A3750" s="6" t="s">
        <v>7135</v>
      </c>
      <c r="B3750" s="5" t="s">
        <v>7136</v>
      </c>
      <c r="C3750" s="3" t="s">
        <v>5</v>
      </c>
    </row>
    <row r="3751" spans="1:3" ht="15.75" thickBot="1">
      <c r="A3751" s="6" t="s">
        <v>7137</v>
      </c>
      <c r="B3751" s="5" t="s">
        <v>7138</v>
      </c>
      <c r="C3751" s="3" t="s">
        <v>5</v>
      </c>
    </row>
    <row r="3752" spans="1:3" ht="15.75" thickBot="1">
      <c r="A3752" s="6" t="s">
        <v>7139</v>
      </c>
      <c r="B3752" s="5" t="e">
        <f xml:space="preserve"> half coiled winding</f>
        <v>#NAME?</v>
      </c>
      <c r="C3752" s="3" t="s">
        <v>5</v>
      </c>
    </row>
    <row r="3753" spans="1:3" ht="15.75" thickBot="1">
      <c r="A3753" s="6" t="s">
        <v>7140</v>
      </c>
      <c r="B3753" s="5" t="s">
        <v>7141</v>
      </c>
      <c r="C3753" s="3" t="s">
        <v>5</v>
      </c>
    </row>
    <row r="3754" spans="1:3" ht="15.75" thickBot="1">
      <c r="A3754" s="6" t="s">
        <v>7142</v>
      </c>
      <c r="B3754" s="5" t="s">
        <v>7143</v>
      </c>
      <c r="C3754" s="3" t="s">
        <v>5</v>
      </c>
    </row>
    <row r="3755" spans="1:3" ht="15.75" thickBot="1">
      <c r="A3755" s="6" t="s">
        <v>7144</v>
      </c>
      <c r="B3755" s="5" t="s">
        <v>7145</v>
      </c>
      <c r="C3755" s="3" t="s">
        <v>5</v>
      </c>
    </row>
    <row r="3756" spans="1:3" ht="15.75" thickBot="1">
      <c r="A3756" s="6" t="s">
        <v>7146</v>
      </c>
      <c r="B3756" s="5" t="s">
        <v>7147</v>
      </c>
      <c r="C3756" s="3" t="s">
        <v>5</v>
      </c>
    </row>
    <row r="3757" spans="1:3" ht="15.75" thickBot="1">
      <c r="A3757" s="6" t="s">
        <v>7148</v>
      </c>
      <c r="B3757" s="5" t="s">
        <v>7149</v>
      </c>
      <c r="C3757" s="3" t="s">
        <v>5</v>
      </c>
    </row>
    <row r="3758" spans="1:3" ht="15.75" thickBot="1">
      <c r="A3758" s="6" t="s">
        <v>7150</v>
      </c>
      <c r="B3758" s="5" t="s">
        <v>7151</v>
      </c>
      <c r="C3758" s="3" t="s">
        <v>5</v>
      </c>
    </row>
    <row r="3759" spans="1:3" ht="15.75" thickBot="1">
      <c r="A3759" s="6" t="s">
        <v>7152</v>
      </c>
      <c r="B3759" s="5" t="s">
        <v>7153</v>
      </c>
      <c r="C3759" s="3" t="s">
        <v>5</v>
      </c>
    </row>
    <row r="3760" spans="1:3" ht="15.75" thickBot="1">
      <c r="A3760" s="6" t="s">
        <v>7154</v>
      </c>
      <c r="B3760" s="5" t="s">
        <v>7155</v>
      </c>
      <c r="C3760" s="3" t="s">
        <v>5</v>
      </c>
    </row>
    <row r="3761" spans="1:3" ht="15.75" thickBot="1">
      <c r="A3761" s="6" t="s">
        <v>7156</v>
      </c>
      <c r="B3761" s="5" t="s">
        <v>7157</v>
      </c>
      <c r="C3761" s="3" t="s">
        <v>5</v>
      </c>
    </row>
    <row r="3762" spans="1:3" ht="15.75" thickBot="1">
      <c r="A3762" s="6" t="s">
        <v>7158</v>
      </c>
      <c r="B3762" s="5" t="s">
        <v>7159</v>
      </c>
      <c r="C3762" s="3" t="s">
        <v>5</v>
      </c>
    </row>
    <row r="3763" spans="1:3" ht="15.75" thickBot="1">
      <c r="A3763" s="6" t="s">
        <v>7160</v>
      </c>
      <c r="B3763" s="5" t="s">
        <v>7161</v>
      </c>
      <c r="C3763" s="3" t="s">
        <v>5</v>
      </c>
    </row>
    <row r="3764" spans="1:3" ht="15.75" thickBot="1">
      <c r="A3764" s="6" t="s">
        <v>7162</v>
      </c>
      <c r="B3764" s="5" t="s">
        <v>7163</v>
      </c>
      <c r="C3764" s="3" t="s">
        <v>5</v>
      </c>
    </row>
    <row r="3765" spans="1:3" ht="15.75" thickBot="1">
      <c r="A3765" s="6" t="s">
        <v>7164</v>
      </c>
      <c r="B3765" s="5" t="s">
        <v>7165</v>
      </c>
      <c r="C3765" s="3" t="s">
        <v>5</v>
      </c>
    </row>
    <row r="3766" spans="1:3">
      <c r="A3766" s="1" t="s">
        <v>7166</v>
      </c>
      <c r="B3766" s="2" t="s">
        <v>7167</v>
      </c>
      <c r="C3766" s="3" t="s">
        <v>5</v>
      </c>
    </row>
    <row r="3767" spans="1:3" ht="15.75" thickBot="1">
      <c r="A3767" s="4"/>
      <c r="B3767" s="5" t="e">
        <f xml:space="preserve"> heteropolar generator</f>
        <v>#NAME?</v>
      </c>
      <c r="C3767" s="3" t="s">
        <v>5</v>
      </c>
    </row>
    <row r="3768" spans="1:3" ht="15.75" thickBot="1">
      <c r="A3768" s="6" t="s">
        <v>7168</v>
      </c>
      <c r="B3768" s="5" t="s">
        <v>7169</v>
      </c>
      <c r="C3768" s="3" t="s">
        <v>5</v>
      </c>
    </row>
    <row r="3769" spans="1:3" ht="15.75" thickBot="1">
      <c r="A3769" s="6" t="s">
        <v>7170</v>
      </c>
      <c r="B3769" s="5" t="s">
        <v>7171</v>
      </c>
      <c r="C3769" s="3" t="s">
        <v>5</v>
      </c>
    </row>
    <row r="3770" spans="1:3" ht="15.75" thickBot="1">
      <c r="A3770" s="6" t="s">
        <v>7172</v>
      </c>
      <c r="B3770" s="5" t="s">
        <v>7173</v>
      </c>
      <c r="C3770" s="3" t="s">
        <v>5</v>
      </c>
    </row>
    <row r="3771" spans="1:3" ht="15.75" thickBot="1">
      <c r="A3771" s="6" t="s">
        <v>7174</v>
      </c>
      <c r="B3771" s="5" t="s">
        <v>7175</v>
      </c>
      <c r="C3771" s="3" t="s">
        <v>5</v>
      </c>
    </row>
    <row r="3772" spans="1:3" ht="15.75" thickBot="1">
      <c r="A3772" s="6" t="s">
        <v>7176</v>
      </c>
      <c r="B3772" s="5" t="s">
        <v>7177</v>
      </c>
      <c r="C3772" s="3" t="s">
        <v>5</v>
      </c>
    </row>
    <row r="3773" spans="1:3" ht="15.75" thickBot="1">
      <c r="A3773" s="6" t="s">
        <v>7178</v>
      </c>
      <c r="B3773" s="5" t="s">
        <v>7179</v>
      </c>
      <c r="C3773" s="3" t="s">
        <v>5</v>
      </c>
    </row>
    <row r="3774" spans="1:3" ht="15.75" thickBot="1">
      <c r="A3774" s="6" t="s">
        <v>7180</v>
      </c>
      <c r="B3774" s="5" t="s">
        <v>7181</v>
      </c>
      <c r="C3774" s="3" t="s">
        <v>5</v>
      </c>
    </row>
    <row r="3775" spans="1:3" ht="15.75" thickBot="1">
      <c r="A3775" s="6" t="s">
        <v>7182</v>
      </c>
      <c r="B3775" s="5" t="s">
        <v>7183</v>
      </c>
      <c r="C3775" s="3" t="s">
        <v>5</v>
      </c>
    </row>
    <row r="3776" spans="1:3" ht="15.75" thickBot="1">
      <c r="A3776" s="6" t="s">
        <v>7184</v>
      </c>
      <c r="B3776" s="5" t="s">
        <v>7185</v>
      </c>
      <c r="C3776" s="3" t="s">
        <v>5</v>
      </c>
    </row>
    <row r="3777" spans="1:3" ht="15.75" thickBot="1">
      <c r="A3777" s="6" t="s">
        <v>7186</v>
      </c>
      <c r="B3777" s="5" t="s">
        <v>7187</v>
      </c>
      <c r="C3777" s="3" t="s">
        <v>5</v>
      </c>
    </row>
    <row r="3778" spans="1:3" ht="15.75" thickBot="1">
      <c r="A3778" s="6" t="s">
        <v>7188</v>
      </c>
      <c r="B3778" s="5" t="s">
        <v>7189</v>
      </c>
      <c r="C3778" s="3" t="s">
        <v>5</v>
      </c>
    </row>
    <row r="3779" spans="1:3" ht="15.75" thickBot="1">
      <c r="A3779" s="6" t="s">
        <v>7190</v>
      </c>
      <c r="B3779" s="5" t="s">
        <v>7191</v>
      </c>
      <c r="C3779" s="3" t="s">
        <v>5</v>
      </c>
    </row>
    <row r="3780" spans="1:3" ht="15.75" thickBot="1">
      <c r="A3780" s="6" t="s">
        <v>7192</v>
      </c>
      <c r="B3780" s="5" t="s">
        <v>7193</v>
      </c>
      <c r="C3780" s="3" t="s">
        <v>5</v>
      </c>
    </row>
    <row r="3781" spans="1:3" ht="15.75" thickBot="1">
      <c r="A3781" s="6" t="s">
        <v>7194</v>
      </c>
      <c r="B3781" s="5" t="s">
        <v>7195</v>
      </c>
      <c r="C3781" s="3" t="s">
        <v>5</v>
      </c>
    </row>
    <row r="3782" spans="1:3" ht="15.75" thickBot="1">
      <c r="A3782" s="6" t="s">
        <v>7196</v>
      </c>
      <c r="B3782" s="5" t="s">
        <v>7197</v>
      </c>
      <c r="C3782" s="3" t="s">
        <v>5</v>
      </c>
    </row>
    <row r="3783" spans="1:3" ht="15.75" thickBot="1">
      <c r="A3783" s="6" t="s">
        <v>7198</v>
      </c>
      <c r="B3783" s="5" t="s">
        <v>7199</v>
      </c>
      <c r="C3783" s="3" t="s">
        <v>5</v>
      </c>
    </row>
    <row r="3784" spans="1:3" ht="15.75" thickBot="1">
      <c r="A3784" s="6" t="s">
        <v>7200</v>
      </c>
      <c r="B3784" s="5" t="s">
        <v>7201</v>
      </c>
      <c r="C3784" s="3" t="s">
        <v>5</v>
      </c>
    </row>
    <row r="3785" spans="1:3" ht="15.75" thickBot="1">
      <c r="A3785" s="6" t="s">
        <v>7202</v>
      </c>
      <c r="B3785" s="5" t="s">
        <v>7203</v>
      </c>
      <c r="C3785" s="3" t="s">
        <v>5</v>
      </c>
    </row>
    <row r="3786" spans="1:3" ht="15.75" thickBot="1">
      <c r="A3786" s="6" t="s">
        <v>7204</v>
      </c>
      <c r="B3786" s="5" t="s">
        <v>7205</v>
      </c>
      <c r="C3786" s="3" t="s">
        <v>5</v>
      </c>
    </row>
    <row r="3787" spans="1:3" ht="15.75" thickBot="1">
      <c r="A3787" s="6" t="s">
        <v>7206</v>
      </c>
      <c r="B3787" s="5" t="s">
        <v>7207</v>
      </c>
      <c r="C3787" s="3" t="s">
        <v>5</v>
      </c>
    </row>
    <row r="3788" spans="1:3" ht="15.75" thickBot="1">
      <c r="A3788" s="6" t="s">
        <v>7208</v>
      </c>
      <c r="B3788" s="5" t="s">
        <v>7209</v>
      </c>
      <c r="C3788" s="3" t="s">
        <v>5</v>
      </c>
    </row>
    <row r="3789" spans="1:3" ht="15.75" thickBot="1">
      <c r="A3789" s="6" t="s">
        <v>7210</v>
      </c>
      <c r="B3789" s="5" t="s">
        <v>7211</v>
      </c>
      <c r="C3789" s="3" t="s">
        <v>5</v>
      </c>
    </row>
    <row r="3790" spans="1:3" ht="15.75" thickBot="1">
      <c r="A3790" s="6" t="s">
        <v>7212</v>
      </c>
      <c r="B3790" s="5" t="s">
        <v>7213</v>
      </c>
      <c r="C3790" s="3" t="s">
        <v>5</v>
      </c>
    </row>
    <row r="3791" spans="1:3" ht="15.75" thickBot="1">
      <c r="A3791" s="6" t="s">
        <v>7214</v>
      </c>
      <c r="B3791" s="5" t="s">
        <v>7215</v>
      </c>
      <c r="C3791" s="3" t="s">
        <v>5</v>
      </c>
    </row>
    <row r="3792" spans="1:3" ht="15.75" thickBot="1">
      <c r="A3792" s="6" t="s">
        <v>7216</v>
      </c>
      <c r="B3792" s="5" t="s">
        <v>7217</v>
      </c>
      <c r="C3792" s="3" t="s">
        <v>5</v>
      </c>
    </row>
    <row r="3793" spans="1:3" ht="15.75" thickBot="1">
      <c r="A3793" s="6" t="s">
        <v>7218</v>
      </c>
      <c r="B3793" s="5" t="s">
        <v>7219</v>
      </c>
      <c r="C3793" s="3" t="s">
        <v>5</v>
      </c>
    </row>
    <row r="3794" spans="1:3" ht="15.75" thickBot="1">
      <c r="A3794" s="6" t="s">
        <v>7220</v>
      </c>
      <c r="B3794" s="5" t="s">
        <v>7221</v>
      </c>
      <c r="C3794" s="3" t="s">
        <v>5</v>
      </c>
    </row>
    <row r="3795" spans="1:3" ht="15.75" thickBot="1">
      <c r="A3795" s="6" t="s">
        <v>7222</v>
      </c>
      <c r="B3795" s="5" t="s">
        <v>7223</v>
      </c>
      <c r="C3795" s="3" t="s">
        <v>5</v>
      </c>
    </row>
    <row r="3796" spans="1:3" ht="15.75" thickBot="1">
      <c r="A3796" s="6" t="s">
        <v>7224</v>
      </c>
      <c r="B3796" s="5" t="s">
        <v>7225</v>
      </c>
      <c r="C3796" s="3" t="s">
        <v>5</v>
      </c>
    </row>
    <row r="3797" spans="1:3" ht="15.75" thickBot="1">
      <c r="A3797" s="6" t="s">
        <v>7226</v>
      </c>
      <c r="B3797" s="5" t="s">
        <v>7227</v>
      </c>
      <c r="C3797" s="3" t="s">
        <v>5</v>
      </c>
    </row>
    <row r="3798" spans="1:3" ht="15.75" thickBot="1">
      <c r="A3798" s="6" t="s">
        <v>7228</v>
      </c>
      <c r="B3798" s="5" t="s">
        <v>7229</v>
      </c>
      <c r="C3798" s="3" t="s">
        <v>5</v>
      </c>
    </row>
    <row r="3799" spans="1:3" ht="15.75" thickBot="1">
      <c r="A3799" s="6" t="s">
        <v>7230</v>
      </c>
      <c r="B3799" s="5" t="s">
        <v>7231</v>
      </c>
      <c r="C3799" s="3" t="s">
        <v>5</v>
      </c>
    </row>
    <row r="3800" spans="1:3" ht="15.75" thickBot="1">
      <c r="A3800" s="6" t="s">
        <v>7232</v>
      </c>
      <c r="B3800" s="5" t="s">
        <v>7233</v>
      </c>
      <c r="C3800" s="3" t="s">
        <v>5</v>
      </c>
    </row>
    <row r="3801" spans="1:3" ht="15.75" thickBot="1">
      <c r="A3801" s="6" t="s">
        <v>7234</v>
      </c>
      <c r="B3801" s="5" t="s">
        <v>7235</v>
      </c>
      <c r="C3801" s="3" t="s">
        <v>5</v>
      </c>
    </row>
    <row r="3802" spans="1:3" ht="15.75" thickBot="1">
      <c r="A3802" s="6" t="s">
        <v>7236</v>
      </c>
      <c r="B3802" s="5" t="s">
        <v>7237</v>
      </c>
      <c r="C3802" s="3" t="s">
        <v>5</v>
      </c>
    </row>
    <row r="3803" spans="1:3" ht="15.75" thickBot="1">
      <c r="A3803" s="6" t="s">
        <v>7238</v>
      </c>
      <c r="B3803" s="5" t="s">
        <v>7239</v>
      </c>
      <c r="C3803" s="3" t="s">
        <v>5</v>
      </c>
    </row>
    <row r="3804" spans="1:3" ht="15.75" thickBot="1">
      <c r="A3804" s="6" t="s">
        <v>7240</v>
      </c>
      <c r="B3804" s="5" t="s">
        <v>7241</v>
      </c>
      <c r="C3804" s="3" t="s">
        <v>5</v>
      </c>
    </row>
    <row r="3805" spans="1:3" ht="15.75" thickBot="1">
      <c r="A3805" s="6" t="s">
        <v>7242</v>
      </c>
      <c r="B3805" s="5" t="s">
        <v>7243</v>
      </c>
      <c r="C3805" s="3" t="s">
        <v>5</v>
      </c>
    </row>
    <row r="3806" spans="1:3" ht="15.75" thickBot="1">
      <c r="A3806" s="6" t="s">
        <v>7244</v>
      </c>
      <c r="B3806" s="5" t="s">
        <v>7245</v>
      </c>
      <c r="C3806" s="3" t="s">
        <v>5</v>
      </c>
    </row>
    <row r="3807" spans="1:3" ht="15.75" thickBot="1">
      <c r="A3807" s="6" t="s">
        <v>7246</v>
      </c>
      <c r="B3807" s="5" t="s">
        <v>7247</v>
      </c>
      <c r="C3807" s="3" t="s">
        <v>5</v>
      </c>
    </row>
    <row r="3808" spans="1:3" ht="15.75" thickBot="1">
      <c r="A3808" s="6" t="s">
        <v>7248</v>
      </c>
      <c r="B3808" s="5" t="s">
        <v>7249</v>
      </c>
      <c r="C3808" s="3" t="s">
        <v>5</v>
      </c>
    </row>
    <row r="3809" spans="1:3" ht="15.75" thickBot="1">
      <c r="A3809" s="6" t="s">
        <v>7250</v>
      </c>
      <c r="B3809" s="5" t="s">
        <v>7251</v>
      </c>
      <c r="C3809" s="3" t="s">
        <v>5</v>
      </c>
    </row>
    <row r="3810" spans="1:3" ht="15.75" thickBot="1">
      <c r="A3810" s="6" t="s">
        <v>7252</v>
      </c>
      <c r="B3810" s="5" t="s">
        <v>7253</v>
      </c>
      <c r="C3810" s="3" t="s">
        <v>5</v>
      </c>
    </row>
    <row r="3811" spans="1:3" ht="15.75" thickBot="1">
      <c r="A3811" s="6" t="s">
        <v>7254</v>
      </c>
      <c r="B3811" s="5" t="s">
        <v>7255</v>
      </c>
      <c r="C3811" s="3" t="s">
        <v>5</v>
      </c>
    </row>
    <row r="3812" spans="1:3" ht="15.75" thickBot="1">
      <c r="A3812" s="6" t="s">
        <v>7256</v>
      </c>
      <c r="B3812" s="5" t="s">
        <v>7257</v>
      </c>
      <c r="C3812" s="3" t="s">
        <v>5</v>
      </c>
    </row>
    <row r="3813" spans="1:3" ht="15.75" thickBot="1">
      <c r="A3813" s="6" t="s">
        <v>7258</v>
      </c>
      <c r="B3813" s="5" t="s">
        <v>7259</v>
      </c>
      <c r="C3813" s="3" t="s">
        <v>5</v>
      </c>
    </row>
    <row r="3814" spans="1:3" ht="15.75" thickBot="1">
      <c r="A3814" s="6" t="s">
        <v>7260</v>
      </c>
      <c r="B3814" s="5" t="s">
        <v>7261</v>
      </c>
      <c r="C3814" s="3" t="s">
        <v>5</v>
      </c>
    </row>
    <row r="3815" spans="1:3" ht="15.75" thickBot="1">
      <c r="A3815" s="6" t="s">
        <v>7262</v>
      </c>
      <c r="B3815" s="5" t="s">
        <v>7263</v>
      </c>
      <c r="C3815" s="3" t="s">
        <v>5</v>
      </c>
    </row>
    <row r="3816" spans="1:3" ht="15.75" thickBot="1">
      <c r="A3816" s="6" t="s">
        <v>7264</v>
      </c>
      <c r="B3816" s="5" t="s">
        <v>7265</v>
      </c>
      <c r="C3816" s="3" t="s">
        <v>5</v>
      </c>
    </row>
    <row r="3817" spans="1:3" ht="15.75" thickBot="1">
      <c r="A3817" s="6" t="s">
        <v>7266</v>
      </c>
      <c r="B3817" s="5" t="s">
        <v>7267</v>
      </c>
      <c r="C3817" s="3" t="s">
        <v>5</v>
      </c>
    </row>
    <row r="3818" spans="1:3" ht="15.75" thickBot="1">
      <c r="A3818" s="6" t="s">
        <v>7268</v>
      </c>
      <c r="B3818" s="5" t="s">
        <v>7269</v>
      </c>
      <c r="C3818" s="3" t="s">
        <v>5</v>
      </c>
    </row>
    <row r="3819" spans="1:3" ht="15.75" thickBot="1">
      <c r="A3819" s="6" t="s">
        <v>7270</v>
      </c>
      <c r="B3819" s="5" t="s">
        <v>7271</v>
      </c>
      <c r="C3819" s="3" t="s">
        <v>5</v>
      </c>
    </row>
    <row r="3820" spans="1:3" ht="15.75" thickBot="1">
      <c r="A3820" s="6" t="s">
        <v>7272</v>
      </c>
      <c r="B3820" s="5" t="s">
        <v>7273</v>
      </c>
      <c r="C3820" s="3" t="s">
        <v>5</v>
      </c>
    </row>
    <row r="3821" spans="1:3" ht="15.75" thickBot="1">
      <c r="A3821" s="6" t="s">
        <v>7274</v>
      </c>
      <c r="B3821" s="5" t="s">
        <v>7275</v>
      </c>
      <c r="C3821" s="3" t="s">
        <v>5</v>
      </c>
    </row>
    <row r="3822" spans="1:3" ht="15.75" thickBot="1">
      <c r="A3822" s="6" t="s">
        <v>7276</v>
      </c>
      <c r="B3822" s="5" t="s">
        <v>7277</v>
      </c>
      <c r="C3822" s="3" t="s">
        <v>5</v>
      </c>
    </row>
    <row r="3823" spans="1:3" ht="15.75" thickBot="1">
      <c r="A3823" s="6" t="s">
        <v>7278</v>
      </c>
      <c r="B3823" s="5" t="s">
        <v>7279</v>
      </c>
      <c r="C3823" s="3" t="s">
        <v>5</v>
      </c>
    </row>
    <row r="3824" spans="1:3" ht="15.75" thickBot="1">
      <c r="A3824" s="6" t="s">
        <v>7280</v>
      </c>
      <c r="B3824" s="5" t="s">
        <v>7281</v>
      </c>
      <c r="C3824" s="3" t="s">
        <v>5</v>
      </c>
    </row>
    <row r="3825" spans="1:3" ht="15.75" thickBot="1">
      <c r="A3825" s="6" t="s">
        <v>7282</v>
      </c>
      <c r="B3825" s="5" t="s">
        <v>7283</v>
      </c>
      <c r="C3825" s="3" t="s">
        <v>5</v>
      </c>
    </row>
    <row r="3826" spans="1:3" ht="15.75" thickBot="1">
      <c r="A3826" s="6" t="s">
        <v>7284</v>
      </c>
      <c r="B3826" s="5" t="s">
        <v>7285</v>
      </c>
      <c r="C3826" s="3" t="s">
        <v>5</v>
      </c>
    </row>
    <row r="3827" spans="1:3">
      <c r="A3827" s="1" t="s">
        <v>7286</v>
      </c>
      <c r="B3827" s="2" t="s">
        <v>7287</v>
      </c>
      <c r="C3827" s="3" t="s">
        <v>5</v>
      </c>
    </row>
    <row r="3828" spans="1:3" ht="26.25" thickBot="1">
      <c r="A3828" s="4"/>
      <c r="B3828" s="5" t="s">
        <v>7288</v>
      </c>
      <c r="C3828" s="3" t="s">
        <v>5</v>
      </c>
    </row>
    <row r="3829" spans="1:3" ht="15.75" thickBot="1">
      <c r="A3829" s="6" t="s">
        <v>7289</v>
      </c>
      <c r="B3829" s="5" t="s">
        <v>7290</v>
      </c>
      <c r="C3829" s="3" t="s">
        <v>5</v>
      </c>
    </row>
    <row r="3830" spans="1:3" ht="15.75" thickBot="1">
      <c r="A3830" s="6" t="s">
        <v>7291</v>
      </c>
      <c r="B3830" s="5" t="s">
        <v>7292</v>
      </c>
      <c r="C3830" s="3" t="s">
        <v>5</v>
      </c>
    </row>
    <row r="3831" spans="1:3" ht="15.75" thickBot="1">
      <c r="A3831" s="6" t="s">
        <v>7293</v>
      </c>
      <c r="B3831" s="5" t="s">
        <v>7294</v>
      </c>
      <c r="C3831" s="3" t="s">
        <v>5</v>
      </c>
    </row>
    <row r="3832" spans="1:3" ht="15.75" thickBot="1">
      <c r="A3832" s="6" t="s">
        <v>7295</v>
      </c>
      <c r="B3832" s="5" t="s">
        <v>7296</v>
      </c>
      <c r="C3832" s="3" t="s">
        <v>5</v>
      </c>
    </row>
    <row r="3833" spans="1:3" ht="15.75" thickBot="1">
      <c r="A3833" s="6" t="s">
        <v>7297</v>
      </c>
      <c r="B3833" s="5" t="e">
        <f xml:space="preserve"> excitation anode</f>
        <v>#NAME?</v>
      </c>
      <c r="C3833" s="3" t="s">
        <v>5</v>
      </c>
    </row>
    <row r="3834" spans="1:3" ht="15.75" thickBot="1">
      <c r="A3834" s="6" t="s">
        <v>7298</v>
      </c>
      <c r="B3834" s="5" t="s">
        <v>7299</v>
      </c>
      <c r="C3834" s="3" t="s">
        <v>5</v>
      </c>
    </row>
    <row r="3835" spans="1:3" ht="15.75" thickBot="1">
      <c r="A3835" s="6" t="s">
        <v>7300</v>
      </c>
      <c r="B3835" s="5" t="s">
        <v>7301</v>
      </c>
      <c r="C3835" s="3" t="s">
        <v>5</v>
      </c>
    </row>
    <row r="3836" spans="1:3" ht="15.75" thickBot="1">
      <c r="A3836" s="6" t="s">
        <v>7302</v>
      </c>
      <c r="B3836" s="5" t="s">
        <v>7303</v>
      </c>
      <c r="C3836" s="3" t="s">
        <v>5</v>
      </c>
    </row>
    <row r="3837" spans="1:3" ht="15.75" thickBot="1">
      <c r="A3837" s="6" t="s">
        <v>7304</v>
      </c>
      <c r="B3837" s="5" t="s">
        <v>7305</v>
      </c>
      <c r="C3837" s="3" t="s">
        <v>5</v>
      </c>
    </row>
    <row r="3838" spans="1:3" ht="15.75" thickBot="1">
      <c r="A3838" s="6" t="s">
        <v>7306</v>
      </c>
      <c r="B3838" s="5" t="s">
        <v>7307</v>
      </c>
      <c r="C3838" s="3" t="s">
        <v>5</v>
      </c>
    </row>
    <row r="3839" spans="1:3" ht="15.75" thickBot="1">
      <c r="A3839" s="6" t="s">
        <v>7308</v>
      </c>
      <c r="B3839" s="5" t="s">
        <v>7309</v>
      </c>
      <c r="C3839" s="3" t="s">
        <v>5</v>
      </c>
    </row>
    <row r="3840" spans="1:3" ht="15.75" thickBot="1">
      <c r="A3840" s="6" t="s">
        <v>7310</v>
      </c>
      <c r="B3840" s="5" t="s">
        <v>7311</v>
      </c>
      <c r="C3840" s="3" t="s">
        <v>5</v>
      </c>
    </row>
    <row r="3841" spans="1:3" ht="15.75" thickBot="1">
      <c r="A3841" s="6" t="s">
        <v>7312</v>
      </c>
      <c r="B3841" s="5" t="s">
        <v>7313</v>
      </c>
      <c r="C3841" s="3" t="s">
        <v>5</v>
      </c>
    </row>
    <row r="3842" spans="1:3" ht="15.75" thickBot="1">
      <c r="A3842" s="6" t="s">
        <v>7314</v>
      </c>
      <c r="B3842" s="5" t="s">
        <v>7315</v>
      </c>
      <c r="C3842" s="3" t="s">
        <v>5</v>
      </c>
    </row>
    <row r="3843" spans="1:3" ht="15.75" thickBot="1">
      <c r="A3843" s="6" t="s">
        <v>7316</v>
      </c>
      <c r="B3843" s="5" t="s">
        <v>7317</v>
      </c>
      <c r="C3843" s="3" t="s">
        <v>5</v>
      </c>
    </row>
    <row r="3844" spans="1:3" ht="15.75" thickBot="1">
      <c r="A3844" s="6" t="s">
        <v>7318</v>
      </c>
      <c r="B3844" s="5" t="s">
        <v>7319</v>
      </c>
      <c r="C3844" s="3" t="s">
        <v>5</v>
      </c>
    </row>
    <row r="3845" spans="1:3" ht="15.75" thickBot="1">
      <c r="A3845" s="6" t="s">
        <v>7320</v>
      </c>
      <c r="B3845" s="5" t="s">
        <v>7321</v>
      </c>
      <c r="C3845" s="3" t="s">
        <v>5</v>
      </c>
    </row>
    <row r="3846" spans="1:3" ht="15.75" thickBot="1">
      <c r="A3846" s="6" t="s">
        <v>7322</v>
      </c>
      <c r="B3846" s="5" t="s">
        <v>7323</v>
      </c>
      <c r="C3846" s="3" t="s">
        <v>5</v>
      </c>
    </row>
    <row r="3847" spans="1:3" ht="15.75" thickBot="1">
      <c r="A3847" s="6" t="s">
        <v>7324</v>
      </c>
      <c r="B3847" s="5" t="s">
        <v>7325</v>
      </c>
      <c r="C3847" s="3" t="s">
        <v>5</v>
      </c>
    </row>
    <row r="3848" spans="1:3" ht="15.75" thickBot="1">
      <c r="A3848" s="6" t="s">
        <v>7326</v>
      </c>
      <c r="B3848" s="5" t="s">
        <v>7327</v>
      </c>
      <c r="C3848" s="3" t="s">
        <v>5</v>
      </c>
    </row>
    <row r="3849" spans="1:3">
      <c r="A3849" s="1" t="s">
        <v>7328</v>
      </c>
      <c r="B3849" s="2" t="s">
        <v>7329</v>
      </c>
      <c r="C3849" s="3" t="s">
        <v>5</v>
      </c>
    </row>
    <row r="3850" spans="1:3" ht="15.75" thickBot="1">
      <c r="A3850" s="4"/>
      <c r="B3850" s="5" t="e">
        <f xml:space="preserve"> homopolar generator</f>
        <v>#NAME?</v>
      </c>
      <c r="C3850" s="3" t="s">
        <v>5</v>
      </c>
    </row>
    <row r="3851" spans="1:3" ht="15.75" thickBot="1">
      <c r="A3851" s="6" t="s">
        <v>7330</v>
      </c>
      <c r="B3851" s="5" t="s">
        <v>7331</v>
      </c>
      <c r="C3851" s="3" t="s">
        <v>5</v>
      </c>
    </row>
    <row r="3852" spans="1:3" ht="15.75" thickBot="1">
      <c r="A3852" s="6" t="s">
        <v>7332</v>
      </c>
      <c r="B3852" s="5" t="s">
        <v>7333</v>
      </c>
      <c r="C3852" s="3" t="s">
        <v>5</v>
      </c>
    </row>
    <row r="3853" spans="1:3" ht="15.75" thickBot="1">
      <c r="A3853" s="6" t="s">
        <v>7334</v>
      </c>
      <c r="B3853" s="5" t="s">
        <v>7335</v>
      </c>
      <c r="C3853" s="3" t="s">
        <v>5</v>
      </c>
    </row>
    <row r="3854" spans="1:3" ht="15.75" thickBot="1">
      <c r="A3854" s="6" t="s">
        <v>7336</v>
      </c>
      <c r="B3854" s="5" t="s">
        <v>7337</v>
      </c>
      <c r="C3854" s="3" t="s">
        <v>5</v>
      </c>
    </row>
    <row r="3855" spans="1:3" ht="15.75" thickBot="1">
      <c r="A3855" s="6" t="s">
        <v>7338</v>
      </c>
      <c r="B3855" s="5" t="s">
        <v>7339</v>
      </c>
      <c r="C3855" s="3" t="s">
        <v>5</v>
      </c>
    </row>
    <row r="3856" spans="1:3" ht="15.75" thickBot="1">
      <c r="A3856" s="6" t="s">
        <v>7340</v>
      </c>
      <c r="B3856" s="5" t="s">
        <v>7341</v>
      </c>
      <c r="C3856" s="3" t="s">
        <v>5</v>
      </c>
    </row>
    <row r="3857" spans="1:3" ht="15.75" thickBot="1">
      <c r="A3857" s="6" t="s">
        <v>7342</v>
      </c>
      <c r="B3857" s="5" t="s">
        <v>7343</v>
      </c>
      <c r="C3857" s="3" t="s">
        <v>5</v>
      </c>
    </row>
    <row r="3858" spans="1:3" ht="15.75" thickBot="1">
      <c r="A3858" s="6" t="s">
        <v>7344</v>
      </c>
      <c r="B3858" s="5" t="s">
        <v>7345</v>
      </c>
      <c r="C3858" s="3" t="s">
        <v>5</v>
      </c>
    </row>
    <row r="3859" spans="1:3" ht="15.75" thickBot="1">
      <c r="A3859" s="6" t="s">
        <v>7346</v>
      </c>
      <c r="B3859" s="5" t="s">
        <v>7347</v>
      </c>
      <c r="C3859" s="3" t="s">
        <v>5</v>
      </c>
    </row>
    <row r="3860" spans="1:3" ht="15.75" thickBot="1">
      <c r="A3860" s="6" t="s">
        <v>7348</v>
      </c>
      <c r="B3860" s="5" t="s">
        <v>7349</v>
      </c>
      <c r="C3860" s="3" t="s">
        <v>5</v>
      </c>
    </row>
    <row r="3861" spans="1:3" ht="15.75" thickBot="1">
      <c r="A3861" s="6" t="s">
        <v>7350</v>
      </c>
      <c r="B3861" s="5" t="s">
        <v>7351</v>
      </c>
      <c r="C3861" s="3" t="s">
        <v>5</v>
      </c>
    </row>
    <row r="3862" spans="1:3" ht="15.75" thickBot="1">
      <c r="A3862" s="6" t="s">
        <v>7352</v>
      </c>
      <c r="B3862" s="5" t="s">
        <v>7353</v>
      </c>
      <c r="C3862" s="3" t="s">
        <v>5</v>
      </c>
    </row>
    <row r="3863" spans="1:3" ht="15.75" thickBot="1">
      <c r="A3863" s="6" t="s">
        <v>7354</v>
      </c>
      <c r="B3863" s="5" t="s">
        <v>7355</v>
      </c>
      <c r="C3863" s="3" t="s">
        <v>5</v>
      </c>
    </row>
    <row r="3864" spans="1:3" ht="15.75" thickBot="1">
      <c r="A3864" s="6" t="s">
        <v>7356</v>
      </c>
      <c r="B3864" s="5" t="s">
        <v>7357</v>
      </c>
      <c r="C3864" s="3" t="s">
        <v>5</v>
      </c>
    </row>
    <row r="3865" spans="1:3" ht="15.75" thickBot="1">
      <c r="A3865" s="6" t="s">
        <v>7358</v>
      </c>
      <c r="B3865" s="5" t="s">
        <v>7359</v>
      </c>
      <c r="C3865" s="3" t="s">
        <v>5</v>
      </c>
    </row>
    <row r="3866" spans="1:3" ht="15.75" thickBot="1">
      <c r="A3866" s="6" t="s">
        <v>7360</v>
      </c>
      <c r="B3866" s="5" t="s">
        <v>7361</v>
      </c>
      <c r="C3866" s="3" t="s">
        <v>5</v>
      </c>
    </row>
    <row r="3867" spans="1:3" ht="15.75" thickBot="1">
      <c r="A3867" s="6" t="s">
        <v>7362</v>
      </c>
      <c r="B3867" s="5" t="s">
        <v>7363</v>
      </c>
      <c r="C3867" s="3" t="s">
        <v>5</v>
      </c>
    </row>
    <row r="3868" spans="1:3" ht="15.75" thickBot="1">
      <c r="A3868" s="6" t="s">
        <v>7364</v>
      </c>
      <c r="B3868" s="5" t="s">
        <v>7365</v>
      </c>
      <c r="C3868" s="3" t="s">
        <v>5</v>
      </c>
    </row>
    <row r="3869" spans="1:3" ht="15.75" thickBot="1">
      <c r="A3869" s="6" t="s">
        <v>7366</v>
      </c>
      <c r="B3869" s="5" t="s">
        <v>7367</v>
      </c>
      <c r="C3869" s="3" t="s">
        <v>5</v>
      </c>
    </row>
    <row r="3870" spans="1:3" ht="15.75" thickBot="1">
      <c r="A3870" s="6" t="s">
        <v>7368</v>
      </c>
      <c r="B3870" s="5" t="s">
        <v>7369</v>
      </c>
      <c r="C3870" s="3" t="s">
        <v>5</v>
      </c>
    </row>
    <row r="3871" spans="1:3" ht="15.75" thickBot="1">
      <c r="A3871" s="6" t="s">
        <v>7370</v>
      </c>
      <c r="B3871" s="5" t="s">
        <v>7371</v>
      </c>
      <c r="C3871" s="3" t="s">
        <v>5</v>
      </c>
    </row>
    <row r="3872" spans="1:3" ht="15.75" thickBot="1">
      <c r="A3872" s="6" t="s">
        <v>7372</v>
      </c>
      <c r="B3872" s="5" t="s">
        <v>7373</v>
      </c>
      <c r="C3872" s="3" t="s">
        <v>5</v>
      </c>
    </row>
    <row r="3873" spans="1:3" ht="15.75" thickBot="1">
      <c r="A3873" s="6" t="s">
        <v>7374</v>
      </c>
      <c r="B3873" s="5" t="s">
        <v>7375</v>
      </c>
      <c r="C3873" s="3" t="s">
        <v>5</v>
      </c>
    </row>
    <row r="3874" spans="1:3" ht="15.75" thickBot="1">
      <c r="A3874" s="6" t="s">
        <v>7376</v>
      </c>
      <c r="B3874" s="5" t="s">
        <v>7377</v>
      </c>
      <c r="C3874" s="3" t="s">
        <v>5</v>
      </c>
    </row>
    <row r="3875" spans="1:3" ht="15.75" thickBot="1">
      <c r="A3875" s="6" t="s">
        <v>7378</v>
      </c>
      <c r="B3875" s="5" t="s">
        <v>7379</v>
      </c>
      <c r="C3875" s="3" t="s">
        <v>5</v>
      </c>
    </row>
    <row r="3876" spans="1:3" ht="15.75" thickBot="1">
      <c r="A3876" s="6" t="s">
        <v>7380</v>
      </c>
      <c r="B3876" s="5" t="s">
        <v>7381</v>
      </c>
      <c r="C3876" s="3" t="s">
        <v>5</v>
      </c>
    </row>
    <row r="3877" spans="1:3" ht="15.75" thickBot="1">
      <c r="A3877" s="6" t="s">
        <v>7382</v>
      </c>
      <c r="B3877" s="5" t="s">
        <v>7383</v>
      </c>
      <c r="C3877" s="3" t="s">
        <v>5</v>
      </c>
    </row>
    <row r="3878" spans="1:3" ht="15.75" thickBot="1">
      <c r="A3878" s="6" t="s">
        <v>7384</v>
      </c>
      <c r="B3878" s="5" t="s">
        <v>7385</v>
      </c>
      <c r="C3878" s="3" t="s">
        <v>5</v>
      </c>
    </row>
    <row r="3879" spans="1:3" ht="15.75" thickBot="1">
      <c r="A3879" s="6" t="s">
        <v>7386</v>
      </c>
      <c r="B3879" s="5" t="s">
        <v>7387</v>
      </c>
      <c r="C3879" s="3" t="s">
        <v>5</v>
      </c>
    </row>
    <row r="3880" spans="1:3" ht="15.75" thickBot="1">
      <c r="A3880" s="6" t="s">
        <v>7388</v>
      </c>
      <c r="B3880" s="5" t="s">
        <v>7389</v>
      </c>
      <c r="C3880" s="3" t="s">
        <v>5</v>
      </c>
    </row>
    <row r="3881" spans="1:3" ht="15.75" thickBot="1">
      <c r="A3881" s="6" t="s">
        <v>7390</v>
      </c>
      <c r="B3881" s="5" t="s">
        <v>7391</v>
      </c>
      <c r="C3881" s="3" t="s">
        <v>5</v>
      </c>
    </row>
    <row r="3882" spans="1:3" ht="15.75" thickBot="1">
      <c r="A3882" s="6" t="s">
        <v>7392</v>
      </c>
      <c r="B3882" s="5" t="s">
        <v>7393</v>
      </c>
      <c r="C3882" s="3" t="s">
        <v>5</v>
      </c>
    </row>
    <row r="3883" spans="1:3" ht="15.75" thickBot="1">
      <c r="A3883" s="6" t="s">
        <v>7394</v>
      </c>
      <c r="B3883" s="5" t="s">
        <v>7395</v>
      </c>
      <c r="C3883" s="3" t="s">
        <v>5</v>
      </c>
    </row>
    <row r="3884" spans="1:3" ht="15.75" thickBot="1">
      <c r="A3884" s="6" t="s">
        <v>7396</v>
      </c>
      <c r="B3884" s="5" t="s">
        <v>7397</v>
      </c>
      <c r="C3884" s="3" t="s">
        <v>5</v>
      </c>
    </row>
    <row r="3885" spans="1:3">
      <c r="A3885" s="1" t="s">
        <v>7398</v>
      </c>
      <c r="B3885" s="2" t="s">
        <v>7399</v>
      </c>
      <c r="C3885" s="3" t="s">
        <v>5</v>
      </c>
    </row>
    <row r="3886" spans="1:3" ht="15.75" thickBot="1">
      <c r="A3886" s="4"/>
      <c r="B3886" s="5" t="s">
        <v>7400</v>
      </c>
      <c r="C3886" s="3" t="s">
        <v>5</v>
      </c>
    </row>
    <row r="3887" spans="1:3" ht="15.75" thickBot="1">
      <c r="A3887" s="6" t="s">
        <v>7401</v>
      </c>
      <c r="B3887" s="5" t="s">
        <v>7402</v>
      </c>
      <c r="C3887" s="3" t="s">
        <v>5</v>
      </c>
    </row>
    <row r="3888" spans="1:3" ht="15.75" thickBot="1">
      <c r="A3888" s="6" t="s">
        <v>7403</v>
      </c>
      <c r="B3888" s="5" t="s">
        <v>7404</v>
      </c>
      <c r="C3888" s="3" t="s">
        <v>5</v>
      </c>
    </row>
    <row r="3889" spans="1:3" ht="15.75" thickBot="1">
      <c r="A3889" s="6" t="s">
        <v>7405</v>
      </c>
      <c r="B3889" s="5" t="s">
        <v>7406</v>
      </c>
      <c r="C3889" s="3" t="s">
        <v>5</v>
      </c>
    </row>
    <row r="3890" spans="1:3" ht="15.75" thickBot="1">
      <c r="A3890" s="6" t="s">
        <v>7407</v>
      </c>
      <c r="B3890" s="5" t="s">
        <v>7408</v>
      </c>
      <c r="C3890" s="3" t="s">
        <v>5</v>
      </c>
    </row>
    <row r="3891" spans="1:3" ht="15.75" thickBot="1">
      <c r="A3891" s="6" t="s">
        <v>7409</v>
      </c>
      <c r="B3891" s="5" t="s">
        <v>7410</v>
      </c>
      <c r="C3891" s="3" t="s">
        <v>5</v>
      </c>
    </row>
    <row r="3892" spans="1:3" ht="15.75" thickBot="1">
      <c r="A3892" s="6" t="s">
        <v>7411</v>
      </c>
      <c r="B3892" s="5" t="s">
        <v>7412</v>
      </c>
      <c r="C3892" s="3" t="s">
        <v>5</v>
      </c>
    </row>
    <row r="3893" spans="1:3" ht="15.75" thickBot="1">
      <c r="A3893" s="6" t="s">
        <v>7413</v>
      </c>
      <c r="B3893" s="5" t="s">
        <v>7414</v>
      </c>
      <c r="C3893" s="3" t="s">
        <v>5</v>
      </c>
    </row>
    <row r="3894" spans="1:3" ht="15.75" thickBot="1">
      <c r="A3894" s="6" t="s">
        <v>7415</v>
      </c>
      <c r="B3894" s="5" t="s">
        <v>7416</v>
      </c>
      <c r="C3894" s="3" t="s">
        <v>5</v>
      </c>
    </row>
    <row r="3895" spans="1:3" ht="15.75" thickBot="1">
      <c r="A3895" s="6" t="s">
        <v>7417</v>
      </c>
      <c r="B3895" s="5" t="s">
        <v>7418</v>
      </c>
      <c r="C3895" s="3" t="s">
        <v>5</v>
      </c>
    </row>
    <row r="3896" spans="1:3" ht="15.75" thickBot="1">
      <c r="A3896" s="6" t="s">
        <v>7419</v>
      </c>
      <c r="B3896" s="5" t="s">
        <v>7420</v>
      </c>
      <c r="C3896" s="3" t="s">
        <v>5</v>
      </c>
    </row>
    <row r="3897" spans="1:3">
      <c r="A3897" s="1" t="s">
        <v>7421</v>
      </c>
      <c r="B3897" s="2" t="s">
        <v>7422</v>
      </c>
      <c r="C3897" s="3" t="s">
        <v>5</v>
      </c>
    </row>
    <row r="3898" spans="1:3" ht="15.75" thickBot="1">
      <c r="A3898" s="4"/>
      <c r="B3898" s="5" t="s">
        <v>7423</v>
      </c>
      <c r="C3898" s="3" t="s">
        <v>5</v>
      </c>
    </row>
    <row r="3899" spans="1:3" ht="15.75" thickBot="1">
      <c r="A3899" s="6" t="s">
        <v>7424</v>
      </c>
      <c r="B3899" s="5" t="s">
        <v>7425</v>
      </c>
      <c r="C3899" s="3" t="s">
        <v>5</v>
      </c>
    </row>
    <row r="3900" spans="1:3" ht="15.75" thickBot="1">
      <c r="A3900" s="6" t="s">
        <v>7426</v>
      </c>
      <c r="B3900" s="5" t="s">
        <v>7427</v>
      </c>
      <c r="C3900" s="3" t="s">
        <v>5</v>
      </c>
    </row>
    <row r="3901" spans="1:3">
      <c r="A3901" s="1" t="s">
        <v>7428</v>
      </c>
      <c r="B3901" s="2" t="s">
        <v>7429</v>
      </c>
      <c r="C3901" s="3" t="s">
        <v>5</v>
      </c>
    </row>
    <row r="3902" spans="1:3" ht="15.75" thickBot="1">
      <c r="A3902" s="4"/>
      <c r="B3902" s="5" t="s">
        <v>7423</v>
      </c>
      <c r="C3902" s="3" t="s">
        <v>5</v>
      </c>
    </row>
    <row r="3903" spans="1:3" ht="15.75" thickBot="1">
      <c r="A3903" s="6" t="s">
        <v>7430</v>
      </c>
      <c r="B3903" s="5" t="s">
        <v>7431</v>
      </c>
      <c r="C3903" s="3" t="s">
        <v>5</v>
      </c>
    </row>
    <row r="3904" spans="1:3" ht="15.75" thickBot="1">
      <c r="A3904" s="6" t="s">
        <v>7432</v>
      </c>
      <c r="B3904" s="5" t="s">
        <v>7433</v>
      </c>
      <c r="C3904" s="3" t="s">
        <v>5</v>
      </c>
    </row>
    <row r="3905" spans="1:3" ht="15.75" thickBot="1">
      <c r="A3905" s="6" t="s">
        <v>7434</v>
      </c>
      <c r="B3905" s="5" t="s">
        <v>7435</v>
      </c>
      <c r="C3905" s="3" t="s">
        <v>5</v>
      </c>
    </row>
    <row r="3906" spans="1:3" ht="15.75" thickBot="1">
      <c r="A3906" s="6" t="s">
        <v>7436</v>
      </c>
      <c r="B3906" s="5" t="s">
        <v>7437</v>
      </c>
      <c r="C3906" s="3" t="s">
        <v>5</v>
      </c>
    </row>
    <row r="3907" spans="1:3" ht="15.75" thickBot="1">
      <c r="A3907" s="6" t="s">
        <v>7438</v>
      </c>
      <c r="B3907" s="5" t="s">
        <v>7439</v>
      </c>
      <c r="C3907" s="3" t="s">
        <v>5</v>
      </c>
    </row>
    <row r="3908" spans="1:3" ht="15.75" thickBot="1">
      <c r="A3908" s="6" t="s">
        <v>7438</v>
      </c>
      <c r="B3908" s="5" t="s">
        <v>7439</v>
      </c>
      <c r="C3908" s="3" t="s">
        <v>5</v>
      </c>
    </row>
    <row r="3909" spans="1:3" ht="15.75" thickBot="1">
      <c r="A3909" s="6" t="s">
        <v>7440</v>
      </c>
      <c r="B3909" s="5" t="s">
        <v>7441</v>
      </c>
      <c r="C3909" s="3" t="s">
        <v>5</v>
      </c>
    </row>
    <row r="3910" spans="1:3" ht="15.75" thickBot="1">
      <c r="A3910" s="6" t="s">
        <v>7442</v>
      </c>
      <c r="B3910" s="5" t="s">
        <v>7443</v>
      </c>
      <c r="C3910" s="3" t="s">
        <v>5</v>
      </c>
    </row>
    <row r="3911" spans="1:3" ht="15.75" thickBot="1">
      <c r="A3911" s="6" t="s">
        <v>7444</v>
      </c>
      <c r="B3911" s="5" t="s">
        <v>7445</v>
      </c>
      <c r="C3911" s="3" t="s">
        <v>5</v>
      </c>
    </row>
    <row r="3912" spans="1:3" ht="15.75" thickBot="1">
      <c r="A3912" s="6" t="s">
        <v>7446</v>
      </c>
      <c r="B3912" s="5" t="s">
        <v>7447</v>
      </c>
      <c r="C3912" s="3" t="s">
        <v>5</v>
      </c>
    </row>
    <row r="3913" spans="1:3">
      <c r="A3913" s="1" t="s">
        <v>7448</v>
      </c>
      <c r="B3913" s="2" t="s">
        <v>7449</v>
      </c>
      <c r="C3913" s="3" t="s">
        <v>5</v>
      </c>
    </row>
    <row r="3914" spans="1:3" ht="15.75" thickBot="1">
      <c r="A3914" s="4"/>
      <c r="B3914" s="5" t="s">
        <v>7423</v>
      </c>
      <c r="C3914" s="3" t="s">
        <v>5</v>
      </c>
    </row>
    <row r="3915" spans="1:3" ht="15.75" thickBot="1">
      <c r="A3915" s="6" t="s">
        <v>7450</v>
      </c>
      <c r="B3915" s="5" t="s">
        <v>7451</v>
      </c>
      <c r="C3915" s="3" t="s">
        <v>5</v>
      </c>
    </row>
    <row r="3916" spans="1:3" ht="15.75" thickBot="1">
      <c r="A3916" s="6" t="s">
        <v>7452</v>
      </c>
      <c r="B3916" s="5" t="s">
        <v>7453</v>
      </c>
      <c r="C3916" s="3" t="s">
        <v>5</v>
      </c>
    </row>
    <row r="3917" spans="1:3" ht="15.75" thickBot="1">
      <c r="A3917" s="6" t="s">
        <v>7454</v>
      </c>
      <c r="B3917" s="5" t="s">
        <v>7455</v>
      </c>
      <c r="C3917" s="3" t="s">
        <v>5</v>
      </c>
    </row>
    <row r="3918" spans="1:3" ht="15.75" thickBot="1">
      <c r="A3918" s="6" t="s">
        <v>7456</v>
      </c>
      <c r="B3918" s="5" t="s">
        <v>7457</v>
      </c>
      <c r="C3918" s="3" t="s">
        <v>5</v>
      </c>
    </row>
    <row r="3919" spans="1:3" ht="15.75" thickBot="1">
      <c r="A3919" s="6" t="s">
        <v>7458</v>
      </c>
      <c r="B3919" s="5" t="s">
        <v>7459</v>
      </c>
      <c r="C3919" s="3" t="s">
        <v>5</v>
      </c>
    </row>
    <row r="3920" spans="1:3" ht="15.75" thickBot="1">
      <c r="A3920" s="6" t="s">
        <v>7460</v>
      </c>
      <c r="B3920" s="5" t="s">
        <v>7461</v>
      </c>
      <c r="C3920" s="3" t="s">
        <v>5</v>
      </c>
    </row>
    <row r="3921" spans="1:3" ht="15.75" thickBot="1">
      <c r="A3921" s="6" t="s">
        <v>7462</v>
      </c>
      <c r="B3921" s="5" t="s">
        <v>7463</v>
      </c>
      <c r="C3921" s="3" t="s">
        <v>5</v>
      </c>
    </row>
    <row r="3922" spans="1:3" ht="15.75" thickBot="1">
      <c r="A3922" s="6" t="s">
        <v>7464</v>
      </c>
      <c r="B3922" s="5" t="s">
        <v>7465</v>
      </c>
      <c r="C3922" s="3" t="s">
        <v>5</v>
      </c>
    </row>
    <row r="3923" spans="1:3" ht="15.75" thickBot="1">
      <c r="A3923" s="6" t="s">
        <v>7466</v>
      </c>
      <c r="B3923" s="5" t="e">
        <f xml:space="preserve"> magic T</f>
        <v>#NAME?</v>
      </c>
      <c r="C3923" s="3" t="s">
        <v>5</v>
      </c>
    </row>
    <row r="3924" spans="1:3" ht="15.75" thickBot="1">
      <c r="A3924" s="6" t="s">
        <v>7466</v>
      </c>
      <c r="B3924" s="5" t="e">
        <f xml:space="preserve"> magic T</f>
        <v>#NAME?</v>
      </c>
      <c r="C3924" s="3" t="s">
        <v>5</v>
      </c>
    </row>
    <row r="3925" spans="1:3" ht="15.75" thickBot="1">
      <c r="A3925" s="6" t="s">
        <v>7467</v>
      </c>
      <c r="B3925" s="5" t="s">
        <v>7468</v>
      </c>
      <c r="C3925" s="3" t="s">
        <v>5</v>
      </c>
    </row>
    <row r="3926" spans="1:3" ht="15.75" thickBot="1">
      <c r="A3926" s="6" t="s">
        <v>7467</v>
      </c>
      <c r="B3926" s="5" t="s">
        <v>7468</v>
      </c>
      <c r="C3926" s="3" t="s">
        <v>5</v>
      </c>
    </row>
    <row r="3927" spans="1:3" ht="15.75" thickBot="1">
      <c r="A3927" s="6" t="s">
        <v>7469</v>
      </c>
      <c r="B3927" s="5" t="s">
        <v>7470</v>
      </c>
      <c r="C3927" s="3" t="s">
        <v>5</v>
      </c>
    </row>
    <row r="3928" spans="1:3" ht="15.75" thickBot="1">
      <c r="A3928" s="6" t="s">
        <v>7469</v>
      </c>
      <c r="B3928" s="5" t="s">
        <v>7470</v>
      </c>
      <c r="C3928" s="3" t="s">
        <v>5</v>
      </c>
    </row>
    <row r="3929" spans="1:3" ht="15.75" thickBot="1">
      <c r="A3929" s="6" t="s">
        <v>7471</v>
      </c>
      <c r="B3929" s="5" t="s">
        <v>7472</v>
      </c>
      <c r="C3929" s="3" t="s">
        <v>5</v>
      </c>
    </row>
    <row r="3930" spans="1:3" ht="15.75" thickBot="1">
      <c r="A3930" s="6" t="s">
        <v>7471</v>
      </c>
      <c r="B3930" s="5" t="s">
        <v>7472</v>
      </c>
      <c r="C3930" s="3" t="s">
        <v>5</v>
      </c>
    </row>
    <row r="3931" spans="1:3" ht="15.75" thickBot="1">
      <c r="A3931" s="6" t="s">
        <v>7473</v>
      </c>
      <c r="B3931" s="5" t="s">
        <v>7474</v>
      </c>
      <c r="C3931" s="3" t="s">
        <v>5</v>
      </c>
    </row>
    <row r="3932" spans="1:3" ht="15.75" thickBot="1">
      <c r="A3932" s="6" t="s">
        <v>7473</v>
      </c>
      <c r="B3932" s="5" t="s">
        <v>7474</v>
      </c>
      <c r="C3932" s="3" t="s">
        <v>5</v>
      </c>
    </row>
    <row r="3933" spans="1:3" ht="15.75" thickBot="1">
      <c r="A3933" s="6" t="s">
        <v>7475</v>
      </c>
      <c r="B3933" s="5" t="s">
        <v>7476</v>
      </c>
      <c r="C3933" s="3" t="s">
        <v>5</v>
      </c>
    </row>
    <row r="3934" spans="1:3" ht="15.75" thickBot="1">
      <c r="A3934" s="6" t="s">
        <v>7477</v>
      </c>
      <c r="B3934" s="5" t="s">
        <v>7478</v>
      </c>
      <c r="C3934" s="3" t="s">
        <v>5</v>
      </c>
    </row>
    <row r="3935" spans="1:3" ht="15.75" thickBot="1">
      <c r="A3935" s="6" t="s">
        <v>7479</v>
      </c>
      <c r="B3935" s="5" t="e">
        <f xml:space="preserve"> water power station</f>
        <v>#NAME?</v>
      </c>
      <c r="C3935" s="3" t="s">
        <v>5</v>
      </c>
    </row>
    <row r="3936" spans="1:3" ht="15.75" thickBot="1">
      <c r="A3936" s="6" t="s">
        <v>7480</v>
      </c>
      <c r="B3936" s="5" t="s">
        <v>7481</v>
      </c>
      <c r="C3936" s="3" t="s">
        <v>5</v>
      </c>
    </row>
    <row r="3937" spans="1:3" ht="15.75" thickBot="1">
      <c r="A3937" s="6" t="s">
        <v>7482</v>
      </c>
      <c r="B3937" s="5" t="s">
        <v>7483</v>
      </c>
      <c r="C3937" s="3" t="s">
        <v>5</v>
      </c>
    </row>
    <row r="3938" spans="1:3" ht="15.75" thickBot="1">
      <c r="A3938" s="6" t="s">
        <v>7484</v>
      </c>
      <c r="B3938" s="5" t="s">
        <v>7485</v>
      </c>
      <c r="C3938" s="3" t="s">
        <v>5</v>
      </c>
    </row>
    <row r="3939" spans="1:3">
      <c r="A3939" s="1" t="s">
        <v>7486</v>
      </c>
      <c r="B3939" s="2" t="s">
        <v>7487</v>
      </c>
      <c r="C3939" s="3" t="s">
        <v>5</v>
      </c>
    </row>
    <row r="3940" spans="1:3" ht="15.75" thickBot="1">
      <c r="A3940" s="4"/>
      <c r="B3940" s="5" t="s">
        <v>5473</v>
      </c>
      <c r="C3940" s="3" t="s">
        <v>5</v>
      </c>
    </row>
    <row r="3941" spans="1:3" ht="15.75" thickBot="1">
      <c r="A3941" s="6" t="s">
        <v>7488</v>
      </c>
      <c r="B3941" s="5" t="s">
        <v>7489</v>
      </c>
      <c r="C3941" s="3" t="s">
        <v>5</v>
      </c>
    </row>
    <row r="3942" spans="1:3" ht="15.75" thickBot="1">
      <c r="A3942" s="6" t="s">
        <v>7490</v>
      </c>
      <c r="B3942" s="5" t="s">
        <v>7491</v>
      </c>
      <c r="C3942" s="3" t="s">
        <v>5</v>
      </c>
    </row>
    <row r="3943" spans="1:3" ht="15.75" thickBot="1">
      <c r="A3943" s="6" t="s">
        <v>7492</v>
      </c>
      <c r="B3943" s="5" t="s">
        <v>7493</v>
      </c>
      <c r="C3943" s="3" t="s">
        <v>5</v>
      </c>
    </row>
    <row r="3944" spans="1:3" ht="15.75" thickBot="1">
      <c r="A3944" s="6" t="s">
        <v>7494</v>
      </c>
      <c r="B3944" s="5" t="s">
        <v>7495</v>
      </c>
      <c r="C3944" s="3" t="s">
        <v>5</v>
      </c>
    </row>
    <row r="3945" spans="1:3" ht="15.75" thickBot="1">
      <c r="A3945" s="6" t="s">
        <v>7496</v>
      </c>
      <c r="B3945" s="5" t="s">
        <v>7497</v>
      </c>
      <c r="C3945" s="3" t="s">
        <v>5</v>
      </c>
    </row>
    <row r="3946" spans="1:3" ht="15.75" thickBot="1">
      <c r="A3946" s="6" t="s">
        <v>7498</v>
      </c>
      <c r="B3946" s="5" t="s">
        <v>7499</v>
      </c>
      <c r="C3946" s="3" t="s">
        <v>5</v>
      </c>
    </row>
    <row r="3947" spans="1:3" ht="15.75" thickBot="1">
      <c r="A3947" s="6" t="s">
        <v>7500</v>
      </c>
      <c r="B3947" s="5" t="s">
        <v>7501</v>
      </c>
      <c r="C3947" s="3" t="s">
        <v>5</v>
      </c>
    </row>
    <row r="3948" spans="1:3" ht="15.75" thickBot="1">
      <c r="A3948" s="6" t="s">
        <v>7502</v>
      </c>
      <c r="B3948" s="5" t="s">
        <v>7503</v>
      </c>
      <c r="C3948" s="3" t="s">
        <v>5</v>
      </c>
    </row>
    <row r="3949" spans="1:3">
      <c r="A3949" s="1" t="s">
        <v>7504</v>
      </c>
      <c r="B3949" s="2" t="s">
        <v>7505</v>
      </c>
      <c r="C3949" s="3" t="s">
        <v>5</v>
      </c>
    </row>
    <row r="3950" spans="1:3" ht="26.25" thickBot="1">
      <c r="A3950" s="4"/>
      <c r="B3950" s="5" t="s">
        <v>7506</v>
      </c>
      <c r="C3950" s="3" t="s">
        <v>5</v>
      </c>
    </row>
    <row r="3951" spans="1:3" ht="15.75" thickBot="1">
      <c r="A3951" s="6" t="s">
        <v>7507</v>
      </c>
      <c r="B3951" s="5" t="s">
        <v>7508</v>
      </c>
      <c r="C3951" s="3" t="s">
        <v>5</v>
      </c>
    </row>
    <row r="3952" spans="1:3" ht="15.75" thickBot="1">
      <c r="A3952" s="6" t="s">
        <v>7509</v>
      </c>
      <c r="B3952" s="5" t="s">
        <v>7510</v>
      </c>
      <c r="C3952" s="3" t="s">
        <v>5</v>
      </c>
    </row>
    <row r="3953" spans="1:3" ht="15.75" thickBot="1">
      <c r="A3953" s="6" t="s">
        <v>7511</v>
      </c>
      <c r="B3953" s="5" t="s">
        <v>7512</v>
      </c>
      <c r="C3953" s="3" t="s">
        <v>5</v>
      </c>
    </row>
    <row r="3954" spans="1:3" ht="15.75" thickBot="1">
      <c r="A3954" s="6" t="s">
        <v>7513</v>
      </c>
      <c r="B3954" s="5" t="s">
        <v>7514</v>
      </c>
      <c r="C3954" s="3" t="s">
        <v>5</v>
      </c>
    </row>
    <row r="3955" spans="1:3" ht="15.75" thickBot="1">
      <c r="A3955" s="6" t="s">
        <v>7515</v>
      </c>
      <c r="B3955" s="5" t="s">
        <v>7516</v>
      </c>
      <c r="C3955" s="3" t="s">
        <v>5</v>
      </c>
    </row>
    <row r="3956" spans="1:3" ht="15.75" thickBot="1">
      <c r="A3956" s="6" t="s">
        <v>7517</v>
      </c>
      <c r="B3956" s="5" t="s">
        <v>7518</v>
      </c>
      <c r="C3956" s="3" t="s">
        <v>5</v>
      </c>
    </row>
    <row r="3957" spans="1:3" ht="15.75" thickBot="1">
      <c r="A3957" s="6" t="s">
        <v>7519</v>
      </c>
      <c r="B3957" s="5" t="s">
        <v>7520</v>
      </c>
      <c r="C3957" s="3" t="s">
        <v>5</v>
      </c>
    </row>
    <row r="3958" spans="1:3" ht="15.75" thickBot="1">
      <c r="A3958" s="6" t="s">
        <v>7521</v>
      </c>
      <c r="B3958" s="5" t="s">
        <v>7522</v>
      </c>
      <c r="C3958" s="3" t="s">
        <v>5</v>
      </c>
    </row>
    <row r="3959" spans="1:3" ht="15.75" thickBot="1">
      <c r="A3959" s="6" t="s">
        <v>7523</v>
      </c>
      <c r="B3959" s="5" t="s">
        <v>7524</v>
      </c>
      <c r="C3959" s="3" t="s">
        <v>5</v>
      </c>
    </row>
    <row r="3960" spans="1:3" ht="15.75" thickBot="1">
      <c r="A3960" s="6" t="s">
        <v>7525</v>
      </c>
      <c r="B3960" s="5" t="e">
        <f xml:space="preserve"> dummy coil</f>
        <v>#NAME?</v>
      </c>
      <c r="C3960" s="3" t="s">
        <v>5</v>
      </c>
    </row>
    <row r="3961" spans="1:3" ht="15.75" thickBot="1">
      <c r="A3961" s="6" t="s">
        <v>7526</v>
      </c>
      <c r="B3961" s="5" t="s">
        <v>7527</v>
      </c>
      <c r="C3961" s="3" t="s">
        <v>5</v>
      </c>
    </row>
    <row r="3962" spans="1:3" ht="15.75" thickBot="1">
      <c r="A3962" s="6" t="s">
        <v>7528</v>
      </c>
      <c r="B3962" s="5" t="s">
        <v>7529</v>
      </c>
      <c r="C3962" s="3" t="s">
        <v>5</v>
      </c>
    </row>
    <row r="3963" spans="1:3" ht="15.75" thickBot="1">
      <c r="A3963" s="6" t="s">
        <v>7530</v>
      </c>
      <c r="B3963" s="5" t="s">
        <v>6113</v>
      </c>
      <c r="C3963" s="3" t="s">
        <v>5</v>
      </c>
    </row>
    <row r="3964" spans="1:3" ht="15.75" thickBot="1">
      <c r="A3964" s="6" t="s">
        <v>7530</v>
      </c>
      <c r="B3964" s="5" t="s">
        <v>7531</v>
      </c>
      <c r="C3964" s="3" t="s">
        <v>5</v>
      </c>
    </row>
    <row r="3965" spans="1:3" ht="15.75" thickBot="1">
      <c r="A3965" s="6" t="s">
        <v>7532</v>
      </c>
      <c r="B3965" s="5" t="s">
        <v>7533</v>
      </c>
      <c r="C3965" s="3" t="s">
        <v>5</v>
      </c>
    </row>
    <row r="3966" spans="1:3" ht="15.75" thickBot="1">
      <c r="A3966" s="6" t="s">
        <v>7534</v>
      </c>
      <c r="B3966" s="5" t="s">
        <v>7535</v>
      </c>
      <c r="C3966" s="3" t="s">
        <v>5</v>
      </c>
    </row>
    <row r="3967" spans="1:3" ht="15.75" thickBot="1">
      <c r="A3967" s="6" t="s">
        <v>7536</v>
      </c>
      <c r="B3967" s="5" t="s">
        <v>7537</v>
      </c>
      <c r="C3967" s="3" t="s">
        <v>5</v>
      </c>
    </row>
    <row r="3968" spans="1:3" ht="15.75" thickBot="1">
      <c r="A3968" s="6" t="s">
        <v>7538</v>
      </c>
      <c r="B3968" s="5" t="s">
        <v>7539</v>
      </c>
      <c r="C3968" s="3" t="s">
        <v>5</v>
      </c>
    </row>
    <row r="3969" spans="1:3" ht="15.75" thickBot="1">
      <c r="A3969" s="6" t="s">
        <v>7540</v>
      </c>
      <c r="B3969" s="5" t="s">
        <v>7541</v>
      </c>
      <c r="C3969" s="3" t="s">
        <v>5</v>
      </c>
    </row>
    <row r="3970" spans="1:3" ht="15.75" thickBot="1">
      <c r="A3970" s="6" t="s">
        <v>7542</v>
      </c>
      <c r="B3970" s="5" t="s">
        <v>7543</v>
      </c>
      <c r="C3970" s="3" t="s">
        <v>5</v>
      </c>
    </row>
    <row r="3971" spans="1:3" ht="15.75" thickBot="1">
      <c r="A3971" s="6" t="s">
        <v>7544</v>
      </c>
      <c r="B3971" s="5" t="s">
        <v>7545</v>
      </c>
      <c r="C3971" s="3" t="s">
        <v>5</v>
      </c>
    </row>
    <row r="3972" spans="1:3" ht="15.75" thickBot="1">
      <c r="A3972" s="6" t="s">
        <v>7546</v>
      </c>
      <c r="B3972" s="5" t="s">
        <v>7547</v>
      </c>
      <c r="C3972" s="3" t="s">
        <v>5</v>
      </c>
    </row>
    <row r="3973" spans="1:3" ht="15.75" thickBot="1">
      <c r="A3973" s="6" t="s">
        <v>7548</v>
      </c>
      <c r="B3973" s="5" t="s">
        <v>7549</v>
      </c>
      <c r="C3973" s="3" t="s">
        <v>5</v>
      </c>
    </row>
    <row r="3974" spans="1:3" ht="15.75" thickBot="1">
      <c r="A3974" s="6" t="s">
        <v>7550</v>
      </c>
      <c r="B3974" s="5" t="s">
        <v>7551</v>
      </c>
      <c r="C3974" s="3" t="s">
        <v>5</v>
      </c>
    </row>
    <row r="3975" spans="1:3" ht="15.75" thickBot="1">
      <c r="A3975" s="6" t="s">
        <v>7552</v>
      </c>
      <c r="B3975" s="5" t="s">
        <v>7553</v>
      </c>
      <c r="C3975" s="3" t="s">
        <v>5</v>
      </c>
    </row>
    <row r="3976" spans="1:3" ht="15.75" thickBot="1">
      <c r="A3976" s="6" t="s">
        <v>7554</v>
      </c>
      <c r="B3976" s="5" t="s">
        <v>7555</v>
      </c>
      <c r="C3976" s="3" t="s">
        <v>5</v>
      </c>
    </row>
    <row r="3977" spans="1:3" ht="15.75" thickBot="1">
      <c r="A3977" s="6" t="s">
        <v>7556</v>
      </c>
      <c r="B3977" s="5" t="s">
        <v>7557</v>
      </c>
      <c r="C3977" s="3" t="s">
        <v>5</v>
      </c>
    </row>
    <row r="3978" spans="1:3" ht="15.75" thickBot="1">
      <c r="A3978" s="6" t="s">
        <v>7558</v>
      </c>
      <c r="B3978" s="5" t="s">
        <v>7559</v>
      </c>
      <c r="C3978" s="3" t="s">
        <v>5</v>
      </c>
    </row>
    <row r="3979" spans="1:3" ht="15.75" thickBot="1">
      <c r="A3979" s="6" t="s">
        <v>7560</v>
      </c>
      <c r="B3979" s="5" t="s">
        <v>7561</v>
      </c>
      <c r="C3979" s="3" t="s">
        <v>5</v>
      </c>
    </row>
    <row r="3980" spans="1:3" ht="15.75" thickBot="1">
      <c r="A3980" s="6" t="s">
        <v>7562</v>
      </c>
      <c r="B3980" s="5" t="s">
        <v>7563</v>
      </c>
      <c r="C3980" s="3" t="s">
        <v>5</v>
      </c>
    </row>
    <row r="3981" spans="1:3" ht="15.75" thickBot="1">
      <c r="A3981" s="6" t="s">
        <v>7564</v>
      </c>
      <c r="B3981" s="5" t="s">
        <v>7565</v>
      </c>
      <c r="C3981" s="3" t="s">
        <v>5</v>
      </c>
    </row>
    <row r="3982" spans="1:3" ht="15.75" thickBot="1">
      <c r="A3982" s="6" t="s">
        <v>7566</v>
      </c>
      <c r="B3982" s="5" t="s">
        <v>7567</v>
      </c>
      <c r="C3982" s="3" t="s">
        <v>5</v>
      </c>
    </row>
    <row r="3983" spans="1:3" ht="15.75" thickBot="1">
      <c r="A3983" s="6" t="s">
        <v>7568</v>
      </c>
      <c r="B3983" s="5" t="s">
        <v>7569</v>
      </c>
      <c r="C3983" s="3" t="s">
        <v>5</v>
      </c>
    </row>
    <row r="3984" spans="1:3" ht="15.75" thickBot="1">
      <c r="A3984" s="6" t="s">
        <v>7570</v>
      </c>
      <c r="B3984" s="5" t="s">
        <v>7571</v>
      </c>
      <c r="C3984" s="3" t="s">
        <v>5</v>
      </c>
    </row>
    <row r="3985" spans="1:3" ht="15.75" thickBot="1">
      <c r="A3985" s="6" t="s">
        <v>7572</v>
      </c>
      <c r="B3985" s="5" t="s">
        <v>7573</v>
      </c>
      <c r="C3985" s="3" t="s">
        <v>5</v>
      </c>
    </row>
    <row r="3986" spans="1:3" ht="15.75" thickBot="1">
      <c r="A3986" s="6" t="s">
        <v>7574</v>
      </c>
      <c r="B3986" s="5" t="s">
        <v>7575</v>
      </c>
      <c r="C3986" s="3" t="s">
        <v>5</v>
      </c>
    </row>
    <row r="3987" spans="1:3" ht="15.75" thickBot="1">
      <c r="A3987" s="6" t="s">
        <v>7574</v>
      </c>
      <c r="B3987" s="5" t="s">
        <v>7575</v>
      </c>
      <c r="C3987" s="3" t="s">
        <v>5</v>
      </c>
    </row>
    <row r="3988" spans="1:3" ht="15.75" thickBot="1">
      <c r="A3988" s="6" t="s">
        <v>7576</v>
      </c>
      <c r="B3988" s="5" t="s">
        <v>7577</v>
      </c>
      <c r="C3988" s="3" t="s">
        <v>5</v>
      </c>
    </row>
    <row r="3989" spans="1:3" ht="15.75" thickBot="1">
      <c r="A3989" s="6" t="s">
        <v>7576</v>
      </c>
      <c r="B3989" s="5" t="s">
        <v>7577</v>
      </c>
      <c r="C3989" s="3" t="s">
        <v>5</v>
      </c>
    </row>
    <row r="3990" spans="1:3" ht="15.75" thickBot="1">
      <c r="A3990" s="6" t="s">
        <v>7578</v>
      </c>
      <c r="B3990" s="5" t="s">
        <v>7579</v>
      </c>
      <c r="C3990" s="3" t="s">
        <v>5</v>
      </c>
    </row>
    <row r="3991" spans="1:3" ht="15.75" thickBot="1">
      <c r="A3991" s="6" t="s">
        <v>7580</v>
      </c>
      <c r="B3991" s="5" t="s">
        <v>7581</v>
      </c>
      <c r="C3991" s="3" t="s">
        <v>5</v>
      </c>
    </row>
    <row r="3992" spans="1:3" ht="15.75" thickBot="1">
      <c r="A3992" s="6" t="s">
        <v>7582</v>
      </c>
      <c r="B3992" s="5" t="s">
        <v>7583</v>
      </c>
      <c r="C3992" s="3" t="s">
        <v>5</v>
      </c>
    </row>
    <row r="3993" spans="1:3" ht="15.75" thickBot="1">
      <c r="A3993" s="6" t="s">
        <v>7584</v>
      </c>
      <c r="B3993" s="5" t="s">
        <v>7585</v>
      </c>
      <c r="C3993" s="3" t="s">
        <v>5</v>
      </c>
    </row>
    <row r="3994" spans="1:3" ht="15.75" thickBot="1">
      <c r="A3994" s="6" t="s">
        <v>7586</v>
      </c>
      <c r="B3994" s="5" t="s">
        <v>7587</v>
      </c>
      <c r="C3994" s="3" t="s">
        <v>5</v>
      </c>
    </row>
    <row r="3995" spans="1:3" ht="15.75" thickBot="1">
      <c r="A3995" s="6" t="s">
        <v>7588</v>
      </c>
      <c r="B3995" s="5" t="s">
        <v>7589</v>
      </c>
      <c r="C3995" s="3" t="s">
        <v>5</v>
      </c>
    </row>
    <row r="3996" spans="1:3" ht="15.75" thickBot="1">
      <c r="A3996" s="6" t="s">
        <v>7590</v>
      </c>
      <c r="B3996" s="5" t="s">
        <v>7591</v>
      </c>
      <c r="C3996" s="3" t="s">
        <v>5</v>
      </c>
    </row>
    <row r="3997" spans="1:3">
      <c r="A3997" s="1" t="s">
        <v>7592</v>
      </c>
      <c r="B3997" s="2" t="s">
        <v>7593</v>
      </c>
      <c r="C3997" s="3" t="s">
        <v>5</v>
      </c>
    </row>
    <row r="3998" spans="1:3" ht="15.75" thickBot="1">
      <c r="A3998" s="4"/>
      <c r="B3998" s="5" t="s">
        <v>7286</v>
      </c>
      <c r="C3998" s="3" t="s">
        <v>5</v>
      </c>
    </row>
    <row r="3999" spans="1:3">
      <c r="A3999" s="1" t="s">
        <v>7594</v>
      </c>
      <c r="B3999" s="2" t="s">
        <v>7595</v>
      </c>
      <c r="C3999" s="3" t="s">
        <v>5</v>
      </c>
    </row>
    <row r="4000" spans="1:3" ht="15.75" thickBot="1">
      <c r="A4000" s="4"/>
      <c r="B4000" s="5" t="s">
        <v>7596</v>
      </c>
      <c r="C4000" s="3" t="s">
        <v>5</v>
      </c>
    </row>
    <row r="4001" spans="1:3" ht="15.75" thickBot="1">
      <c r="A4001" s="6" t="s">
        <v>7597</v>
      </c>
      <c r="B4001" s="5" t="s">
        <v>7598</v>
      </c>
      <c r="C4001" s="3" t="s">
        <v>5</v>
      </c>
    </row>
    <row r="4002" spans="1:3" ht="15.75" thickBot="1">
      <c r="A4002" s="6" t="s">
        <v>7599</v>
      </c>
      <c r="B4002" s="5" t="s">
        <v>7600</v>
      </c>
      <c r="C4002" s="3" t="s">
        <v>5</v>
      </c>
    </row>
    <row r="4003" spans="1:3" ht="15.75" thickBot="1">
      <c r="A4003" s="6" t="s">
        <v>7601</v>
      </c>
      <c r="B4003" s="5" t="s">
        <v>7602</v>
      </c>
      <c r="C4003" s="3" t="s">
        <v>5</v>
      </c>
    </row>
    <row r="4004" spans="1:3" ht="15.75" thickBot="1">
      <c r="A4004" s="6" t="s">
        <v>7603</v>
      </c>
      <c r="B4004" s="5" t="s">
        <v>7604</v>
      </c>
      <c r="C4004" s="3" t="s">
        <v>5</v>
      </c>
    </row>
    <row r="4005" spans="1:3" ht="15.75" thickBot="1">
      <c r="A4005" s="6" t="s">
        <v>7605</v>
      </c>
      <c r="B4005" s="5" t="s">
        <v>7606</v>
      </c>
      <c r="C4005" s="3" t="s">
        <v>5</v>
      </c>
    </row>
    <row r="4006" spans="1:3" ht="15.75" thickBot="1">
      <c r="A4006" s="6" t="s">
        <v>7607</v>
      </c>
      <c r="B4006" s="5" t="s">
        <v>7608</v>
      </c>
      <c r="C4006" s="3" t="s">
        <v>5</v>
      </c>
    </row>
    <row r="4007" spans="1:3" ht="15.75" thickBot="1">
      <c r="A4007" s="6" t="s">
        <v>7609</v>
      </c>
      <c r="B4007" s="5" t="s">
        <v>7610</v>
      </c>
      <c r="C4007" s="3" t="s">
        <v>5</v>
      </c>
    </row>
    <row r="4008" spans="1:3" ht="15.75" thickBot="1">
      <c r="A4008" s="6" t="s">
        <v>7611</v>
      </c>
      <c r="B4008" s="5" t="s">
        <v>7612</v>
      </c>
      <c r="C4008" s="3" t="s">
        <v>5</v>
      </c>
    </row>
    <row r="4009" spans="1:3" ht="15.75" thickBot="1">
      <c r="A4009" s="6" t="s">
        <v>7613</v>
      </c>
      <c r="B4009" s="5" t="e">
        <f xml:space="preserve"> impedance balancing</f>
        <v>#NAME?</v>
      </c>
      <c r="C4009" s="3" t="s">
        <v>5</v>
      </c>
    </row>
    <row r="4010" spans="1:3" ht="15.75" thickBot="1">
      <c r="A4010" s="6" t="s">
        <v>7614</v>
      </c>
      <c r="B4010" s="5" t="s">
        <v>7615</v>
      </c>
      <c r="C4010" s="3" t="s">
        <v>5</v>
      </c>
    </row>
    <row r="4011" spans="1:3" ht="15.75" thickBot="1">
      <c r="A4011" s="6" t="s">
        <v>7616</v>
      </c>
      <c r="B4011" s="5" t="s">
        <v>7617</v>
      </c>
      <c r="C4011" s="3" t="s">
        <v>5</v>
      </c>
    </row>
    <row r="4012" spans="1:3" ht="15.75" thickBot="1">
      <c r="A4012" s="6" t="s">
        <v>7618</v>
      </c>
      <c r="B4012" s="5" t="s">
        <v>7619</v>
      </c>
      <c r="C4012" s="3" t="s">
        <v>5</v>
      </c>
    </row>
    <row r="4013" spans="1:3" ht="15.75" thickBot="1">
      <c r="A4013" s="6" t="s">
        <v>7620</v>
      </c>
      <c r="B4013" s="5" t="s">
        <v>7621</v>
      </c>
      <c r="C4013" s="3" t="s">
        <v>5</v>
      </c>
    </row>
    <row r="4014" spans="1:3">
      <c r="A4014" s="1" t="s">
        <v>7622</v>
      </c>
      <c r="B4014" s="2" t="s">
        <v>7623</v>
      </c>
      <c r="C4014" s="3" t="s">
        <v>5</v>
      </c>
    </row>
    <row r="4015" spans="1:3" ht="15.75" thickBot="1">
      <c r="A4015" s="4"/>
      <c r="B4015" s="5" t="s">
        <v>7624</v>
      </c>
      <c r="C4015" s="3" t="s">
        <v>5</v>
      </c>
    </row>
    <row r="4016" spans="1:3" ht="15.75" thickBot="1">
      <c r="A4016" s="6" t="s">
        <v>7625</v>
      </c>
      <c r="B4016" s="5" t="s">
        <v>7626</v>
      </c>
      <c r="C4016" s="3" t="s">
        <v>5</v>
      </c>
    </row>
    <row r="4017" spans="1:3" ht="15.75" thickBot="1">
      <c r="A4017" s="6" t="s">
        <v>7627</v>
      </c>
      <c r="B4017" s="5" t="s">
        <v>7628</v>
      </c>
      <c r="C4017" s="3" t="s">
        <v>5</v>
      </c>
    </row>
    <row r="4018" spans="1:3" ht="15.75" thickBot="1">
      <c r="A4018" s="6" t="s">
        <v>7629</v>
      </c>
      <c r="B4018" s="5" t="s">
        <v>7630</v>
      </c>
      <c r="C4018" s="3" t="s">
        <v>5</v>
      </c>
    </row>
    <row r="4019" spans="1:3" ht="15.75" thickBot="1">
      <c r="A4019" s="6" t="s">
        <v>7631</v>
      </c>
      <c r="B4019" s="5" t="s">
        <v>7632</v>
      </c>
      <c r="C4019" s="3" t="s">
        <v>5</v>
      </c>
    </row>
    <row r="4020" spans="1:3" ht="15.75" thickBot="1">
      <c r="A4020" s="6" t="s">
        <v>7633</v>
      </c>
      <c r="B4020" s="5" t="s">
        <v>7634</v>
      </c>
      <c r="C4020" s="3" t="s">
        <v>5</v>
      </c>
    </row>
    <row r="4021" spans="1:3" ht="15.75" thickBot="1">
      <c r="A4021" s="6" t="s">
        <v>7635</v>
      </c>
      <c r="B4021" s="5" t="s">
        <v>7636</v>
      </c>
      <c r="C4021" s="3" t="s">
        <v>5</v>
      </c>
    </row>
    <row r="4022" spans="1:3" ht="15.75" thickBot="1">
      <c r="A4022" s="6" t="s">
        <v>7637</v>
      </c>
      <c r="B4022" s="5" t="s">
        <v>7638</v>
      </c>
      <c r="C4022" s="3" t="s">
        <v>5</v>
      </c>
    </row>
    <row r="4023" spans="1:3" ht="15.75" thickBot="1">
      <c r="A4023" s="6" t="s">
        <v>7639</v>
      </c>
      <c r="B4023" s="5" t="s">
        <v>7640</v>
      </c>
      <c r="C4023" s="3" t="s">
        <v>5</v>
      </c>
    </row>
    <row r="4024" spans="1:3" ht="15.75" thickBot="1">
      <c r="A4024" s="6" t="s">
        <v>7641</v>
      </c>
      <c r="B4024" s="5" t="s">
        <v>7642</v>
      </c>
      <c r="C4024" s="3" t="s">
        <v>5</v>
      </c>
    </row>
    <row r="4025" spans="1:3" ht="15.75" thickBot="1">
      <c r="A4025" s="6" t="s">
        <v>7643</v>
      </c>
      <c r="B4025" s="5" t="s">
        <v>7644</v>
      </c>
      <c r="C4025" s="3" t="s">
        <v>5</v>
      </c>
    </row>
    <row r="4026" spans="1:3" ht="15.75" thickBot="1">
      <c r="A4026" s="6" t="s">
        <v>7643</v>
      </c>
      <c r="B4026" s="5" t="s">
        <v>7645</v>
      </c>
      <c r="C4026" s="3" t="s">
        <v>5</v>
      </c>
    </row>
    <row r="4027" spans="1:3" ht="15.75" thickBot="1">
      <c r="A4027" s="6" t="s">
        <v>7646</v>
      </c>
      <c r="B4027" s="5" t="s">
        <v>7647</v>
      </c>
      <c r="C4027" s="3" t="s">
        <v>5</v>
      </c>
    </row>
    <row r="4028" spans="1:3" ht="15.75" thickBot="1">
      <c r="A4028" s="6" t="s">
        <v>7648</v>
      </c>
      <c r="B4028" s="5" t="s">
        <v>7649</v>
      </c>
      <c r="C4028" s="3" t="s">
        <v>5</v>
      </c>
    </row>
    <row r="4029" spans="1:3" ht="15.75" thickBot="1">
      <c r="A4029" s="6" t="s">
        <v>7650</v>
      </c>
      <c r="B4029" s="5" t="s">
        <v>7651</v>
      </c>
      <c r="C4029" s="3" t="s">
        <v>5</v>
      </c>
    </row>
    <row r="4030" spans="1:3" ht="15.75" thickBot="1">
      <c r="A4030" s="6" t="s">
        <v>7652</v>
      </c>
      <c r="B4030" s="5" t="s">
        <v>7653</v>
      </c>
      <c r="C4030" s="3" t="s">
        <v>5</v>
      </c>
    </row>
    <row r="4031" spans="1:3" ht="15.75" thickBot="1">
      <c r="A4031" s="6" t="s">
        <v>7654</v>
      </c>
      <c r="B4031" s="5" t="s">
        <v>7655</v>
      </c>
      <c r="C4031" s="3" t="s">
        <v>5</v>
      </c>
    </row>
    <row r="4032" spans="1:3">
      <c r="A4032" s="1" t="s">
        <v>7656</v>
      </c>
      <c r="B4032" s="2" t="s">
        <v>7657</v>
      </c>
      <c r="C4032" s="3" t="s">
        <v>5</v>
      </c>
    </row>
    <row r="4033" spans="1:3" ht="15.75" thickBot="1">
      <c r="A4033" s="4"/>
      <c r="B4033" s="5" t="s">
        <v>7658</v>
      </c>
      <c r="C4033" s="3" t="s">
        <v>5</v>
      </c>
    </row>
    <row r="4034" spans="1:3" ht="15.75" thickBot="1">
      <c r="A4034" s="6" t="s">
        <v>7659</v>
      </c>
      <c r="B4034" s="5" t="s">
        <v>7660</v>
      </c>
      <c r="C4034" s="3" t="s">
        <v>5</v>
      </c>
    </row>
    <row r="4035" spans="1:3" ht="15.75" thickBot="1">
      <c r="A4035" s="6" t="s">
        <v>7661</v>
      </c>
      <c r="B4035" s="5" t="s">
        <v>7662</v>
      </c>
      <c r="C4035" s="3" t="s">
        <v>5</v>
      </c>
    </row>
    <row r="4036" spans="1:3" ht="15.75" thickBot="1">
      <c r="A4036" s="6" t="s">
        <v>7663</v>
      </c>
      <c r="B4036" s="5" t="s">
        <v>7664</v>
      </c>
      <c r="C4036" s="3" t="s">
        <v>5</v>
      </c>
    </row>
    <row r="4037" spans="1:3" ht="15.75" thickBot="1">
      <c r="A4037" s="6" t="s">
        <v>7665</v>
      </c>
      <c r="B4037" s="5" t="s">
        <v>7666</v>
      </c>
      <c r="C4037" s="3" t="s">
        <v>5</v>
      </c>
    </row>
    <row r="4038" spans="1:3" ht="15.75" thickBot="1">
      <c r="A4038" s="6" t="s">
        <v>7667</v>
      </c>
      <c r="B4038" s="5" t="s">
        <v>7668</v>
      </c>
      <c r="C4038" s="3" t="s">
        <v>5</v>
      </c>
    </row>
    <row r="4039" spans="1:3" ht="15.75" thickBot="1">
      <c r="A4039" s="6" t="s">
        <v>7669</v>
      </c>
      <c r="B4039" s="5" t="s">
        <v>7670</v>
      </c>
      <c r="C4039" s="3" t="s">
        <v>5</v>
      </c>
    </row>
    <row r="4040" spans="1:3" ht="15.75" thickBot="1">
      <c r="A4040" s="6" t="s">
        <v>7671</v>
      </c>
      <c r="B4040" s="5" t="s">
        <v>7672</v>
      </c>
      <c r="C4040" s="3" t="s">
        <v>5</v>
      </c>
    </row>
    <row r="4041" spans="1:3" ht="15.75" thickBot="1">
      <c r="A4041" s="6" t="s">
        <v>7673</v>
      </c>
      <c r="B4041" s="5" t="s">
        <v>7674</v>
      </c>
      <c r="C4041" s="3" t="s">
        <v>5</v>
      </c>
    </row>
    <row r="4042" spans="1:3" ht="15.75" thickBot="1">
      <c r="A4042" s="6" t="s">
        <v>7675</v>
      </c>
      <c r="B4042" s="5" t="s">
        <v>7676</v>
      </c>
      <c r="C4042" s="3" t="s">
        <v>5</v>
      </c>
    </row>
    <row r="4043" spans="1:3" ht="15.75" thickBot="1">
      <c r="A4043" s="6" t="s">
        <v>7677</v>
      </c>
      <c r="B4043" s="5" t="s">
        <v>7678</v>
      </c>
      <c r="C4043" s="3" t="s">
        <v>5</v>
      </c>
    </row>
    <row r="4044" spans="1:3" ht="15.75" thickBot="1">
      <c r="A4044" s="6" t="s">
        <v>7679</v>
      </c>
      <c r="B4044" s="5" t="s">
        <v>7680</v>
      </c>
      <c r="C4044" s="3" t="s">
        <v>5</v>
      </c>
    </row>
    <row r="4045" spans="1:3" ht="15.75" thickBot="1">
      <c r="A4045" s="6" t="s">
        <v>7681</v>
      </c>
      <c r="B4045" s="5" t="s">
        <v>7682</v>
      </c>
      <c r="C4045" s="3" t="s">
        <v>5</v>
      </c>
    </row>
    <row r="4046" spans="1:3" ht="15.75" thickBot="1">
      <c r="A4046" s="6" t="s">
        <v>7683</v>
      </c>
      <c r="B4046" s="5" t="s">
        <v>7684</v>
      </c>
      <c r="C4046" s="3" t="s">
        <v>5</v>
      </c>
    </row>
    <row r="4047" spans="1:3" ht="15.75" thickBot="1">
      <c r="A4047" s="6" t="s">
        <v>7685</v>
      </c>
      <c r="B4047" s="5" t="s">
        <v>7686</v>
      </c>
      <c r="C4047" s="3" t="s">
        <v>5</v>
      </c>
    </row>
    <row r="4048" spans="1:3" ht="15.75" thickBot="1">
      <c r="A4048" s="6" t="s">
        <v>7687</v>
      </c>
      <c r="B4048" s="5" t="s">
        <v>7688</v>
      </c>
      <c r="C4048" s="3" t="s">
        <v>5</v>
      </c>
    </row>
    <row r="4049" spans="1:3" ht="15.75" thickBot="1">
      <c r="A4049" s="6" t="s">
        <v>7689</v>
      </c>
      <c r="B4049" s="5" t="s">
        <v>7690</v>
      </c>
      <c r="C4049" s="3" t="s">
        <v>5</v>
      </c>
    </row>
    <row r="4050" spans="1:3" ht="15.75" thickBot="1">
      <c r="A4050" s="6" t="s">
        <v>7691</v>
      </c>
      <c r="B4050" s="5" t="s">
        <v>7692</v>
      </c>
      <c r="C4050" s="3" t="s">
        <v>5</v>
      </c>
    </row>
    <row r="4051" spans="1:3" ht="15.75" thickBot="1">
      <c r="A4051" s="6" t="s">
        <v>7693</v>
      </c>
      <c r="B4051" s="5" t="s">
        <v>7694</v>
      </c>
      <c r="C4051" s="3" t="s">
        <v>5</v>
      </c>
    </row>
    <row r="4052" spans="1:3" ht="15.75" thickBot="1">
      <c r="A4052" s="6" t="s">
        <v>7695</v>
      </c>
      <c r="B4052" s="5" t="s">
        <v>7696</v>
      </c>
      <c r="C4052" s="3" t="s">
        <v>5</v>
      </c>
    </row>
    <row r="4053" spans="1:3" ht="15.75" thickBot="1">
      <c r="A4053" s="6" t="s">
        <v>7697</v>
      </c>
      <c r="B4053" s="5" t="s">
        <v>7698</v>
      </c>
      <c r="C4053" s="3" t="s">
        <v>5</v>
      </c>
    </row>
    <row r="4054" spans="1:3" ht="15.75" thickBot="1">
      <c r="A4054" s="6" t="s">
        <v>7699</v>
      </c>
      <c r="B4054" s="5" t="s">
        <v>7700</v>
      </c>
      <c r="C4054" s="3" t="s">
        <v>5</v>
      </c>
    </row>
    <row r="4055" spans="1:3" ht="15.75" thickBot="1">
      <c r="A4055" s="6" t="s">
        <v>7701</v>
      </c>
      <c r="B4055" s="5" t="s">
        <v>7702</v>
      </c>
      <c r="C4055" s="3" t="s">
        <v>5</v>
      </c>
    </row>
    <row r="4056" spans="1:3" ht="15.75" thickBot="1">
      <c r="A4056" s="6" t="s">
        <v>7703</v>
      </c>
      <c r="B4056" s="5" t="s">
        <v>7704</v>
      </c>
      <c r="C4056" s="3" t="s">
        <v>5</v>
      </c>
    </row>
    <row r="4057" spans="1:3">
      <c r="A4057" s="1" t="s">
        <v>7705</v>
      </c>
      <c r="B4057" s="2" t="s">
        <v>7706</v>
      </c>
      <c r="C4057" s="3" t="s">
        <v>5</v>
      </c>
    </row>
    <row r="4058" spans="1:3" ht="15.75" thickBot="1">
      <c r="A4058" s="4"/>
      <c r="B4058" s="5" t="s">
        <v>1997</v>
      </c>
      <c r="C4058" s="3" t="s">
        <v>5</v>
      </c>
    </row>
    <row r="4059" spans="1:3" ht="15.75" thickBot="1">
      <c r="A4059" s="6" t="s">
        <v>7707</v>
      </c>
      <c r="B4059" s="5" t="s">
        <v>7708</v>
      </c>
      <c r="C4059" s="3" t="s">
        <v>5</v>
      </c>
    </row>
    <row r="4060" spans="1:3" ht="15.75" thickBot="1">
      <c r="A4060" s="6" t="s">
        <v>7709</v>
      </c>
      <c r="B4060" s="5" t="s">
        <v>7710</v>
      </c>
      <c r="C4060" s="3" t="s">
        <v>5</v>
      </c>
    </row>
    <row r="4061" spans="1:3" ht="15.75" thickBot="1">
      <c r="A4061" s="6" t="s">
        <v>7711</v>
      </c>
      <c r="B4061" s="5" t="s">
        <v>7712</v>
      </c>
      <c r="C4061" s="3" t="s">
        <v>5</v>
      </c>
    </row>
    <row r="4062" spans="1:3" ht="15.75" thickBot="1">
      <c r="A4062" s="6" t="s">
        <v>7713</v>
      </c>
      <c r="B4062" s="5" t="s">
        <v>7714</v>
      </c>
      <c r="C4062" s="3" t="s">
        <v>5</v>
      </c>
    </row>
    <row r="4063" spans="1:3" ht="15.75" thickBot="1">
      <c r="A4063" s="6" t="s">
        <v>7715</v>
      </c>
      <c r="B4063" s="5" t="s">
        <v>7716</v>
      </c>
      <c r="C4063" s="3" t="s">
        <v>5</v>
      </c>
    </row>
    <row r="4064" spans="1:3" ht="15.75" thickBot="1">
      <c r="A4064" s="6" t="s">
        <v>7717</v>
      </c>
      <c r="B4064" s="5" t="s">
        <v>7718</v>
      </c>
      <c r="C4064" s="3" t="s">
        <v>5</v>
      </c>
    </row>
    <row r="4065" spans="1:3" ht="15.75" thickBot="1">
      <c r="A4065" s="6" t="s">
        <v>7719</v>
      </c>
      <c r="B4065" s="5" t="s">
        <v>7720</v>
      </c>
      <c r="C4065" s="3" t="s">
        <v>5</v>
      </c>
    </row>
    <row r="4066" spans="1:3" ht="15.75" thickBot="1">
      <c r="A4066" s="6" t="s">
        <v>7721</v>
      </c>
      <c r="B4066" s="5" t="s">
        <v>7722</v>
      </c>
      <c r="C4066" s="3" t="s">
        <v>5</v>
      </c>
    </row>
    <row r="4067" spans="1:3" ht="15.75" thickBot="1">
      <c r="A4067" s="6" t="s">
        <v>7723</v>
      </c>
      <c r="B4067" s="5" t="s">
        <v>7724</v>
      </c>
      <c r="C4067" s="3" t="s">
        <v>5</v>
      </c>
    </row>
    <row r="4068" spans="1:3" ht="15.75" thickBot="1">
      <c r="A4068" s="6" t="s">
        <v>7725</v>
      </c>
      <c r="B4068" s="5" t="s">
        <v>7726</v>
      </c>
      <c r="C4068" s="3" t="s">
        <v>5</v>
      </c>
    </row>
    <row r="4069" spans="1:3" ht="15.75" thickBot="1">
      <c r="A4069" s="6" t="s">
        <v>7727</v>
      </c>
      <c r="B4069" s="5" t="s">
        <v>7728</v>
      </c>
      <c r="C4069" s="3" t="s">
        <v>5</v>
      </c>
    </row>
    <row r="4070" spans="1:3" ht="15.75" thickBot="1">
      <c r="A4070" s="6" t="s">
        <v>7729</v>
      </c>
      <c r="B4070" s="5" t="s">
        <v>7730</v>
      </c>
      <c r="C4070" s="3" t="s">
        <v>5</v>
      </c>
    </row>
    <row r="4071" spans="1:3" ht="15.75" thickBot="1">
      <c r="A4071" s="6" t="s">
        <v>7731</v>
      </c>
      <c r="B4071" s="5" t="s">
        <v>7732</v>
      </c>
      <c r="C4071" s="3" t="s">
        <v>5</v>
      </c>
    </row>
    <row r="4072" spans="1:3" ht="15.75" thickBot="1">
      <c r="A4072" s="6" t="s">
        <v>7733</v>
      </c>
      <c r="B4072" s="5" t="s">
        <v>7734</v>
      </c>
      <c r="C4072" s="3" t="s">
        <v>5</v>
      </c>
    </row>
    <row r="4073" spans="1:3" ht="15.75" thickBot="1">
      <c r="A4073" s="6" t="s">
        <v>7735</v>
      </c>
      <c r="B4073" s="5" t="s">
        <v>7736</v>
      </c>
      <c r="C4073" s="3" t="s">
        <v>5</v>
      </c>
    </row>
    <row r="4074" spans="1:3" ht="15.75" thickBot="1">
      <c r="A4074" s="6" t="s">
        <v>7737</v>
      </c>
      <c r="B4074" s="5" t="s">
        <v>7738</v>
      </c>
      <c r="C4074" s="3" t="s">
        <v>5</v>
      </c>
    </row>
    <row r="4075" spans="1:3" ht="15.75" thickBot="1">
      <c r="A4075" s="6" t="s">
        <v>7737</v>
      </c>
      <c r="B4075" s="5" t="s">
        <v>7738</v>
      </c>
      <c r="C4075" s="3" t="s">
        <v>5</v>
      </c>
    </row>
    <row r="4076" spans="1:3" ht="15.75" thickBot="1">
      <c r="A4076" s="6" t="s">
        <v>7737</v>
      </c>
      <c r="B4076" s="5" t="s">
        <v>7738</v>
      </c>
      <c r="C4076" s="3" t="s">
        <v>5</v>
      </c>
    </row>
    <row r="4077" spans="1:3" ht="15.75" thickBot="1">
      <c r="A4077" s="6" t="s">
        <v>7739</v>
      </c>
      <c r="B4077" s="5" t="e">
        <f xml:space="preserve"> constant time lag</f>
        <v>#NAME?</v>
      </c>
      <c r="C4077" s="3" t="s">
        <v>5</v>
      </c>
    </row>
    <row r="4078" spans="1:3" ht="15.75" thickBot="1">
      <c r="A4078" s="6" t="s">
        <v>7740</v>
      </c>
      <c r="B4078" s="5" t="s">
        <v>7741</v>
      </c>
      <c r="C4078" s="3" t="s">
        <v>5</v>
      </c>
    </row>
    <row r="4079" spans="1:3" ht="15.75" thickBot="1">
      <c r="A4079" s="6" t="s">
        <v>7742</v>
      </c>
      <c r="B4079" s="5" t="s">
        <v>7743</v>
      </c>
      <c r="C4079" s="3" t="s">
        <v>5</v>
      </c>
    </row>
    <row r="4080" spans="1:3" ht="15.75" thickBot="1">
      <c r="A4080" s="6" t="s">
        <v>7744</v>
      </c>
      <c r="B4080" s="5" t="s">
        <v>7745</v>
      </c>
      <c r="C4080" s="3" t="s">
        <v>5</v>
      </c>
    </row>
    <row r="4081" spans="1:3" ht="15.75" thickBot="1">
      <c r="A4081" s="6" t="s">
        <v>7746</v>
      </c>
      <c r="B4081" s="5" t="s">
        <v>7747</v>
      </c>
      <c r="C4081" s="3" t="s">
        <v>5</v>
      </c>
    </row>
    <row r="4082" spans="1:3" ht="15.75" thickBot="1">
      <c r="A4082" s="6" t="s">
        <v>7748</v>
      </c>
      <c r="B4082" s="5" t="s">
        <v>7749</v>
      </c>
      <c r="C4082" s="3" t="s">
        <v>5</v>
      </c>
    </row>
    <row r="4083" spans="1:3" ht="15.75" thickBot="1">
      <c r="A4083" s="6" t="s">
        <v>7750</v>
      </c>
      <c r="B4083" s="5" t="s">
        <v>7751</v>
      </c>
      <c r="C4083" s="3" t="s">
        <v>5</v>
      </c>
    </row>
    <row r="4084" spans="1:3" ht="15.75" thickBot="1">
      <c r="A4084" s="6" t="s">
        <v>7752</v>
      </c>
      <c r="B4084" s="5" t="s">
        <v>7753</v>
      </c>
      <c r="C4084" s="3" t="s">
        <v>5</v>
      </c>
    </row>
    <row r="4085" spans="1:3" ht="15.75" thickBot="1">
      <c r="A4085" s="6" t="s">
        <v>7754</v>
      </c>
      <c r="B4085" s="5" t="s">
        <v>7755</v>
      </c>
      <c r="C4085" s="3" t="s">
        <v>5</v>
      </c>
    </row>
    <row r="4086" spans="1:3" ht="15.75" thickBot="1">
      <c r="A4086" s="6" t="s">
        <v>7756</v>
      </c>
      <c r="B4086" s="5" t="s">
        <v>7757</v>
      </c>
      <c r="C4086" s="3" t="s">
        <v>5</v>
      </c>
    </row>
    <row r="4087" spans="1:3" ht="15.75" thickBot="1">
      <c r="A4087" s="6" t="s">
        <v>7758</v>
      </c>
      <c r="B4087" s="5" t="s">
        <v>7759</v>
      </c>
      <c r="C4087" s="3" t="s">
        <v>5</v>
      </c>
    </row>
    <row r="4088" spans="1:3" ht="15.75" thickBot="1">
      <c r="A4088" s="6" t="s">
        <v>7760</v>
      </c>
      <c r="B4088" s="5" t="s">
        <v>7761</v>
      </c>
      <c r="C4088" s="3" t="s">
        <v>5</v>
      </c>
    </row>
    <row r="4089" spans="1:3" ht="15.75" thickBot="1">
      <c r="A4089" s="6" t="s">
        <v>7762</v>
      </c>
      <c r="B4089" s="5" t="s">
        <v>7763</v>
      </c>
      <c r="C4089" s="3" t="s">
        <v>5</v>
      </c>
    </row>
    <row r="4090" spans="1:3" ht="15.75" thickBot="1">
      <c r="A4090" s="6" t="s">
        <v>7764</v>
      </c>
      <c r="B4090" s="5" t="s">
        <v>7765</v>
      </c>
      <c r="C4090" s="3" t="s">
        <v>5</v>
      </c>
    </row>
    <row r="4091" spans="1:3" ht="15.75" thickBot="1">
      <c r="A4091" s="6" t="s">
        <v>7766</v>
      </c>
      <c r="B4091" s="5" t="s">
        <v>7767</v>
      </c>
      <c r="C4091" s="3" t="s">
        <v>5</v>
      </c>
    </row>
    <row r="4092" spans="1:3" ht="15.75" thickBot="1">
      <c r="A4092" s="6" t="s">
        <v>7768</v>
      </c>
      <c r="B4092" s="5" t="s">
        <v>7769</v>
      </c>
      <c r="C4092" s="3" t="s">
        <v>5</v>
      </c>
    </row>
    <row r="4093" spans="1:3" ht="15.75" thickBot="1">
      <c r="A4093" s="6" t="s">
        <v>7770</v>
      </c>
      <c r="B4093" s="5" t="s">
        <v>7771</v>
      </c>
      <c r="C4093" s="3" t="s">
        <v>5</v>
      </c>
    </row>
    <row r="4094" spans="1:3" ht="15.75" thickBot="1">
      <c r="A4094" s="6" t="s">
        <v>7772</v>
      </c>
      <c r="B4094" s="5" t="s">
        <v>7773</v>
      </c>
      <c r="C4094" s="3" t="s">
        <v>5</v>
      </c>
    </row>
    <row r="4095" spans="1:3" ht="15.75" thickBot="1">
      <c r="A4095" s="6" t="s">
        <v>7774</v>
      </c>
      <c r="B4095" s="5" t="s">
        <v>7775</v>
      </c>
      <c r="C4095" s="3" t="s">
        <v>5</v>
      </c>
    </row>
    <row r="4096" spans="1:3" ht="15.75" thickBot="1">
      <c r="A4096" s="6" t="s">
        <v>7776</v>
      </c>
      <c r="B4096" s="5" t="s">
        <v>7777</v>
      </c>
      <c r="C4096" s="3" t="s">
        <v>5</v>
      </c>
    </row>
    <row r="4097" spans="1:3" ht="15.75" thickBot="1">
      <c r="A4097" s="6" t="s">
        <v>7778</v>
      </c>
      <c r="B4097" s="5" t="s">
        <v>7779</v>
      </c>
      <c r="C4097" s="3" t="s">
        <v>5</v>
      </c>
    </row>
    <row r="4098" spans="1:3">
      <c r="A4098" s="1" t="s">
        <v>7780</v>
      </c>
      <c r="B4098" s="2" t="s">
        <v>4429</v>
      </c>
      <c r="C4098" s="3" t="s">
        <v>5</v>
      </c>
    </row>
    <row r="4099" spans="1:3" ht="15.75" thickBot="1">
      <c r="A4099" s="4"/>
      <c r="B4099" s="5" t="s">
        <v>7781</v>
      </c>
      <c r="C4099" s="3" t="s">
        <v>5</v>
      </c>
    </row>
    <row r="4100" spans="1:3" ht="15.75" thickBot="1">
      <c r="A4100" s="6" t="s">
        <v>7782</v>
      </c>
      <c r="B4100" s="5" t="s">
        <v>7783</v>
      </c>
      <c r="C4100" s="3" t="s">
        <v>5</v>
      </c>
    </row>
    <row r="4101" spans="1:3" ht="15.75" thickBot="1">
      <c r="A4101" s="6" t="s">
        <v>7784</v>
      </c>
      <c r="B4101" s="5" t="s">
        <v>7785</v>
      </c>
      <c r="C4101" s="3" t="s">
        <v>5</v>
      </c>
    </row>
    <row r="4102" spans="1:3" ht="15.75" thickBot="1">
      <c r="A4102" s="6" t="s">
        <v>7786</v>
      </c>
      <c r="B4102" s="5" t="s">
        <v>7787</v>
      </c>
      <c r="C4102" s="3" t="s">
        <v>5</v>
      </c>
    </row>
    <row r="4103" spans="1:3" ht="15.75" thickBot="1">
      <c r="A4103" s="6" t="s">
        <v>7788</v>
      </c>
      <c r="B4103" s="5" t="s">
        <v>7789</v>
      </c>
      <c r="C4103" s="3" t="s">
        <v>5</v>
      </c>
    </row>
    <row r="4104" spans="1:3" ht="15.75" thickBot="1">
      <c r="A4104" s="6" t="s">
        <v>7790</v>
      </c>
      <c r="B4104" s="5" t="s">
        <v>7791</v>
      </c>
      <c r="C4104" s="3" t="s">
        <v>5</v>
      </c>
    </row>
    <row r="4105" spans="1:3" ht="15.75" thickBot="1">
      <c r="A4105" s="6" t="s">
        <v>7792</v>
      </c>
      <c r="B4105" s="5" t="s">
        <v>7793</v>
      </c>
      <c r="C4105" s="3" t="s">
        <v>5</v>
      </c>
    </row>
    <row r="4106" spans="1:3" ht="15.75" thickBot="1">
      <c r="A4106" s="6" t="s">
        <v>7794</v>
      </c>
      <c r="B4106" s="5" t="s">
        <v>7795</v>
      </c>
      <c r="C4106" s="3" t="s">
        <v>5</v>
      </c>
    </row>
    <row r="4107" spans="1:3" ht="15.75" thickBot="1">
      <c r="A4107" s="6" t="s">
        <v>7796</v>
      </c>
      <c r="B4107" s="5" t="s">
        <v>7797</v>
      </c>
      <c r="C4107" s="3" t="s">
        <v>5</v>
      </c>
    </row>
    <row r="4108" spans="1:3" ht="15.75" thickBot="1">
      <c r="A4108" s="6" t="s">
        <v>7798</v>
      </c>
      <c r="B4108" s="5" t="s">
        <v>7799</v>
      </c>
      <c r="C4108" s="3" t="s">
        <v>5</v>
      </c>
    </row>
    <row r="4109" spans="1:3" ht="15.75" thickBot="1">
      <c r="A4109" s="6" t="s">
        <v>7800</v>
      </c>
      <c r="B4109" s="5" t="s">
        <v>7801</v>
      </c>
      <c r="C4109" s="3" t="s">
        <v>5</v>
      </c>
    </row>
    <row r="4110" spans="1:3" ht="15.75" thickBot="1">
      <c r="A4110" s="6" t="s">
        <v>7802</v>
      </c>
      <c r="B4110" s="5" t="s">
        <v>7803</v>
      </c>
      <c r="C4110" s="3" t="s">
        <v>5</v>
      </c>
    </row>
    <row r="4111" spans="1:3" ht="15.75" thickBot="1">
      <c r="A4111" s="6" t="s">
        <v>7804</v>
      </c>
      <c r="B4111" s="5" t="s">
        <v>7805</v>
      </c>
      <c r="C4111" s="3" t="s">
        <v>5</v>
      </c>
    </row>
    <row r="4112" spans="1:3" ht="15.75" thickBot="1">
      <c r="A4112" s="6" t="s">
        <v>7806</v>
      </c>
      <c r="B4112" s="5" t="s">
        <v>7807</v>
      </c>
      <c r="C4112" s="3" t="s">
        <v>5</v>
      </c>
    </row>
    <row r="4113" spans="1:3" ht="15.75" thickBot="1">
      <c r="A4113" s="6" t="s">
        <v>7808</v>
      </c>
      <c r="B4113" s="5" t="s">
        <v>7809</v>
      </c>
      <c r="C4113" s="3" t="s">
        <v>5</v>
      </c>
    </row>
    <row r="4114" spans="1:3" ht="15.75" thickBot="1">
      <c r="A4114" s="6" t="s">
        <v>7810</v>
      </c>
      <c r="B4114" s="5" t="s">
        <v>7811</v>
      </c>
      <c r="C4114" s="3" t="s">
        <v>5</v>
      </c>
    </row>
    <row r="4115" spans="1:3">
      <c r="A4115" s="1" t="s">
        <v>7812</v>
      </c>
      <c r="B4115" s="2" t="s">
        <v>7813</v>
      </c>
      <c r="C4115" s="3" t="s">
        <v>5</v>
      </c>
    </row>
    <row r="4116" spans="1:3" ht="15.75" thickBot="1">
      <c r="A4116" s="4"/>
      <c r="B4116" s="5" t="s">
        <v>7814</v>
      </c>
      <c r="C4116" s="3" t="s">
        <v>5</v>
      </c>
    </row>
    <row r="4117" spans="1:3" ht="15.75" thickBot="1">
      <c r="A4117" s="6" t="s">
        <v>7815</v>
      </c>
      <c r="B4117" s="5" t="s">
        <v>7816</v>
      </c>
      <c r="C4117" s="3" t="s">
        <v>5</v>
      </c>
    </row>
    <row r="4118" spans="1:3" ht="15.75" thickBot="1">
      <c r="A4118" s="6" t="s">
        <v>7817</v>
      </c>
      <c r="B4118" s="5" t="s">
        <v>7818</v>
      </c>
      <c r="C4118" s="3" t="s">
        <v>5</v>
      </c>
    </row>
    <row r="4119" spans="1:3" ht="15.75" thickBot="1">
      <c r="A4119" s="6" t="s">
        <v>7819</v>
      </c>
      <c r="B4119" s="5" t="s">
        <v>7820</v>
      </c>
      <c r="C4119" s="3" t="s">
        <v>5</v>
      </c>
    </row>
    <row r="4120" spans="1:3" ht="15.75" thickBot="1">
      <c r="A4120" s="6" t="s">
        <v>7821</v>
      </c>
      <c r="B4120" s="5" t="s">
        <v>7822</v>
      </c>
      <c r="C4120" s="3" t="s">
        <v>5</v>
      </c>
    </row>
    <row r="4121" spans="1:3" ht="15.75" thickBot="1">
      <c r="A4121" s="6" t="s">
        <v>7823</v>
      </c>
      <c r="B4121" s="5" t="s">
        <v>7824</v>
      </c>
      <c r="C4121" s="3" t="s">
        <v>5</v>
      </c>
    </row>
    <row r="4122" spans="1:3" ht="15.75" thickBot="1">
      <c r="A4122" s="6" t="s">
        <v>7825</v>
      </c>
      <c r="B4122" s="5" t="s">
        <v>7826</v>
      </c>
      <c r="C4122" s="3" t="s">
        <v>5</v>
      </c>
    </row>
    <row r="4123" spans="1:3" ht="15.75" thickBot="1">
      <c r="A4123" s="6" t="s">
        <v>7827</v>
      </c>
      <c r="B4123" s="5" t="s">
        <v>7828</v>
      </c>
      <c r="C4123" s="3" t="s">
        <v>5</v>
      </c>
    </row>
    <row r="4124" spans="1:3" ht="15.75" thickBot="1">
      <c r="A4124" s="6" t="s">
        <v>7829</v>
      </c>
      <c r="B4124" s="5" t="s">
        <v>7830</v>
      </c>
      <c r="C4124" s="3" t="s">
        <v>5</v>
      </c>
    </row>
    <row r="4125" spans="1:3" ht="15.75" thickBot="1">
      <c r="A4125" s="6" t="s">
        <v>7831</v>
      </c>
      <c r="B4125" s="5" t="s">
        <v>7832</v>
      </c>
      <c r="C4125" s="3" t="s">
        <v>5</v>
      </c>
    </row>
    <row r="4126" spans="1:3" ht="15.75" thickBot="1">
      <c r="A4126" s="6" t="s">
        <v>7833</v>
      </c>
      <c r="B4126" s="5" t="s">
        <v>7834</v>
      </c>
      <c r="C4126" s="3" t="s">
        <v>5</v>
      </c>
    </row>
    <row r="4127" spans="1:3" ht="15.75" thickBot="1">
      <c r="A4127" s="6" t="s">
        <v>7835</v>
      </c>
      <c r="B4127" s="5" t="s">
        <v>7836</v>
      </c>
      <c r="C4127" s="3" t="s">
        <v>5</v>
      </c>
    </row>
    <row r="4128" spans="1:3" ht="15.75" thickBot="1">
      <c r="A4128" s="6" t="s">
        <v>7837</v>
      </c>
      <c r="B4128" s="5" t="s">
        <v>7838</v>
      </c>
      <c r="C4128" s="3" t="s">
        <v>5</v>
      </c>
    </row>
    <row r="4129" spans="1:3" ht="15.75" thickBot="1">
      <c r="A4129" s="6" t="s">
        <v>7839</v>
      </c>
      <c r="B4129" s="5" t="s">
        <v>7840</v>
      </c>
      <c r="C4129" s="3" t="s">
        <v>5</v>
      </c>
    </row>
    <row r="4130" spans="1:3" ht="15.75" thickBot="1">
      <c r="A4130" s="6" t="s">
        <v>7841</v>
      </c>
      <c r="B4130" s="5" t="s">
        <v>7842</v>
      </c>
      <c r="C4130" s="3" t="s">
        <v>5</v>
      </c>
    </row>
    <row r="4131" spans="1:3" ht="15.75" thickBot="1">
      <c r="A4131" s="6" t="s">
        <v>7843</v>
      </c>
      <c r="B4131" s="5" t="s">
        <v>7844</v>
      </c>
      <c r="C4131" s="3" t="s">
        <v>5</v>
      </c>
    </row>
    <row r="4132" spans="1:3" ht="15.75" thickBot="1">
      <c r="A4132" s="6" t="s">
        <v>7845</v>
      </c>
      <c r="B4132" s="5" t="s">
        <v>7846</v>
      </c>
      <c r="C4132" s="3" t="s">
        <v>5</v>
      </c>
    </row>
    <row r="4133" spans="1:3" ht="26.25" thickBot="1">
      <c r="A4133" s="6" t="s">
        <v>7847</v>
      </c>
      <c r="B4133" s="5" t="s">
        <v>7848</v>
      </c>
      <c r="C4133" s="3" t="s">
        <v>5</v>
      </c>
    </row>
    <row r="4134" spans="1:3" ht="15.75" thickBot="1">
      <c r="A4134" s="6" t="s">
        <v>7849</v>
      </c>
      <c r="B4134" s="5" t="s">
        <v>7850</v>
      </c>
      <c r="C4134" s="3" t="s">
        <v>5</v>
      </c>
    </row>
    <row r="4135" spans="1:3" ht="15.75" thickBot="1">
      <c r="A4135" s="6" t="s">
        <v>7851</v>
      </c>
      <c r="B4135" s="5" t="s">
        <v>7852</v>
      </c>
      <c r="C4135" s="3" t="s">
        <v>5</v>
      </c>
    </row>
    <row r="4136" spans="1:3" ht="15.75" thickBot="1">
      <c r="A4136" s="6" t="s">
        <v>7853</v>
      </c>
      <c r="B4136" s="5" t="s">
        <v>7854</v>
      </c>
      <c r="C4136" s="3" t="s">
        <v>5</v>
      </c>
    </row>
    <row r="4137" spans="1:3" ht="15.75" thickBot="1">
      <c r="A4137" s="6" t="s">
        <v>7855</v>
      </c>
      <c r="B4137" s="5" t="s">
        <v>7856</v>
      </c>
      <c r="C4137" s="3" t="s">
        <v>5</v>
      </c>
    </row>
    <row r="4138" spans="1:3" ht="15.75" thickBot="1">
      <c r="A4138" s="6" t="s">
        <v>7857</v>
      </c>
      <c r="B4138" s="5" t="s">
        <v>7858</v>
      </c>
      <c r="C4138" s="3" t="s">
        <v>5</v>
      </c>
    </row>
    <row r="4139" spans="1:3" ht="15.75" thickBot="1">
      <c r="A4139" s="6" t="s">
        <v>7859</v>
      </c>
      <c r="B4139" s="5" t="s">
        <v>7860</v>
      </c>
      <c r="C4139" s="3" t="s">
        <v>5</v>
      </c>
    </row>
    <row r="4140" spans="1:3" ht="15.75" thickBot="1">
      <c r="A4140" s="6" t="s">
        <v>7861</v>
      </c>
      <c r="B4140" s="5" t="s">
        <v>7862</v>
      </c>
      <c r="C4140" s="3" t="s">
        <v>5</v>
      </c>
    </row>
    <row r="4141" spans="1:3" ht="15.75" thickBot="1">
      <c r="A4141" s="6" t="s">
        <v>7863</v>
      </c>
      <c r="B4141" s="5" t="s">
        <v>7864</v>
      </c>
      <c r="C4141" s="3" t="s">
        <v>5</v>
      </c>
    </row>
    <row r="4142" spans="1:3" ht="15.75" thickBot="1">
      <c r="A4142" s="6" t="s">
        <v>7865</v>
      </c>
      <c r="B4142" s="5" t="s">
        <v>7866</v>
      </c>
      <c r="C4142" s="3" t="s">
        <v>5</v>
      </c>
    </row>
    <row r="4143" spans="1:3" ht="15.75" thickBot="1">
      <c r="A4143" s="6" t="s">
        <v>7867</v>
      </c>
      <c r="B4143" s="5" t="s">
        <v>7868</v>
      </c>
      <c r="C4143" s="3" t="s">
        <v>5</v>
      </c>
    </row>
    <row r="4144" spans="1:3" ht="15.75" thickBot="1">
      <c r="A4144" s="6" t="s">
        <v>7869</v>
      </c>
      <c r="B4144" s="5" t="s">
        <v>7870</v>
      </c>
      <c r="C4144" s="3" t="s">
        <v>5</v>
      </c>
    </row>
    <row r="4145" spans="1:3" ht="15.75" thickBot="1">
      <c r="A4145" s="6" t="s">
        <v>7871</v>
      </c>
      <c r="B4145" s="5" t="s">
        <v>7872</v>
      </c>
      <c r="C4145" s="3" t="s">
        <v>5</v>
      </c>
    </row>
    <row r="4146" spans="1:3" ht="15.75" thickBot="1">
      <c r="A4146" s="6" t="s">
        <v>7873</v>
      </c>
      <c r="B4146" s="5" t="s">
        <v>7874</v>
      </c>
      <c r="C4146" s="3" t="s">
        <v>5</v>
      </c>
    </row>
    <row r="4147" spans="1:3" ht="15.75" thickBot="1">
      <c r="A4147" s="6" t="s">
        <v>7875</v>
      </c>
      <c r="B4147" s="5" t="s">
        <v>7876</v>
      </c>
      <c r="C4147" s="3" t="s">
        <v>5</v>
      </c>
    </row>
    <row r="4148" spans="1:3" ht="15.75" thickBot="1">
      <c r="A4148" s="6" t="s">
        <v>7877</v>
      </c>
      <c r="B4148" s="5" t="s">
        <v>7878</v>
      </c>
      <c r="C4148" s="3" t="s">
        <v>5</v>
      </c>
    </row>
    <row r="4149" spans="1:3" ht="15.75" thickBot="1">
      <c r="A4149" s="6" t="s">
        <v>7879</v>
      </c>
      <c r="B4149" s="5" t="s">
        <v>7880</v>
      </c>
      <c r="C4149" s="3" t="s">
        <v>5</v>
      </c>
    </row>
    <row r="4150" spans="1:3" ht="15.75" thickBot="1">
      <c r="A4150" s="6" t="s">
        <v>7881</v>
      </c>
      <c r="B4150" s="5" t="s">
        <v>7882</v>
      </c>
      <c r="C4150" s="3" t="s">
        <v>5</v>
      </c>
    </row>
    <row r="4151" spans="1:3" ht="15.75" thickBot="1">
      <c r="A4151" s="6" t="s">
        <v>7883</v>
      </c>
      <c r="B4151" s="5" t="s">
        <v>7884</v>
      </c>
      <c r="C4151" s="3" t="s">
        <v>5</v>
      </c>
    </row>
    <row r="4152" spans="1:3" ht="15.75" thickBot="1">
      <c r="A4152" s="6" t="s">
        <v>7885</v>
      </c>
      <c r="B4152" s="5" t="s">
        <v>7886</v>
      </c>
      <c r="C4152" s="3" t="s">
        <v>5</v>
      </c>
    </row>
    <row r="4153" spans="1:3">
      <c r="A4153" s="1" t="s">
        <v>7887</v>
      </c>
      <c r="B4153" s="2" t="s">
        <v>7888</v>
      </c>
      <c r="C4153" s="3" t="s">
        <v>5</v>
      </c>
    </row>
    <row r="4154" spans="1:3" ht="26.25" thickBot="1">
      <c r="A4154" s="4"/>
      <c r="B4154" s="5" t="s">
        <v>7889</v>
      </c>
      <c r="C4154" s="3" t="s">
        <v>5</v>
      </c>
    </row>
    <row r="4155" spans="1:3" ht="15.75" thickBot="1">
      <c r="A4155" s="6" t="s">
        <v>7890</v>
      </c>
      <c r="B4155" s="5" t="s">
        <v>7891</v>
      </c>
      <c r="C4155" s="3" t="s">
        <v>5</v>
      </c>
    </row>
    <row r="4156" spans="1:3" ht="15.75" thickBot="1">
      <c r="A4156" s="6" t="s">
        <v>7892</v>
      </c>
      <c r="B4156" s="5" t="s">
        <v>7893</v>
      </c>
      <c r="C4156" s="3" t="s">
        <v>5</v>
      </c>
    </row>
    <row r="4157" spans="1:3" ht="15.75" thickBot="1">
      <c r="A4157" s="6" t="s">
        <v>7894</v>
      </c>
      <c r="B4157" s="5" t="s">
        <v>7895</v>
      </c>
      <c r="C4157" s="3" t="s">
        <v>5</v>
      </c>
    </row>
    <row r="4158" spans="1:3" ht="15.75" thickBot="1">
      <c r="A4158" s="6" t="s">
        <v>7896</v>
      </c>
      <c r="B4158" s="5" t="s">
        <v>7897</v>
      </c>
      <c r="C4158" s="3" t="s">
        <v>5</v>
      </c>
    </row>
    <row r="4159" spans="1:3" ht="15.75" thickBot="1">
      <c r="A4159" s="6" t="s">
        <v>7898</v>
      </c>
      <c r="B4159" s="5" t="s">
        <v>7899</v>
      </c>
      <c r="C4159" s="3" t="s">
        <v>5</v>
      </c>
    </row>
    <row r="4160" spans="1:3" ht="15.75" thickBot="1">
      <c r="A4160" s="6" t="s">
        <v>7900</v>
      </c>
      <c r="B4160" s="5" t="s">
        <v>7901</v>
      </c>
      <c r="C4160" s="3" t="s">
        <v>5</v>
      </c>
    </row>
    <row r="4161" spans="1:3" ht="15.75" thickBot="1">
      <c r="A4161" s="6" t="s">
        <v>7902</v>
      </c>
      <c r="B4161" s="5" t="s">
        <v>7903</v>
      </c>
      <c r="C4161" s="3" t="s">
        <v>5</v>
      </c>
    </row>
    <row r="4162" spans="1:3" ht="15.75" thickBot="1">
      <c r="A4162" s="6" t="s">
        <v>7904</v>
      </c>
      <c r="B4162" s="5" t="s">
        <v>7905</v>
      </c>
      <c r="C4162" s="3" t="s">
        <v>5</v>
      </c>
    </row>
    <row r="4163" spans="1:3" ht="15.75" thickBot="1">
      <c r="A4163" s="6" t="s">
        <v>7904</v>
      </c>
      <c r="B4163" s="5" t="s">
        <v>7905</v>
      </c>
      <c r="C4163" s="3" t="s">
        <v>5</v>
      </c>
    </row>
    <row r="4164" spans="1:3" ht="15.75" thickBot="1">
      <c r="A4164" s="6" t="s">
        <v>7906</v>
      </c>
      <c r="B4164" s="5" t="s">
        <v>7907</v>
      </c>
      <c r="C4164" s="3" t="s">
        <v>5</v>
      </c>
    </row>
    <row r="4165" spans="1:3" ht="15.75" thickBot="1">
      <c r="A4165" s="6" t="s">
        <v>7906</v>
      </c>
      <c r="B4165" s="5" t="s">
        <v>7907</v>
      </c>
      <c r="C4165" s="3" t="s">
        <v>5</v>
      </c>
    </row>
    <row r="4166" spans="1:3" ht="15.75" thickBot="1">
      <c r="A4166" s="6" t="s">
        <v>7908</v>
      </c>
      <c r="B4166" s="5" t="s">
        <v>7909</v>
      </c>
      <c r="C4166" s="3" t="s">
        <v>5</v>
      </c>
    </row>
    <row r="4167" spans="1:3" ht="15.75" thickBot="1">
      <c r="A4167" s="6" t="s">
        <v>7908</v>
      </c>
      <c r="B4167" s="5" t="s">
        <v>7909</v>
      </c>
      <c r="C4167" s="3" t="s">
        <v>5</v>
      </c>
    </row>
    <row r="4168" spans="1:3" ht="15.75" thickBot="1">
      <c r="A4168" s="6" t="s">
        <v>7910</v>
      </c>
      <c r="B4168" s="5" t="s">
        <v>7911</v>
      </c>
      <c r="C4168" s="3" t="s">
        <v>5</v>
      </c>
    </row>
    <row r="4169" spans="1:3" ht="15.75" thickBot="1">
      <c r="A4169" s="6" t="s">
        <v>7912</v>
      </c>
      <c r="B4169" s="5" t="s">
        <v>7913</v>
      </c>
      <c r="C4169" s="3" t="s">
        <v>5</v>
      </c>
    </row>
    <row r="4170" spans="1:3" ht="15.75" thickBot="1">
      <c r="A4170" s="6" t="s">
        <v>7914</v>
      </c>
      <c r="B4170" s="5" t="s">
        <v>7915</v>
      </c>
      <c r="C4170" s="3" t="s">
        <v>5</v>
      </c>
    </row>
    <row r="4171" spans="1:3" ht="15.75" thickBot="1">
      <c r="A4171" s="6" t="s">
        <v>7916</v>
      </c>
      <c r="B4171" s="5" t="s">
        <v>7917</v>
      </c>
      <c r="C4171" s="3" t="s">
        <v>5</v>
      </c>
    </row>
    <row r="4172" spans="1:3" ht="15.75" thickBot="1">
      <c r="A4172" s="6" t="s">
        <v>7918</v>
      </c>
      <c r="B4172" s="5" t="s">
        <v>7919</v>
      </c>
      <c r="C4172" s="3" t="s">
        <v>5</v>
      </c>
    </row>
    <row r="4173" spans="1:3" ht="15.75" thickBot="1">
      <c r="A4173" s="6" t="s">
        <v>7920</v>
      </c>
      <c r="B4173" s="5" t="s">
        <v>7921</v>
      </c>
      <c r="C4173" s="3" t="s">
        <v>5</v>
      </c>
    </row>
    <row r="4174" spans="1:3" ht="15.75" thickBot="1">
      <c r="A4174" s="6" t="s">
        <v>7922</v>
      </c>
      <c r="B4174" s="5" t="s">
        <v>7923</v>
      </c>
      <c r="C4174" s="3" t="s">
        <v>5</v>
      </c>
    </row>
    <row r="4175" spans="1:3" ht="15.75" thickBot="1">
      <c r="A4175" s="6" t="s">
        <v>7924</v>
      </c>
      <c r="B4175" s="5" t="s">
        <v>7925</v>
      </c>
      <c r="C4175" s="3" t="s">
        <v>5</v>
      </c>
    </row>
    <row r="4176" spans="1:3" ht="15.75" thickBot="1">
      <c r="A4176" s="6" t="s">
        <v>7926</v>
      </c>
      <c r="B4176" s="5" t="s">
        <v>7927</v>
      </c>
      <c r="C4176" s="3" t="s">
        <v>5</v>
      </c>
    </row>
    <row r="4177" spans="1:3" ht="15.75" thickBot="1">
      <c r="A4177" s="6" t="s">
        <v>7928</v>
      </c>
      <c r="B4177" s="5" t="s">
        <v>7929</v>
      </c>
      <c r="C4177" s="3" t="s">
        <v>5</v>
      </c>
    </row>
    <row r="4178" spans="1:3" ht="15.75" thickBot="1">
      <c r="A4178" s="6" t="s">
        <v>7930</v>
      </c>
      <c r="B4178" s="5" t="s">
        <v>7931</v>
      </c>
      <c r="C4178" s="3" t="s">
        <v>5</v>
      </c>
    </row>
    <row r="4179" spans="1:3" ht="15.75" thickBot="1">
      <c r="A4179" s="6" t="s">
        <v>7932</v>
      </c>
      <c r="B4179" s="5" t="s">
        <v>7933</v>
      </c>
      <c r="C4179" s="3" t="s">
        <v>5</v>
      </c>
    </row>
    <row r="4180" spans="1:3" ht="15.75" thickBot="1">
      <c r="A4180" s="6" t="s">
        <v>7934</v>
      </c>
      <c r="B4180" s="5" t="s">
        <v>7935</v>
      </c>
      <c r="C4180" s="3" t="s">
        <v>5</v>
      </c>
    </row>
    <row r="4181" spans="1:3" ht="15.75" thickBot="1">
      <c r="A4181" s="6" t="s">
        <v>7936</v>
      </c>
      <c r="B4181" s="5" t="s">
        <v>7937</v>
      </c>
      <c r="C4181" s="3" t="s">
        <v>5</v>
      </c>
    </row>
    <row r="4182" spans="1:3" ht="15.75" thickBot="1">
      <c r="A4182" s="6" t="s">
        <v>7938</v>
      </c>
      <c r="B4182" s="5" t="s">
        <v>7939</v>
      </c>
      <c r="C4182" s="3" t="s">
        <v>5</v>
      </c>
    </row>
    <row r="4183" spans="1:3" ht="15.75" thickBot="1">
      <c r="A4183" s="6" t="s">
        <v>7940</v>
      </c>
      <c r="B4183" s="5" t="s">
        <v>7941</v>
      </c>
      <c r="C4183" s="3" t="s">
        <v>5</v>
      </c>
    </row>
    <row r="4184" spans="1:3" ht="15.75" thickBot="1">
      <c r="A4184" s="6" t="s">
        <v>7942</v>
      </c>
      <c r="B4184" s="5" t="s">
        <v>7943</v>
      </c>
      <c r="C4184" s="3" t="s">
        <v>5</v>
      </c>
    </row>
    <row r="4185" spans="1:3" ht="15.75" thickBot="1">
      <c r="A4185" s="6" t="s">
        <v>7944</v>
      </c>
      <c r="B4185" s="5" t="s">
        <v>7945</v>
      </c>
      <c r="C4185" s="3" t="s">
        <v>5</v>
      </c>
    </row>
    <row r="4186" spans="1:3" ht="15.75" thickBot="1">
      <c r="A4186" s="6" t="s">
        <v>7946</v>
      </c>
      <c r="B4186" s="5" t="s">
        <v>7947</v>
      </c>
      <c r="C4186" s="3" t="s">
        <v>5</v>
      </c>
    </row>
    <row r="4187" spans="1:3" ht="15.75" thickBot="1">
      <c r="A4187" s="6" t="s">
        <v>7948</v>
      </c>
      <c r="B4187" s="5" t="s">
        <v>7949</v>
      </c>
      <c r="C4187" s="3" t="s">
        <v>5</v>
      </c>
    </row>
    <row r="4188" spans="1:3" ht="15.75" thickBot="1">
      <c r="A4188" s="6" t="s">
        <v>7950</v>
      </c>
      <c r="B4188" s="5" t="s">
        <v>7951</v>
      </c>
      <c r="C4188" s="3" t="s">
        <v>5</v>
      </c>
    </row>
    <row r="4189" spans="1:3" ht="15.75" thickBot="1">
      <c r="A4189" s="6" t="s">
        <v>7952</v>
      </c>
      <c r="B4189" s="5" t="s">
        <v>7953</v>
      </c>
      <c r="C4189" s="3" t="s">
        <v>5</v>
      </c>
    </row>
    <row r="4190" spans="1:3" ht="15.75" thickBot="1">
      <c r="A4190" s="6" t="s">
        <v>7954</v>
      </c>
      <c r="B4190" s="5" t="s">
        <v>7955</v>
      </c>
      <c r="C4190" s="3" t="s">
        <v>5</v>
      </c>
    </row>
    <row r="4191" spans="1:3" ht="15.75" thickBot="1">
      <c r="A4191" s="6" t="s">
        <v>7956</v>
      </c>
      <c r="B4191" s="5" t="s">
        <v>7957</v>
      </c>
      <c r="C4191" s="3" t="s">
        <v>5</v>
      </c>
    </row>
    <row r="4192" spans="1:3" ht="15.75" thickBot="1">
      <c r="A4192" s="6" t="s">
        <v>7958</v>
      </c>
      <c r="B4192" s="5" t="s">
        <v>7959</v>
      </c>
      <c r="C4192" s="3" t="s">
        <v>5</v>
      </c>
    </row>
    <row r="4193" spans="1:3" ht="15.75" thickBot="1">
      <c r="A4193" s="6" t="s">
        <v>7960</v>
      </c>
      <c r="B4193" s="5" t="s">
        <v>7961</v>
      </c>
      <c r="C4193" s="3" t="s">
        <v>5</v>
      </c>
    </row>
    <row r="4194" spans="1:3" ht="15.75" thickBot="1">
      <c r="A4194" s="6" t="s">
        <v>7962</v>
      </c>
      <c r="B4194" s="5" t="s">
        <v>7963</v>
      </c>
      <c r="C4194" s="3" t="s">
        <v>5</v>
      </c>
    </row>
    <row r="4195" spans="1:3" ht="15.75" thickBot="1">
      <c r="A4195" s="6" t="s">
        <v>7964</v>
      </c>
      <c r="B4195" s="5" t="s">
        <v>7965</v>
      </c>
      <c r="C4195" s="3" t="s">
        <v>5</v>
      </c>
    </row>
    <row r="4196" spans="1:3" ht="15.75" thickBot="1">
      <c r="A4196" s="6" t="s">
        <v>7966</v>
      </c>
      <c r="B4196" s="5" t="s">
        <v>7967</v>
      </c>
      <c r="C4196" s="3" t="s">
        <v>5</v>
      </c>
    </row>
    <row r="4197" spans="1:3" ht="15.75" thickBot="1">
      <c r="A4197" s="6" t="s">
        <v>7968</v>
      </c>
      <c r="B4197" s="5" t="s">
        <v>7969</v>
      </c>
      <c r="C4197" s="3" t="s">
        <v>5</v>
      </c>
    </row>
    <row r="4198" spans="1:3" ht="15.75" thickBot="1">
      <c r="A4198" s="6" t="s">
        <v>7970</v>
      </c>
      <c r="B4198" s="5" t="s">
        <v>7971</v>
      </c>
      <c r="C4198" s="3" t="s">
        <v>5</v>
      </c>
    </row>
    <row r="4199" spans="1:3" ht="15.75" thickBot="1">
      <c r="A4199" s="6" t="s">
        <v>7972</v>
      </c>
      <c r="B4199" s="5" t="s">
        <v>7973</v>
      </c>
      <c r="C4199" s="3" t="s">
        <v>5</v>
      </c>
    </row>
    <row r="4200" spans="1:3" ht="15.75" thickBot="1">
      <c r="A4200" s="6" t="s">
        <v>7974</v>
      </c>
      <c r="B4200" s="5" t="s">
        <v>7975</v>
      </c>
      <c r="C4200" s="3" t="s">
        <v>5</v>
      </c>
    </row>
    <row r="4201" spans="1:3" ht="15.75" thickBot="1">
      <c r="A4201" s="6" t="s">
        <v>7976</v>
      </c>
      <c r="B4201" s="5" t="s">
        <v>7977</v>
      </c>
      <c r="C4201" s="3" t="s">
        <v>5</v>
      </c>
    </row>
    <row r="4202" spans="1:3" ht="15.75" thickBot="1">
      <c r="A4202" s="6" t="s">
        <v>7978</v>
      </c>
      <c r="B4202" s="5" t="s">
        <v>7979</v>
      </c>
      <c r="C4202" s="3" t="s">
        <v>5</v>
      </c>
    </row>
    <row r="4203" spans="1:3" ht="15.75" thickBot="1">
      <c r="A4203" s="6" t="s">
        <v>7980</v>
      </c>
      <c r="B4203" s="5" t="s">
        <v>7981</v>
      </c>
      <c r="C4203" s="3" t="s">
        <v>5</v>
      </c>
    </row>
    <row r="4204" spans="1:3" ht="15.75" thickBot="1">
      <c r="A4204" s="6" t="s">
        <v>7982</v>
      </c>
      <c r="B4204" s="5" t="s">
        <v>7983</v>
      </c>
      <c r="C4204" s="3" t="s">
        <v>5</v>
      </c>
    </row>
    <row r="4205" spans="1:3" ht="15.75" thickBot="1">
      <c r="A4205" s="6" t="s">
        <v>7984</v>
      </c>
      <c r="B4205" s="5" t="s">
        <v>7985</v>
      </c>
      <c r="C4205" s="3" t="s">
        <v>5</v>
      </c>
    </row>
    <row r="4206" spans="1:3">
      <c r="A4206" s="1" t="s">
        <v>7986</v>
      </c>
      <c r="B4206" s="2" t="s">
        <v>7987</v>
      </c>
      <c r="C4206" s="3" t="s">
        <v>5</v>
      </c>
    </row>
    <row r="4207" spans="1:3" ht="15.75" thickBot="1">
      <c r="A4207" s="4"/>
      <c r="B4207" s="5" t="s">
        <v>7988</v>
      </c>
      <c r="C4207" s="3" t="s">
        <v>5</v>
      </c>
    </row>
    <row r="4208" spans="1:3" ht="15.75" thickBot="1">
      <c r="A4208" s="6" t="s">
        <v>7989</v>
      </c>
      <c r="B4208" s="5" t="s">
        <v>7990</v>
      </c>
      <c r="C4208" s="3" t="s">
        <v>5</v>
      </c>
    </row>
    <row r="4209" spans="1:3" ht="15.75" thickBot="1">
      <c r="A4209" s="6" t="s">
        <v>7991</v>
      </c>
      <c r="B4209" s="5" t="s">
        <v>7992</v>
      </c>
      <c r="C4209" s="3" t="s">
        <v>5</v>
      </c>
    </row>
    <row r="4210" spans="1:3" ht="15.75" thickBot="1">
      <c r="A4210" s="6" t="s">
        <v>7993</v>
      </c>
      <c r="B4210" s="5" t="s">
        <v>7994</v>
      </c>
      <c r="C4210" s="3" t="s">
        <v>5</v>
      </c>
    </row>
    <row r="4211" spans="1:3" ht="15.75" thickBot="1">
      <c r="A4211" s="6" t="s">
        <v>7995</v>
      </c>
      <c r="B4211" s="5" t="s">
        <v>7996</v>
      </c>
      <c r="C4211" s="3" t="s">
        <v>5</v>
      </c>
    </row>
    <row r="4212" spans="1:3" ht="15.75" thickBot="1">
      <c r="A4212" s="6" t="s">
        <v>7997</v>
      </c>
      <c r="B4212" s="5" t="s">
        <v>7998</v>
      </c>
      <c r="C4212" s="3" t="s">
        <v>5</v>
      </c>
    </row>
    <row r="4213" spans="1:3" ht="15.75" thickBot="1">
      <c r="A4213" s="6" t="s">
        <v>7999</v>
      </c>
      <c r="B4213" s="5" t="s">
        <v>8000</v>
      </c>
      <c r="C4213" s="3" t="s">
        <v>5</v>
      </c>
    </row>
    <row r="4214" spans="1:3" ht="15.75" thickBot="1">
      <c r="A4214" s="6" t="s">
        <v>8001</v>
      </c>
      <c r="B4214" s="5" t="s">
        <v>8002</v>
      </c>
      <c r="C4214" s="3" t="s">
        <v>5</v>
      </c>
    </row>
    <row r="4215" spans="1:3" ht="15.75" thickBot="1">
      <c r="A4215" s="6" t="s">
        <v>8003</v>
      </c>
      <c r="B4215" s="5" t="s">
        <v>8004</v>
      </c>
      <c r="C4215" s="3" t="s">
        <v>5</v>
      </c>
    </row>
    <row r="4216" spans="1:3" ht="15.75" thickBot="1">
      <c r="A4216" s="6" t="s">
        <v>8005</v>
      </c>
      <c r="B4216" s="5" t="s">
        <v>8006</v>
      </c>
      <c r="C4216" s="3" t="s">
        <v>5</v>
      </c>
    </row>
    <row r="4217" spans="1:3" ht="15.75" thickBot="1">
      <c r="A4217" s="6" t="s">
        <v>8007</v>
      </c>
      <c r="B4217" s="5" t="s">
        <v>8008</v>
      </c>
      <c r="C4217" s="3" t="s">
        <v>5</v>
      </c>
    </row>
    <row r="4218" spans="1:3" ht="15.75" thickBot="1">
      <c r="A4218" s="6" t="s">
        <v>8009</v>
      </c>
      <c r="B4218" s="5" t="s">
        <v>8010</v>
      </c>
      <c r="C4218" s="3" t="s">
        <v>5</v>
      </c>
    </row>
    <row r="4219" spans="1:3" ht="15.75" thickBot="1">
      <c r="A4219" s="6" t="s">
        <v>8011</v>
      </c>
      <c r="B4219" s="5" t="s">
        <v>8012</v>
      </c>
      <c r="C4219" s="3" t="s">
        <v>5</v>
      </c>
    </row>
    <row r="4220" spans="1:3" ht="15.75" thickBot="1">
      <c r="A4220" s="6" t="s">
        <v>8013</v>
      </c>
      <c r="B4220" s="5" t="s">
        <v>8014</v>
      </c>
      <c r="C4220" s="3" t="s">
        <v>5</v>
      </c>
    </row>
    <row r="4221" spans="1:3" ht="15.75" thickBot="1">
      <c r="A4221" s="6" t="s">
        <v>8015</v>
      </c>
      <c r="B4221" s="5" t="s">
        <v>8016</v>
      </c>
      <c r="C4221" s="3" t="s">
        <v>5</v>
      </c>
    </row>
    <row r="4222" spans="1:3" ht="15.75" thickBot="1">
      <c r="A4222" s="6" t="s">
        <v>8017</v>
      </c>
      <c r="B4222" s="5" t="s">
        <v>8018</v>
      </c>
      <c r="C4222" s="3" t="s">
        <v>5</v>
      </c>
    </row>
    <row r="4223" spans="1:3" ht="15.75" thickBot="1">
      <c r="A4223" s="6" t="s">
        <v>8019</v>
      </c>
      <c r="B4223" s="5" t="s">
        <v>8020</v>
      </c>
      <c r="C4223" s="3" t="s">
        <v>5</v>
      </c>
    </row>
    <row r="4224" spans="1:3" ht="15.75" thickBot="1">
      <c r="A4224" s="6" t="s">
        <v>8021</v>
      </c>
      <c r="B4224" s="5" t="s">
        <v>8022</v>
      </c>
      <c r="C4224" s="3" t="s">
        <v>5</v>
      </c>
    </row>
    <row r="4225" spans="1:3" ht="15.75" thickBot="1">
      <c r="A4225" s="6" t="s">
        <v>8023</v>
      </c>
      <c r="B4225" s="5" t="s">
        <v>8024</v>
      </c>
      <c r="C4225" s="3" t="s">
        <v>5</v>
      </c>
    </row>
    <row r="4226" spans="1:3" ht="15.75" thickBot="1">
      <c r="A4226" s="6" t="s">
        <v>8025</v>
      </c>
      <c r="B4226" s="5" t="s">
        <v>8026</v>
      </c>
      <c r="C4226" s="3" t="s">
        <v>5</v>
      </c>
    </row>
    <row r="4227" spans="1:3">
      <c r="A4227" s="1" t="s">
        <v>8027</v>
      </c>
      <c r="B4227" s="2" t="s">
        <v>8028</v>
      </c>
      <c r="C4227" s="3" t="s">
        <v>5</v>
      </c>
    </row>
    <row r="4228" spans="1:3" ht="15.75" thickBot="1">
      <c r="A4228" s="4"/>
      <c r="B4228" s="5" t="s">
        <v>8029</v>
      </c>
      <c r="C4228" s="3" t="s">
        <v>5</v>
      </c>
    </row>
    <row r="4229" spans="1:3" ht="15.75" thickBot="1">
      <c r="A4229" s="6" t="s">
        <v>8030</v>
      </c>
      <c r="B4229" s="5" t="s">
        <v>60</v>
      </c>
      <c r="C4229" s="3" t="s">
        <v>5</v>
      </c>
    </row>
    <row r="4230" spans="1:3" ht="15.75" thickBot="1">
      <c r="A4230" s="6" t="s">
        <v>8031</v>
      </c>
      <c r="B4230" s="5" t="s">
        <v>8032</v>
      </c>
      <c r="C4230" s="3" t="s">
        <v>5</v>
      </c>
    </row>
    <row r="4231" spans="1:3" ht="15.75" thickBot="1">
      <c r="A4231" s="6" t="s">
        <v>8033</v>
      </c>
      <c r="B4231" s="5" t="s">
        <v>8034</v>
      </c>
      <c r="C4231" s="3" t="s">
        <v>5</v>
      </c>
    </row>
    <row r="4232" spans="1:3" ht="15.75" thickBot="1">
      <c r="A4232" s="6" t="s">
        <v>8035</v>
      </c>
      <c r="B4232" s="5" t="s">
        <v>8036</v>
      </c>
      <c r="C4232" s="3" t="s">
        <v>5</v>
      </c>
    </row>
    <row r="4233" spans="1:3" ht="15.75" thickBot="1">
      <c r="A4233" s="6" t="s">
        <v>8037</v>
      </c>
      <c r="B4233" s="5" t="s">
        <v>8038</v>
      </c>
      <c r="C4233" s="3" t="s">
        <v>5</v>
      </c>
    </row>
    <row r="4234" spans="1:3">
      <c r="A4234" s="1" t="s">
        <v>8039</v>
      </c>
      <c r="B4234" s="2" t="s">
        <v>8040</v>
      </c>
      <c r="C4234" s="3" t="s">
        <v>5</v>
      </c>
    </row>
    <row r="4235" spans="1:3" ht="15.75" thickBot="1">
      <c r="A4235" s="4"/>
      <c r="B4235" s="5" t="s">
        <v>8041</v>
      </c>
      <c r="C4235" s="3" t="s">
        <v>5</v>
      </c>
    </row>
    <row r="4236" spans="1:3" ht="15.75" thickBot="1">
      <c r="A4236" s="6" t="s">
        <v>8042</v>
      </c>
      <c r="B4236" s="5" t="s">
        <v>8043</v>
      </c>
      <c r="C4236" s="3" t="s">
        <v>5</v>
      </c>
    </row>
    <row r="4237" spans="1:3" ht="15.75" thickBot="1">
      <c r="A4237" s="6" t="s">
        <v>8044</v>
      </c>
      <c r="B4237" s="5" t="s">
        <v>8045</v>
      </c>
      <c r="C4237" s="3" t="s">
        <v>5</v>
      </c>
    </row>
    <row r="4238" spans="1:3" ht="15.75" thickBot="1">
      <c r="A4238" s="6" t="s">
        <v>8046</v>
      </c>
      <c r="B4238" s="5" t="s">
        <v>8047</v>
      </c>
      <c r="C4238" s="3" t="s">
        <v>5</v>
      </c>
    </row>
    <row r="4239" spans="1:3" ht="15.75" thickBot="1">
      <c r="A4239" s="6" t="s">
        <v>8048</v>
      </c>
      <c r="B4239" s="5" t="s">
        <v>8049</v>
      </c>
      <c r="C4239" s="3" t="s">
        <v>5</v>
      </c>
    </row>
    <row r="4240" spans="1:3" ht="15.75" thickBot="1">
      <c r="A4240" s="6" t="s">
        <v>8050</v>
      </c>
      <c r="B4240" s="5" t="s">
        <v>8051</v>
      </c>
      <c r="C4240" s="3" t="s">
        <v>5</v>
      </c>
    </row>
    <row r="4241" spans="1:3" ht="15.75" thickBot="1">
      <c r="A4241" s="6" t="s">
        <v>8052</v>
      </c>
      <c r="B4241" s="5" t="s">
        <v>8053</v>
      </c>
      <c r="C4241" s="3" t="s">
        <v>5</v>
      </c>
    </row>
    <row r="4242" spans="1:3" ht="15.75" thickBot="1">
      <c r="A4242" s="6" t="s">
        <v>8054</v>
      </c>
      <c r="B4242" s="5" t="s">
        <v>8055</v>
      </c>
      <c r="C4242" s="3" t="s">
        <v>5</v>
      </c>
    </row>
    <row r="4243" spans="1:3" ht="15.75" thickBot="1">
      <c r="A4243" s="6" t="s">
        <v>8056</v>
      </c>
      <c r="B4243" s="5" t="s">
        <v>8057</v>
      </c>
      <c r="C4243" s="3" t="s">
        <v>5</v>
      </c>
    </row>
    <row r="4244" spans="1:3" ht="15.75" thickBot="1">
      <c r="A4244" s="6" t="s">
        <v>8058</v>
      </c>
      <c r="B4244" s="5" t="s">
        <v>8059</v>
      </c>
      <c r="C4244" s="3" t="s">
        <v>5</v>
      </c>
    </row>
    <row r="4245" spans="1:3" ht="15.75" thickBot="1">
      <c r="A4245" s="6" t="s">
        <v>8060</v>
      </c>
      <c r="B4245" s="5" t="s">
        <v>8061</v>
      </c>
      <c r="C4245" s="3" t="s">
        <v>5</v>
      </c>
    </row>
    <row r="4246" spans="1:3" ht="15.75" thickBot="1">
      <c r="A4246" s="6" t="s">
        <v>8062</v>
      </c>
      <c r="B4246" s="5" t="s">
        <v>8063</v>
      </c>
      <c r="C4246" s="3" t="s">
        <v>5</v>
      </c>
    </row>
    <row r="4247" spans="1:3" ht="15.75" thickBot="1">
      <c r="A4247" s="6" t="s">
        <v>8064</v>
      </c>
      <c r="B4247" s="5" t="s">
        <v>8065</v>
      </c>
      <c r="C4247" s="3" t="s">
        <v>5</v>
      </c>
    </row>
    <row r="4248" spans="1:3" ht="15.75" thickBot="1">
      <c r="A4248" s="6" t="s">
        <v>8066</v>
      </c>
      <c r="B4248" s="5" t="s">
        <v>8067</v>
      </c>
      <c r="C4248" s="3" t="s">
        <v>5</v>
      </c>
    </row>
    <row r="4249" spans="1:3" ht="15.75" thickBot="1">
      <c r="A4249" s="6" t="s">
        <v>8068</v>
      </c>
      <c r="B4249" s="5" t="s">
        <v>8069</v>
      </c>
      <c r="C4249" s="3" t="s">
        <v>5</v>
      </c>
    </row>
    <row r="4250" spans="1:3" ht="15.75" thickBot="1">
      <c r="A4250" s="6" t="s">
        <v>8070</v>
      </c>
      <c r="B4250" s="5" t="s">
        <v>8071</v>
      </c>
      <c r="C4250" s="3" t="s">
        <v>5</v>
      </c>
    </row>
    <row r="4251" spans="1:3" ht="15.75" thickBot="1">
      <c r="A4251" s="6" t="s">
        <v>8072</v>
      </c>
      <c r="B4251" s="5" t="s">
        <v>8073</v>
      </c>
      <c r="C4251" s="3" t="s">
        <v>5</v>
      </c>
    </row>
    <row r="4252" spans="1:3" ht="15.75" thickBot="1">
      <c r="A4252" s="6" t="s">
        <v>8074</v>
      </c>
      <c r="B4252" s="5" t="s">
        <v>8075</v>
      </c>
      <c r="C4252" s="3" t="s">
        <v>5</v>
      </c>
    </row>
    <row r="4253" spans="1:3" ht="15.75" thickBot="1">
      <c r="A4253" s="6" t="s">
        <v>8076</v>
      </c>
      <c r="B4253" s="5" t="e">
        <f xml:space="preserve"> insulance</f>
        <v>#NAME?</v>
      </c>
      <c r="C4253" s="3" t="s">
        <v>5</v>
      </c>
    </row>
    <row r="4254" spans="1:3" ht="15.75" thickBot="1">
      <c r="A4254" s="6" t="s">
        <v>8077</v>
      </c>
      <c r="B4254" s="5" t="s">
        <v>8078</v>
      </c>
      <c r="C4254" s="3" t="s">
        <v>5</v>
      </c>
    </row>
    <row r="4255" spans="1:3" ht="15.75" thickBot="1">
      <c r="A4255" s="6" t="s">
        <v>8079</v>
      </c>
      <c r="B4255" s="5" t="s">
        <v>8080</v>
      </c>
      <c r="C4255" s="3" t="s">
        <v>5</v>
      </c>
    </row>
    <row r="4256" spans="1:3" ht="15.75" thickBot="1">
      <c r="A4256" s="6" t="s">
        <v>8081</v>
      </c>
      <c r="B4256" s="5" t="s">
        <v>8082</v>
      </c>
      <c r="C4256" s="3" t="s">
        <v>5</v>
      </c>
    </row>
    <row r="4257" spans="1:3" ht="15.75" thickBot="1">
      <c r="A4257" s="6" t="s">
        <v>8083</v>
      </c>
      <c r="B4257" s="5" t="s">
        <v>8084</v>
      </c>
      <c r="C4257" s="3" t="s">
        <v>5</v>
      </c>
    </row>
    <row r="4258" spans="1:3" ht="15.75" thickBot="1">
      <c r="A4258" s="6" t="s">
        <v>8085</v>
      </c>
      <c r="B4258" s="5" t="s">
        <v>8086</v>
      </c>
      <c r="C4258" s="3" t="s">
        <v>5</v>
      </c>
    </row>
    <row r="4259" spans="1:3" ht="15.75" thickBot="1">
      <c r="A4259" s="6" t="s">
        <v>8087</v>
      </c>
      <c r="B4259" s="5" t="s">
        <v>8088</v>
      </c>
      <c r="C4259" s="3" t="s">
        <v>5</v>
      </c>
    </row>
    <row r="4260" spans="1:3" ht="15.75" thickBot="1">
      <c r="A4260" s="6" t="s">
        <v>8089</v>
      </c>
      <c r="B4260" s="5" t="s">
        <v>8090</v>
      </c>
      <c r="C4260" s="3" t="s">
        <v>5</v>
      </c>
    </row>
    <row r="4261" spans="1:3" ht="15.75" thickBot="1">
      <c r="A4261" s="6" t="s">
        <v>8091</v>
      </c>
      <c r="B4261" s="5" t="s">
        <v>8092</v>
      </c>
      <c r="C4261" s="3" t="s">
        <v>5</v>
      </c>
    </row>
    <row r="4262" spans="1:3" ht="15.75" thickBot="1">
      <c r="A4262" s="6" t="s">
        <v>8093</v>
      </c>
      <c r="B4262" s="5" t="s">
        <v>8094</v>
      </c>
      <c r="C4262" s="3" t="s">
        <v>5</v>
      </c>
    </row>
    <row r="4263" spans="1:3" ht="15.75" thickBot="1">
      <c r="A4263" s="6" t="s">
        <v>8095</v>
      </c>
      <c r="B4263" s="5" t="s">
        <v>8096</v>
      </c>
      <c r="C4263" s="3" t="s">
        <v>5</v>
      </c>
    </row>
    <row r="4264" spans="1:3" ht="15.75" thickBot="1">
      <c r="A4264" s="6" t="s">
        <v>8097</v>
      </c>
      <c r="B4264" s="5" t="s">
        <v>8098</v>
      </c>
      <c r="C4264" s="3" t="s">
        <v>5</v>
      </c>
    </row>
    <row r="4265" spans="1:3" ht="15.75" thickBot="1">
      <c r="A4265" s="6" t="s">
        <v>8099</v>
      </c>
      <c r="B4265" s="5" t="s">
        <v>8100</v>
      </c>
      <c r="C4265" s="3" t="s">
        <v>5</v>
      </c>
    </row>
    <row r="4266" spans="1:3" ht="15.75" thickBot="1">
      <c r="A4266" s="6" t="s">
        <v>8101</v>
      </c>
      <c r="B4266" s="5" t="s">
        <v>8102</v>
      </c>
      <c r="C4266" s="3" t="s">
        <v>5</v>
      </c>
    </row>
    <row r="4267" spans="1:3" ht="15.75" thickBot="1">
      <c r="A4267" s="6" t="s">
        <v>8103</v>
      </c>
      <c r="B4267" s="5" t="s">
        <v>8104</v>
      </c>
      <c r="C4267" s="3" t="s">
        <v>5</v>
      </c>
    </row>
    <row r="4268" spans="1:3" ht="15.75" thickBot="1">
      <c r="A4268" s="6" t="s">
        <v>8105</v>
      </c>
      <c r="B4268" s="5" t="s">
        <v>8106</v>
      </c>
      <c r="C4268" s="3" t="s">
        <v>5</v>
      </c>
    </row>
    <row r="4269" spans="1:3" ht="15.75" thickBot="1">
      <c r="A4269" s="6" t="s">
        <v>8107</v>
      </c>
      <c r="B4269" s="5" t="s">
        <v>8108</v>
      </c>
      <c r="C4269" s="3" t="s">
        <v>5</v>
      </c>
    </row>
    <row r="4270" spans="1:3" ht="15.75" thickBot="1">
      <c r="A4270" s="6" t="s">
        <v>8109</v>
      </c>
      <c r="B4270" s="5" t="s">
        <v>8110</v>
      </c>
      <c r="C4270" s="3" t="s">
        <v>5</v>
      </c>
    </row>
    <row r="4271" spans="1:3" ht="15.75" thickBot="1">
      <c r="A4271" s="6" t="s">
        <v>8111</v>
      </c>
      <c r="B4271" s="5" t="s">
        <v>8112</v>
      </c>
      <c r="C4271" s="3" t="s">
        <v>5</v>
      </c>
    </row>
    <row r="4272" spans="1:3" ht="15.75" thickBot="1">
      <c r="A4272" s="6" t="s">
        <v>8113</v>
      </c>
      <c r="B4272" s="5" t="s">
        <v>8114</v>
      </c>
      <c r="C4272" s="3" t="s">
        <v>5</v>
      </c>
    </row>
    <row r="4273" spans="1:3" ht="15.75" thickBot="1">
      <c r="A4273" s="6" t="s">
        <v>8115</v>
      </c>
      <c r="B4273" s="5" t="s">
        <v>8116</v>
      </c>
      <c r="C4273" s="3" t="s">
        <v>5</v>
      </c>
    </row>
    <row r="4274" spans="1:3" ht="15.75" thickBot="1">
      <c r="A4274" s="6" t="s">
        <v>8117</v>
      </c>
      <c r="B4274" s="5" t="s">
        <v>8118</v>
      </c>
      <c r="C4274" s="3" t="s">
        <v>5</v>
      </c>
    </row>
    <row r="4275" spans="1:3" ht="15.75" thickBot="1">
      <c r="A4275" s="6" t="s">
        <v>8119</v>
      </c>
      <c r="B4275" s="5" t="s">
        <v>8120</v>
      </c>
      <c r="C4275" s="3" t="s">
        <v>5</v>
      </c>
    </row>
    <row r="4276" spans="1:3" ht="15.75" thickBot="1">
      <c r="A4276" s="6" t="s">
        <v>8121</v>
      </c>
      <c r="B4276" s="5" t="s">
        <v>8122</v>
      </c>
      <c r="C4276" s="3" t="s">
        <v>5</v>
      </c>
    </row>
    <row r="4277" spans="1:3" ht="15.75" thickBot="1">
      <c r="A4277" s="6" t="s">
        <v>8123</v>
      </c>
      <c r="B4277" s="5" t="s">
        <v>8124</v>
      </c>
      <c r="C4277" s="3" t="s">
        <v>5</v>
      </c>
    </row>
    <row r="4278" spans="1:3" ht="15.75" thickBot="1">
      <c r="A4278" s="6" t="s">
        <v>8125</v>
      </c>
      <c r="B4278" s="5" t="s">
        <v>8126</v>
      </c>
      <c r="C4278" s="3" t="s">
        <v>5</v>
      </c>
    </row>
    <row r="4279" spans="1:3" ht="15.75" thickBot="1">
      <c r="A4279" s="6" t="s">
        <v>8127</v>
      </c>
      <c r="B4279" s="5" t="s">
        <v>8128</v>
      </c>
      <c r="C4279" s="3" t="s">
        <v>5</v>
      </c>
    </row>
    <row r="4280" spans="1:3" ht="15.75" thickBot="1">
      <c r="A4280" s="6" t="s">
        <v>8129</v>
      </c>
      <c r="B4280" s="5" t="s">
        <v>8130</v>
      </c>
      <c r="C4280" s="3" t="s">
        <v>5</v>
      </c>
    </row>
    <row r="4281" spans="1:3">
      <c r="A4281" s="1" t="s">
        <v>8131</v>
      </c>
      <c r="B4281" s="2" t="s">
        <v>8132</v>
      </c>
      <c r="C4281" s="3" t="s">
        <v>5</v>
      </c>
    </row>
    <row r="4282" spans="1:3" ht="15.75" thickBot="1">
      <c r="A4282" s="4"/>
      <c r="B4282" s="5" t="s">
        <v>8133</v>
      </c>
      <c r="C4282" s="3" t="s">
        <v>5</v>
      </c>
    </row>
    <row r="4283" spans="1:3" ht="15.75" thickBot="1">
      <c r="A4283" s="6" t="s">
        <v>8134</v>
      </c>
      <c r="B4283" s="5" t="s">
        <v>8135</v>
      </c>
      <c r="C4283" s="3" t="s">
        <v>5</v>
      </c>
    </row>
    <row r="4284" spans="1:3" ht="15.75" thickBot="1">
      <c r="A4284" s="6" t="s">
        <v>8136</v>
      </c>
      <c r="B4284" s="5" t="s">
        <v>8137</v>
      </c>
      <c r="C4284" s="3" t="s">
        <v>5</v>
      </c>
    </row>
    <row r="4285" spans="1:3" ht="15.75" thickBot="1">
      <c r="A4285" s="6" t="s">
        <v>8138</v>
      </c>
      <c r="B4285" s="5" t="s">
        <v>8139</v>
      </c>
      <c r="C4285" s="3" t="s">
        <v>5</v>
      </c>
    </row>
    <row r="4286" spans="1:3" ht="15.75" thickBot="1">
      <c r="A4286" s="6" t="s">
        <v>8140</v>
      </c>
      <c r="B4286" s="5" t="s">
        <v>8141</v>
      </c>
      <c r="C4286" s="3" t="s">
        <v>5</v>
      </c>
    </row>
    <row r="4287" spans="1:3" ht="15.75" thickBot="1">
      <c r="A4287" s="6" t="s">
        <v>8142</v>
      </c>
      <c r="B4287" s="5" t="s">
        <v>8143</v>
      </c>
      <c r="C4287" s="3" t="s">
        <v>5</v>
      </c>
    </row>
    <row r="4288" spans="1:3" ht="15.75" thickBot="1">
      <c r="A4288" s="6" t="s">
        <v>8144</v>
      </c>
      <c r="B4288" s="5" t="s">
        <v>8145</v>
      </c>
      <c r="C4288" s="3" t="s">
        <v>5</v>
      </c>
    </row>
    <row r="4289" spans="1:3">
      <c r="A4289" s="1" t="s">
        <v>8146</v>
      </c>
      <c r="B4289" s="2" t="s">
        <v>8147</v>
      </c>
      <c r="C4289" s="3" t="s">
        <v>5</v>
      </c>
    </row>
    <row r="4290" spans="1:3" ht="15.75" thickBot="1">
      <c r="A4290" s="4"/>
      <c r="B4290" s="5" t="s">
        <v>8148</v>
      </c>
      <c r="C4290" s="3" t="s">
        <v>5</v>
      </c>
    </row>
    <row r="4291" spans="1:3" ht="15.75" thickBot="1">
      <c r="A4291" s="6" t="s">
        <v>8149</v>
      </c>
      <c r="B4291" s="5" t="s">
        <v>8150</v>
      </c>
      <c r="C4291" s="3" t="s">
        <v>5</v>
      </c>
    </row>
    <row r="4292" spans="1:3" ht="15.75" thickBot="1">
      <c r="A4292" s="6" t="s">
        <v>8151</v>
      </c>
      <c r="B4292" s="5" t="s">
        <v>8152</v>
      </c>
      <c r="C4292" s="3" t="s">
        <v>5</v>
      </c>
    </row>
    <row r="4293" spans="1:3" ht="15.75" thickBot="1">
      <c r="A4293" s="6" t="s">
        <v>8153</v>
      </c>
      <c r="B4293" s="5" t="s">
        <v>8154</v>
      </c>
      <c r="C4293" s="3" t="s">
        <v>5</v>
      </c>
    </row>
    <row r="4294" spans="1:3" ht="15.75" thickBot="1">
      <c r="A4294" s="6" t="s">
        <v>8155</v>
      </c>
      <c r="B4294" s="5" t="s">
        <v>8156</v>
      </c>
      <c r="C4294" s="3" t="s">
        <v>5</v>
      </c>
    </row>
    <row r="4295" spans="1:3" ht="15.75" thickBot="1">
      <c r="A4295" s="6" t="s">
        <v>8157</v>
      </c>
      <c r="B4295" s="5" t="s">
        <v>8158</v>
      </c>
      <c r="C4295" s="3" t="s">
        <v>5</v>
      </c>
    </row>
    <row r="4296" spans="1:3" ht="15.75" thickBot="1">
      <c r="A4296" s="6" t="s">
        <v>8159</v>
      </c>
      <c r="B4296" s="5" t="s">
        <v>8160</v>
      </c>
      <c r="C4296" s="3" t="s">
        <v>5</v>
      </c>
    </row>
    <row r="4297" spans="1:3" ht="15.75" thickBot="1">
      <c r="A4297" s="6" t="s">
        <v>8161</v>
      </c>
      <c r="B4297" s="5" t="s">
        <v>8162</v>
      </c>
      <c r="C4297" s="3" t="s">
        <v>5</v>
      </c>
    </row>
    <row r="4298" spans="1:3" ht="15.75" thickBot="1">
      <c r="A4298" s="6" t="s">
        <v>8163</v>
      </c>
      <c r="B4298" s="5" t="s">
        <v>8164</v>
      </c>
      <c r="C4298" s="3" t="s">
        <v>5</v>
      </c>
    </row>
    <row r="4299" spans="1:3" ht="15.75" thickBot="1">
      <c r="A4299" s="6" t="s">
        <v>8165</v>
      </c>
      <c r="B4299" s="5" t="s">
        <v>8166</v>
      </c>
      <c r="C4299" s="3" t="s">
        <v>5</v>
      </c>
    </row>
    <row r="4300" spans="1:3" ht="15.75" thickBot="1">
      <c r="A4300" s="6" t="s">
        <v>8167</v>
      </c>
      <c r="B4300" s="5" t="s">
        <v>8168</v>
      </c>
      <c r="C4300" s="3" t="s">
        <v>5</v>
      </c>
    </row>
    <row r="4301" spans="1:3" ht="15.75" thickBot="1">
      <c r="A4301" s="6" t="s">
        <v>8169</v>
      </c>
      <c r="B4301" s="5" t="s">
        <v>8170</v>
      </c>
      <c r="C4301" s="3" t="s">
        <v>5</v>
      </c>
    </row>
    <row r="4302" spans="1:3" ht="15.75" thickBot="1">
      <c r="A4302" s="6" t="s">
        <v>8171</v>
      </c>
      <c r="B4302" s="5" t="s">
        <v>8172</v>
      </c>
      <c r="C4302" s="3" t="s">
        <v>5</v>
      </c>
    </row>
    <row r="4303" spans="1:3" ht="15.75" thickBot="1">
      <c r="A4303" s="6" t="s">
        <v>8173</v>
      </c>
      <c r="B4303" s="5" t="s">
        <v>8174</v>
      </c>
      <c r="C4303" s="3" t="s">
        <v>5</v>
      </c>
    </row>
    <row r="4304" spans="1:3" ht="15.75" thickBot="1">
      <c r="A4304" s="6" t="s">
        <v>8175</v>
      </c>
      <c r="B4304" s="5" t="s">
        <v>8176</v>
      </c>
      <c r="C4304" s="3" t="s">
        <v>5</v>
      </c>
    </row>
    <row r="4305" spans="1:3" ht="15.75" thickBot="1">
      <c r="A4305" s="6" t="s">
        <v>8177</v>
      </c>
      <c r="B4305" s="5" t="s">
        <v>8178</v>
      </c>
      <c r="C4305" s="3" t="s">
        <v>5</v>
      </c>
    </row>
    <row r="4306" spans="1:3" ht="15.75" thickBot="1">
      <c r="A4306" s="6" t="s">
        <v>8179</v>
      </c>
      <c r="B4306" s="5" t="s">
        <v>8180</v>
      </c>
      <c r="C4306" s="3" t="s">
        <v>5</v>
      </c>
    </row>
    <row r="4307" spans="1:3" ht="15.75" thickBot="1">
      <c r="A4307" s="6" t="s">
        <v>8181</v>
      </c>
      <c r="B4307" s="5" t="s">
        <v>8182</v>
      </c>
      <c r="C4307" s="3" t="s">
        <v>5</v>
      </c>
    </row>
    <row r="4308" spans="1:3" ht="15.75" thickBot="1">
      <c r="A4308" s="6" t="s">
        <v>8183</v>
      </c>
      <c r="B4308" s="5" t="s">
        <v>8184</v>
      </c>
      <c r="C4308" s="3" t="s">
        <v>5</v>
      </c>
    </row>
    <row r="4309" spans="1:3" ht="15.75" thickBot="1">
      <c r="A4309" s="6" t="s">
        <v>8185</v>
      </c>
      <c r="B4309" s="5" t="s">
        <v>8186</v>
      </c>
      <c r="C4309" s="3" t="s">
        <v>5</v>
      </c>
    </row>
    <row r="4310" spans="1:3" ht="15.75" thickBot="1">
      <c r="A4310" s="6" t="s">
        <v>8187</v>
      </c>
      <c r="B4310" s="5" t="s">
        <v>8188</v>
      </c>
      <c r="C4310" s="3" t="s">
        <v>5</v>
      </c>
    </row>
    <row r="4311" spans="1:3" ht="15.75" thickBot="1">
      <c r="A4311" s="6" t="s">
        <v>8189</v>
      </c>
      <c r="B4311" s="5" t="s">
        <v>8190</v>
      </c>
      <c r="C4311" s="3" t="s">
        <v>5</v>
      </c>
    </row>
    <row r="4312" spans="1:3" ht="15.75" thickBot="1">
      <c r="A4312" s="6" t="s">
        <v>8191</v>
      </c>
      <c r="B4312" s="5" t="s">
        <v>8192</v>
      </c>
      <c r="C4312" s="3" t="s">
        <v>5</v>
      </c>
    </row>
    <row r="4313" spans="1:3" ht="15.75" thickBot="1">
      <c r="A4313" s="6" t="s">
        <v>8193</v>
      </c>
      <c r="B4313" s="5" t="s">
        <v>8194</v>
      </c>
      <c r="C4313" s="3" t="s">
        <v>5</v>
      </c>
    </row>
    <row r="4314" spans="1:3" ht="15.75" thickBot="1">
      <c r="A4314" s="6" t="s">
        <v>8195</v>
      </c>
      <c r="B4314" s="5" t="s">
        <v>8196</v>
      </c>
      <c r="C4314" s="3" t="s">
        <v>5</v>
      </c>
    </row>
    <row r="4315" spans="1:3" ht="15.75" thickBot="1">
      <c r="A4315" s="6" t="s">
        <v>8197</v>
      </c>
      <c r="B4315" s="5" t="s">
        <v>8198</v>
      </c>
      <c r="C4315" s="3" t="s">
        <v>5</v>
      </c>
    </row>
    <row r="4316" spans="1:3" ht="15.75" thickBot="1">
      <c r="A4316" s="6" t="s">
        <v>8199</v>
      </c>
      <c r="B4316" s="5" t="s">
        <v>8200</v>
      </c>
      <c r="C4316" s="3" t="s">
        <v>5</v>
      </c>
    </row>
    <row r="4317" spans="1:3" ht="15.75" thickBot="1">
      <c r="A4317" s="6" t="s">
        <v>8201</v>
      </c>
      <c r="B4317" s="5" t="s">
        <v>8202</v>
      </c>
      <c r="C4317" s="3" t="s">
        <v>5</v>
      </c>
    </row>
    <row r="4318" spans="1:3" ht="15.75" thickBot="1">
      <c r="A4318" s="6" t="s">
        <v>8203</v>
      </c>
      <c r="B4318" s="5" t="s">
        <v>8204</v>
      </c>
      <c r="C4318" s="3" t="s">
        <v>5</v>
      </c>
    </row>
    <row r="4319" spans="1:3" ht="15.75" thickBot="1">
      <c r="A4319" s="6" t="s">
        <v>8205</v>
      </c>
      <c r="B4319" s="5" t="s">
        <v>8206</v>
      </c>
      <c r="C4319" s="3" t="s">
        <v>5</v>
      </c>
    </row>
    <row r="4320" spans="1:3" ht="15.75" thickBot="1">
      <c r="A4320" s="6" t="s">
        <v>8207</v>
      </c>
      <c r="B4320" s="5" t="s">
        <v>8208</v>
      </c>
      <c r="C4320" s="3" t="s">
        <v>5</v>
      </c>
    </row>
    <row r="4321" spans="1:3" ht="15.75" thickBot="1">
      <c r="A4321" s="6" t="s">
        <v>8209</v>
      </c>
      <c r="B4321" s="5" t="s">
        <v>8210</v>
      </c>
      <c r="C4321" s="3" t="s">
        <v>5</v>
      </c>
    </row>
    <row r="4322" spans="1:3" ht="15.75" thickBot="1">
      <c r="A4322" s="6" t="s">
        <v>8211</v>
      </c>
      <c r="B4322" s="5" t="s">
        <v>8212</v>
      </c>
      <c r="C4322" s="3" t="s">
        <v>5</v>
      </c>
    </row>
    <row r="4323" spans="1:3" ht="15.75" thickBot="1">
      <c r="A4323" s="6" t="s">
        <v>8213</v>
      </c>
      <c r="B4323" s="5" t="s">
        <v>8214</v>
      </c>
      <c r="C4323" s="3" t="s">
        <v>5</v>
      </c>
    </row>
    <row r="4324" spans="1:3" ht="15.75" thickBot="1">
      <c r="A4324" s="6" t="s">
        <v>8215</v>
      </c>
      <c r="B4324" s="5" t="s">
        <v>8216</v>
      </c>
      <c r="C4324" s="3" t="s">
        <v>5</v>
      </c>
    </row>
    <row r="4325" spans="1:3" ht="15.75" thickBot="1">
      <c r="A4325" s="6" t="s">
        <v>8215</v>
      </c>
      <c r="B4325" s="5" t="s">
        <v>8217</v>
      </c>
      <c r="C4325" s="3" t="s">
        <v>5</v>
      </c>
    </row>
    <row r="4326" spans="1:3" ht="15.75" thickBot="1">
      <c r="A4326" s="6" t="s">
        <v>8218</v>
      </c>
      <c r="B4326" s="5" t="s">
        <v>8219</v>
      </c>
      <c r="C4326" s="3" t="s">
        <v>5</v>
      </c>
    </row>
    <row r="4327" spans="1:3" ht="15.75" thickBot="1">
      <c r="A4327" s="6" t="s">
        <v>8220</v>
      </c>
      <c r="B4327" s="5" t="s">
        <v>8221</v>
      </c>
      <c r="C4327" s="3" t="s">
        <v>5</v>
      </c>
    </row>
    <row r="4328" spans="1:3" ht="15.75" thickBot="1">
      <c r="A4328" s="6" t="s">
        <v>8222</v>
      </c>
      <c r="B4328" s="5" t="s">
        <v>8223</v>
      </c>
      <c r="C4328" s="3" t="s">
        <v>5</v>
      </c>
    </row>
    <row r="4329" spans="1:3" ht="15.75" thickBot="1">
      <c r="A4329" s="6" t="s">
        <v>8224</v>
      </c>
      <c r="B4329" s="5" t="s">
        <v>8225</v>
      </c>
      <c r="C4329" s="3" t="s">
        <v>5</v>
      </c>
    </row>
    <row r="4330" spans="1:3" ht="15.75" thickBot="1">
      <c r="A4330" s="6" t="s">
        <v>8226</v>
      </c>
      <c r="B4330" s="5" t="s">
        <v>8227</v>
      </c>
      <c r="C4330" s="3" t="s">
        <v>5</v>
      </c>
    </row>
    <row r="4331" spans="1:3">
      <c r="A4331" s="1" t="s">
        <v>8228</v>
      </c>
      <c r="B4331" s="2" t="s">
        <v>8229</v>
      </c>
      <c r="C4331" s="3" t="s">
        <v>5</v>
      </c>
    </row>
    <row r="4332" spans="1:3" ht="15.75" thickBot="1">
      <c r="A4332" s="4"/>
      <c r="B4332" s="5" t="s">
        <v>8230</v>
      </c>
      <c r="C4332" s="3" t="s">
        <v>5</v>
      </c>
    </row>
    <row r="4333" spans="1:3" ht="15.75" thickBot="1">
      <c r="A4333" s="6" t="s">
        <v>8231</v>
      </c>
      <c r="B4333" s="5" t="s">
        <v>8232</v>
      </c>
      <c r="C4333" s="3" t="s">
        <v>5</v>
      </c>
    </row>
    <row r="4334" spans="1:3" ht="15.75" thickBot="1">
      <c r="A4334" s="6" t="s">
        <v>8233</v>
      </c>
      <c r="B4334" s="5" t="s">
        <v>8234</v>
      </c>
      <c r="C4334" s="3" t="s">
        <v>5</v>
      </c>
    </row>
    <row r="4335" spans="1:3" ht="15.75" thickBot="1">
      <c r="A4335" s="6" t="s">
        <v>8235</v>
      </c>
      <c r="B4335" s="5" t="s">
        <v>8236</v>
      </c>
      <c r="C4335" s="3" t="s">
        <v>5</v>
      </c>
    </row>
    <row r="4336" spans="1:3" ht="15.75" thickBot="1">
      <c r="A4336" s="6" t="s">
        <v>8237</v>
      </c>
      <c r="B4336" s="5" t="s">
        <v>8238</v>
      </c>
      <c r="C4336" s="3" t="s">
        <v>5</v>
      </c>
    </row>
    <row r="4337" spans="1:3" ht="15.75" thickBot="1">
      <c r="A4337" s="6" t="s">
        <v>8239</v>
      </c>
      <c r="B4337" s="5" t="s">
        <v>8240</v>
      </c>
      <c r="C4337" s="3" t="s">
        <v>5</v>
      </c>
    </row>
    <row r="4338" spans="1:3" ht="15.75" thickBot="1">
      <c r="A4338" s="6" t="s">
        <v>8241</v>
      </c>
      <c r="B4338" s="5" t="s">
        <v>8242</v>
      </c>
      <c r="C4338" s="3" t="s">
        <v>5</v>
      </c>
    </row>
    <row r="4339" spans="1:3" ht="26.25" thickBot="1">
      <c r="A4339" s="6" t="s">
        <v>8243</v>
      </c>
      <c r="B4339" s="5" t="s">
        <v>8244</v>
      </c>
      <c r="C4339" s="3" t="s">
        <v>5</v>
      </c>
    </row>
    <row r="4340" spans="1:3" ht="15.75" thickBot="1">
      <c r="A4340" s="6" t="s">
        <v>8245</v>
      </c>
      <c r="B4340" s="5" t="s">
        <v>8246</v>
      </c>
      <c r="C4340" s="3" t="s">
        <v>5</v>
      </c>
    </row>
    <row r="4341" spans="1:3" ht="15.75" thickBot="1">
      <c r="A4341" s="6" t="s">
        <v>8247</v>
      </c>
      <c r="B4341" s="5" t="s">
        <v>8248</v>
      </c>
      <c r="C4341" s="3" t="s">
        <v>5</v>
      </c>
    </row>
    <row r="4342" spans="1:3" ht="15.75" thickBot="1">
      <c r="A4342" s="6" t="s">
        <v>8249</v>
      </c>
      <c r="B4342" s="5" t="s">
        <v>8250</v>
      </c>
      <c r="C4342" s="3" t="s">
        <v>5</v>
      </c>
    </row>
    <row r="4343" spans="1:3" ht="15.75" thickBot="1">
      <c r="A4343" s="6" t="s">
        <v>8251</v>
      </c>
      <c r="B4343" s="5" t="s">
        <v>8252</v>
      </c>
      <c r="C4343" s="3" t="s">
        <v>5</v>
      </c>
    </row>
    <row r="4344" spans="1:3" ht="15.75" thickBot="1">
      <c r="A4344" s="6" t="s">
        <v>8253</v>
      </c>
      <c r="B4344" s="5" t="s">
        <v>8254</v>
      </c>
      <c r="C4344" s="3" t="s">
        <v>5</v>
      </c>
    </row>
    <row r="4345" spans="1:3" ht="15.75" thickBot="1">
      <c r="A4345" s="6" t="s">
        <v>8255</v>
      </c>
      <c r="B4345" s="5" t="s">
        <v>8256</v>
      </c>
      <c r="C4345" s="3" t="s">
        <v>5</v>
      </c>
    </row>
    <row r="4346" spans="1:3" ht="26.25" thickBot="1">
      <c r="A4346" s="6" t="s">
        <v>8257</v>
      </c>
      <c r="B4346" s="5" t="s">
        <v>8258</v>
      </c>
      <c r="C4346" s="3" t="s">
        <v>5</v>
      </c>
    </row>
    <row r="4347" spans="1:3" ht="15.75" thickBot="1">
      <c r="A4347" s="6" t="s">
        <v>8259</v>
      </c>
      <c r="B4347" s="5" t="s">
        <v>8260</v>
      </c>
      <c r="C4347" s="3" t="s">
        <v>5</v>
      </c>
    </row>
    <row r="4348" spans="1:3" ht="15.75" thickBot="1">
      <c r="A4348" s="6" t="s">
        <v>8261</v>
      </c>
      <c r="B4348" s="5" t="s">
        <v>8262</v>
      </c>
      <c r="C4348" s="3" t="s">
        <v>5</v>
      </c>
    </row>
    <row r="4349" spans="1:3" ht="15.75" thickBot="1">
      <c r="A4349" s="6" t="s">
        <v>8263</v>
      </c>
      <c r="B4349" s="5" t="s">
        <v>8264</v>
      </c>
      <c r="C4349" s="3" t="s">
        <v>5</v>
      </c>
    </row>
    <row r="4350" spans="1:3" ht="15.75" thickBot="1">
      <c r="A4350" s="6" t="s">
        <v>8265</v>
      </c>
      <c r="B4350" s="5" t="s">
        <v>8266</v>
      </c>
      <c r="C4350" s="3" t="s">
        <v>5</v>
      </c>
    </row>
    <row r="4351" spans="1:3" ht="15.75" thickBot="1">
      <c r="A4351" s="6" t="s">
        <v>8267</v>
      </c>
      <c r="B4351" s="5" t="s">
        <v>8268</v>
      </c>
      <c r="C4351" s="3" t="s">
        <v>5</v>
      </c>
    </row>
    <row r="4352" spans="1:3" ht="15.75" thickBot="1">
      <c r="A4352" s="6" t="s">
        <v>8269</v>
      </c>
      <c r="B4352" s="5" t="s">
        <v>8268</v>
      </c>
      <c r="C4352" s="3" t="s">
        <v>5</v>
      </c>
    </row>
    <row r="4353" spans="1:3" ht="15.75" thickBot="1">
      <c r="A4353" s="6" t="s">
        <v>8270</v>
      </c>
      <c r="B4353" s="5" t="s">
        <v>8271</v>
      </c>
      <c r="C4353" s="3" t="s">
        <v>5</v>
      </c>
    </row>
    <row r="4354" spans="1:3" ht="15.75" thickBot="1">
      <c r="A4354" s="6" t="s">
        <v>8272</v>
      </c>
      <c r="B4354" s="5" t="s">
        <v>8273</v>
      </c>
      <c r="C4354" s="3" t="s">
        <v>5</v>
      </c>
    </row>
    <row r="4355" spans="1:3" ht="15.75" thickBot="1">
      <c r="A4355" s="6" t="s">
        <v>8274</v>
      </c>
      <c r="B4355" s="5" t="s">
        <v>8275</v>
      </c>
      <c r="C4355" s="3" t="s">
        <v>5</v>
      </c>
    </row>
    <row r="4356" spans="1:3" ht="15.75" thickBot="1">
      <c r="A4356" s="6" t="s">
        <v>8276</v>
      </c>
      <c r="B4356" s="5" t="s">
        <v>8277</v>
      </c>
      <c r="C4356" s="3" t="s">
        <v>5</v>
      </c>
    </row>
    <row r="4357" spans="1:3" ht="15.75" thickBot="1">
      <c r="A4357" s="6" t="s">
        <v>8278</v>
      </c>
      <c r="B4357" s="5" t="s">
        <v>8279</v>
      </c>
      <c r="C4357" s="3" t="s">
        <v>5</v>
      </c>
    </row>
    <row r="4358" spans="1:3" ht="15.75" thickBot="1">
      <c r="A4358" s="6" t="s">
        <v>8280</v>
      </c>
      <c r="B4358" s="5" t="s">
        <v>8281</v>
      </c>
      <c r="C4358" s="3" t="s">
        <v>5</v>
      </c>
    </row>
    <row r="4359" spans="1:3" ht="15.75" thickBot="1">
      <c r="A4359" s="6" t="s">
        <v>8282</v>
      </c>
      <c r="B4359" s="5" t="s">
        <v>8283</v>
      </c>
      <c r="C4359" s="3" t="s">
        <v>5</v>
      </c>
    </row>
    <row r="4360" spans="1:3" ht="15.75" thickBot="1">
      <c r="A4360" s="6" t="s">
        <v>8284</v>
      </c>
      <c r="B4360" s="5" t="s">
        <v>8285</v>
      </c>
      <c r="C4360" s="3" t="s">
        <v>5</v>
      </c>
    </row>
    <row r="4361" spans="1:3" ht="15.75" thickBot="1">
      <c r="A4361" s="6" t="s">
        <v>8286</v>
      </c>
      <c r="B4361" s="5" t="s">
        <v>8287</v>
      </c>
      <c r="C4361" s="3" t="s">
        <v>5</v>
      </c>
    </row>
    <row r="4362" spans="1:3" ht="15.75" thickBot="1">
      <c r="A4362" s="6" t="s">
        <v>8288</v>
      </c>
      <c r="B4362" s="5" t="s">
        <v>8289</v>
      </c>
      <c r="C4362" s="3" t="s">
        <v>5</v>
      </c>
    </row>
    <row r="4363" spans="1:3" ht="15.75" thickBot="1">
      <c r="A4363" s="6" t="s">
        <v>8290</v>
      </c>
      <c r="B4363" s="5" t="s">
        <v>8291</v>
      </c>
      <c r="C4363" s="3" t="s">
        <v>5</v>
      </c>
    </row>
    <row r="4364" spans="1:3" ht="15.75" thickBot="1">
      <c r="A4364" s="6" t="s">
        <v>8292</v>
      </c>
      <c r="B4364" s="5" t="s">
        <v>8293</v>
      </c>
      <c r="C4364" s="3" t="s">
        <v>5</v>
      </c>
    </row>
    <row r="4365" spans="1:3" ht="15.75" thickBot="1">
      <c r="A4365" s="6" t="s">
        <v>8294</v>
      </c>
      <c r="B4365" s="5" t="s">
        <v>8295</v>
      </c>
      <c r="C4365" s="3" t="s">
        <v>5</v>
      </c>
    </row>
    <row r="4366" spans="1:3" ht="15.75" thickBot="1">
      <c r="A4366" s="6" t="s">
        <v>8296</v>
      </c>
      <c r="B4366" s="5" t="s">
        <v>8297</v>
      </c>
      <c r="C4366" s="3" t="s">
        <v>5</v>
      </c>
    </row>
    <row r="4367" spans="1:3" ht="15.75" thickBot="1">
      <c r="A4367" s="6" t="s">
        <v>8298</v>
      </c>
      <c r="B4367" s="5" t="s">
        <v>8299</v>
      </c>
      <c r="C4367" s="3" t="s">
        <v>5</v>
      </c>
    </row>
    <row r="4368" spans="1:3" ht="15.75" thickBot="1">
      <c r="A4368" s="6" t="s">
        <v>8300</v>
      </c>
      <c r="B4368" s="5" t="s">
        <v>8301</v>
      </c>
      <c r="C4368" s="3" t="s">
        <v>5</v>
      </c>
    </row>
    <row r="4369" spans="1:3" ht="15.75" thickBot="1">
      <c r="A4369" s="6" t="s">
        <v>8302</v>
      </c>
      <c r="B4369" s="5" t="s">
        <v>8303</v>
      </c>
      <c r="C4369" s="3" t="s">
        <v>5</v>
      </c>
    </row>
    <row r="4370" spans="1:3">
      <c r="A4370" s="1" t="s">
        <v>8304</v>
      </c>
      <c r="B4370" s="2" t="s">
        <v>8305</v>
      </c>
      <c r="C4370" s="3" t="s">
        <v>5</v>
      </c>
    </row>
    <row r="4371" spans="1:3" ht="15.75" thickBot="1">
      <c r="A4371" s="4"/>
      <c r="B4371" s="5" t="e">
        <f xml:space="preserve"> interpolar space</f>
        <v>#NAME?</v>
      </c>
      <c r="C4371" s="3" t="s">
        <v>5</v>
      </c>
    </row>
    <row r="4372" spans="1:3" ht="15.75" thickBot="1">
      <c r="A4372" s="6" t="s">
        <v>8306</v>
      </c>
      <c r="B4372" s="5" t="s">
        <v>8307</v>
      </c>
      <c r="C4372" s="3" t="s">
        <v>5</v>
      </c>
    </row>
    <row r="4373" spans="1:3" ht="15.75" thickBot="1">
      <c r="A4373" s="6" t="s">
        <v>8308</v>
      </c>
      <c r="B4373" s="5" t="s">
        <v>8309</v>
      </c>
      <c r="C4373" s="3" t="s">
        <v>5</v>
      </c>
    </row>
    <row r="4374" spans="1:3" ht="15.75" thickBot="1">
      <c r="A4374" s="6" t="s">
        <v>8310</v>
      </c>
      <c r="B4374" s="5" t="s">
        <v>8311</v>
      </c>
      <c r="C4374" s="3" t="s">
        <v>5</v>
      </c>
    </row>
    <row r="4375" spans="1:3" ht="15.75" thickBot="1">
      <c r="A4375" s="6" t="s">
        <v>8312</v>
      </c>
      <c r="B4375" s="5" t="s">
        <v>8313</v>
      </c>
      <c r="C4375" s="3" t="s">
        <v>5</v>
      </c>
    </row>
    <row r="4376" spans="1:3" ht="15.75" thickBot="1">
      <c r="A4376" s="6" t="s">
        <v>8314</v>
      </c>
      <c r="B4376" s="5" t="s">
        <v>8315</v>
      </c>
      <c r="C4376" s="3" t="s">
        <v>5</v>
      </c>
    </row>
    <row r="4377" spans="1:3" ht="15.75" thickBot="1">
      <c r="A4377" s="6" t="s">
        <v>8316</v>
      </c>
      <c r="B4377" s="5" t="s">
        <v>8317</v>
      </c>
      <c r="C4377" s="3" t="s">
        <v>5</v>
      </c>
    </row>
    <row r="4378" spans="1:3" ht="15.75" thickBot="1">
      <c r="A4378" s="6" t="s">
        <v>8318</v>
      </c>
      <c r="B4378" s="5" t="s">
        <v>8319</v>
      </c>
      <c r="C4378" s="3" t="s">
        <v>5</v>
      </c>
    </row>
    <row r="4379" spans="1:3" ht="15.75" thickBot="1">
      <c r="A4379" s="6" t="s">
        <v>8320</v>
      </c>
      <c r="B4379" s="5" t="s">
        <v>8321</v>
      </c>
      <c r="C4379" s="3" t="s">
        <v>5</v>
      </c>
    </row>
    <row r="4380" spans="1:3" ht="15.75" thickBot="1">
      <c r="A4380" s="6" t="s">
        <v>8322</v>
      </c>
      <c r="B4380" s="5" t="s">
        <v>8323</v>
      </c>
      <c r="C4380" s="3" t="s">
        <v>5</v>
      </c>
    </row>
    <row r="4381" spans="1:3">
      <c r="A4381" s="1" t="s">
        <v>8324</v>
      </c>
      <c r="B4381" s="2" t="s">
        <v>8325</v>
      </c>
      <c r="C4381" s="3" t="s">
        <v>5</v>
      </c>
    </row>
    <row r="4382" spans="1:3" ht="15.75" thickBot="1">
      <c r="A4382" s="4"/>
      <c r="B4382" s="5" t="s">
        <v>8326</v>
      </c>
      <c r="C4382" s="3" t="s">
        <v>5</v>
      </c>
    </row>
    <row r="4383" spans="1:3" ht="15.75" thickBot="1">
      <c r="A4383" s="6" t="s">
        <v>8327</v>
      </c>
      <c r="B4383" s="5" t="s">
        <v>8328</v>
      </c>
      <c r="C4383" s="3" t="s">
        <v>5</v>
      </c>
    </row>
    <row r="4384" spans="1:3" ht="15.75" thickBot="1">
      <c r="A4384" s="6" t="s">
        <v>8329</v>
      </c>
      <c r="B4384" s="5" t="s">
        <v>8330</v>
      </c>
      <c r="C4384" s="3" t="s">
        <v>5</v>
      </c>
    </row>
    <row r="4385" spans="1:3" ht="15.75" thickBot="1">
      <c r="A4385" s="6" t="s">
        <v>8331</v>
      </c>
      <c r="B4385" s="5" t="s">
        <v>8332</v>
      </c>
      <c r="C4385" s="3" t="s">
        <v>5</v>
      </c>
    </row>
    <row r="4386" spans="1:3" ht="15.75" thickBot="1">
      <c r="A4386" s="6" t="s">
        <v>8333</v>
      </c>
      <c r="B4386" s="5" t="s">
        <v>8334</v>
      </c>
      <c r="C4386" s="3" t="s">
        <v>5</v>
      </c>
    </row>
    <row r="4387" spans="1:3" ht="15.75" thickBot="1">
      <c r="A4387" s="6" t="s">
        <v>8335</v>
      </c>
      <c r="B4387" s="5" t="s">
        <v>8336</v>
      </c>
      <c r="C4387" s="3" t="s">
        <v>5</v>
      </c>
    </row>
    <row r="4388" spans="1:3" ht="15.75" thickBot="1">
      <c r="A4388" s="6" t="s">
        <v>8337</v>
      </c>
      <c r="B4388" s="5" t="s">
        <v>8338</v>
      </c>
      <c r="C4388" s="3" t="s">
        <v>5</v>
      </c>
    </row>
    <row r="4389" spans="1:3" ht="15.75" thickBot="1">
      <c r="A4389" s="6" t="s">
        <v>8339</v>
      </c>
      <c r="B4389" s="5" t="s">
        <v>8340</v>
      </c>
      <c r="C4389" s="3" t="s">
        <v>5</v>
      </c>
    </row>
    <row r="4390" spans="1:3" ht="15.75" thickBot="1">
      <c r="A4390" s="6" t="s">
        <v>8341</v>
      </c>
      <c r="B4390" s="5" t="s">
        <v>8342</v>
      </c>
      <c r="C4390" s="3" t="s">
        <v>5</v>
      </c>
    </row>
    <row r="4391" spans="1:3" ht="15.75" thickBot="1">
      <c r="A4391" s="6" t="s">
        <v>8343</v>
      </c>
      <c r="B4391" s="5" t="s">
        <v>8344</v>
      </c>
      <c r="C4391" s="3" t="s">
        <v>5</v>
      </c>
    </row>
    <row r="4392" spans="1:3" ht="15.75" thickBot="1">
      <c r="A4392" s="6" t="s">
        <v>8345</v>
      </c>
      <c r="B4392" s="5" t="s">
        <v>8346</v>
      </c>
      <c r="C4392" s="3" t="s">
        <v>5</v>
      </c>
    </row>
    <row r="4393" spans="1:3" ht="15.75" thickBot="1">
      <c r="A4393" s="6" t="s">
        <v>8347</v>
      </c>
      <c r="B4393" s="5" t="s">
        <v>8348</v>
      </c>
      <c r="C4393" s="3" t="s">
        <v>5</v>
      </c>
    </row>
    <row r="4394" spans="1:3" ht="15.75" thickBot="1">
      <c r="A4394" s="6" t="s">
        <v>8349</v>
      </c>
      <c r="B4394" s="5" t="s">
        <v>8350</v>
      </c>
      <c r="C4394" s="3" t="s">
        <v>5</v>
      </c>
    </row>
    <row r="4395" spans="1:3" ht="15.75" thickBot="1">
      <c r="A4395" s="6" t="s">
        <v>8351</v>
      </c>
      <c r="B4395" s="5" t="s">
        <v>8352</v>
      </c>
      <c r="C4395" s="3" t="s">
        <v>5</v>
      </c>
    </row>
    <row r="4396" spans="1:3" ht="15.75" thickBot="1">
      <c r="A4396" s="6" t="s">
        <v>8353</v>
      </c>
      <c r="B4396" s="5" t="s">
        <v>8354</v>
      </c>
      <c r="C4396" s="3" t="s">
        <v>5</v>
      </c>
    </row>
    <row r="4397" spans="1:3" ht="15.75" thickBot="1">
      <c r="A4397" s="6" t="s">
        <v>8355</v>
      </c>
      <c r="B4397" s="5" t="s">
        <v>8356</v>
      </c>
      <c r="C4397" s="3" t="s">
        <v>5</v>
      </c>
    </row>
    <row r="4398" spans="1:3" ht="15.75" thickBot="1">
      <c r="A4398" s="6" t="s">
        <v>8357</v>
      </c>
      <c r="B4398" s="5" t="s">
        <v>8358</v>
      </c>
      <c r="C4398" s="3" t="s">
        <v>5</v>
      </c>
    </row>
    <row r="4399" spans="1:3" ht="15.75" thickBot="1">
      <c r="A4399" s="6" t="s">
        <v>8359</v>
      </c>
      <c r="B4399" s="5" t="s">
        <v>8360</v>
      </c>
      <c r="C4399" s="3" t="s">
        <v>5</v>
      </c>
    </row>
    <row r="4400" spans="1:3" ht="15.75" thickBot="1">
      <c r="A4400" s="6" t="s">
        <v>8361</v>
      </c>
      <c r="B4400" s="5" t="s">
        <v>8362</v>
      </c>
      <c r="C4400" s="3" t="s">
        <v>5</v>
      </c>
    </row>
    <row r="4401" spans="1:3" ht="15.75" thickBot="1">
      <c r="A4401" s="6" t="s">
        <v>8363</v>
      </c>
      <c r="B4401" s="5" t="s">
        <v>8364</v>
      </c>
      <c r="C4401" s="3" t="s">
        <v>5</v>
      </c>
    </row>
    <row r="4402" spans="1:3" ht="15.75" thickBot="1">
      <c r="A4402" s="6" t="s">
        <v>8365</v>
      </c>
      <c r="B4402" s="5" t="s">
        <v>8366</v>
      </c>
      <c r="C4402" s="3" t="s">
        <v>5</v>
      </c>
    </row>
    <row r="4403" spans="1:3" ht="15.75" thickBot="1">
      <c r="A4403" s="6" t="s">
        <v>8367</v>
      </c>
      <c r="B4403" s="5" t="s">
        <v>8368</v>
      </c>
      <c r="C4403" s="3" t="s">
        <v>5</v>
      </c>
    </row>
    <row r="4404" spans="1:3" ht="15.75" thickBot="1">
      <c r="A4404" s="6" t="s">
        <v>8369</v>
      </c>
      <c r="B4404" s="5" t="s">
        <v>8370</v>
      </c>
      <c r="C4404" s="3" t="s">
        <v>5</v>
      </c>
    </row>
    <row r="4405" spans="1:3" ht="15.75" thickBot="1">
      <c r="A4405" s="6" t="s">
        <v>8369</v>
      </c>
      <c r="B4405" s="5" t="s">
        <v>8370</v>
      </c>
      <c r="C4405" s="3" t="s">
        <v>5</v>
      </c>
    </row>
    <row r="4406" spans="1:3" ht="15.75" thickBot="1">
      <c r="A4406" s="6" t="s">
        <v>8371</v>
      </c>
      <c r="B4406" s="5" t="s">
        <v>8372</v>
      </c>
      <c r="C4406" s="3" t="s">
        <v>5</v>
      </c>
    </row>
    <row r="4407" spans="1:3" ht="15.75" thickBot="1">
      <c r="A4407" s="6" t="s">
        <v>8373</v>
      </c>
      <c r="B4407" s="5" t="s">
        <v>8374</v>
      </c>
      <c r="C4407" s="3" t="s">
        <v>5</v>
      </c>
    </row>
    <row r="4408" spans="1:3" ht="15.75" thickBot="1">
      <c r="A4408" s="6" t="s">
        <v>8375</v>
      </c>
      <c r="B4408" s="5" t="s">
        <v>8376</v>
      </c>
      <c r="C4408" s="3" t="s">
        <v>5</v>
      </c>
    </row>
    <row r="4409" spans="1:3" ht="15.75" thickBot="1">
      <c r="A4409" s="6" t="s">
        <v>8377</v>
      </c>
      <c r="B4409" s="5" t="s">
        <v>8378</v>
      </c>
      <c r="C4409" s="3" t="s">
        <v>5</v>
      </c>
    </row>
    <row r="4410" spans="1:3" ht="15.75" thickBot="1">
      <c r="A4410" s="6" t="s">
        <v>8379</v>
      </c>
      <c r="B4410" s="5" t="s">
        <v>8380</v>
      </c>
      <c r="C4410" s="3" t="s">
        <v>5</v>
      </c>
    </row>
    <row r="4411" spans="1:3" ht="15.75" thickBot="1">
      <c r="A4411" s="6" t="s">
        <v>8379</v>
      </c>
      <c r="B4411" s="5" t="s">
        <v>8380</v>
      </c>
      <c r="C4411" s="3" t="s">
        <v>5</v>
      </c>
    </row>
    <row r="4412" spans="1:3" ht="15.75" thickBot="1">
      <c r="A4412" s="6" t="s">
        <v>8381</v>
      </c>
      <c r="B4412" s="5" t="s">
        <v>8382</v>
      </c>
      <c r="C4412" s="3" t="s">
        <v>5</v>
      </c>
    </row>
    <row r="4413" spans="1:3" ht="15.75" thickBot="1">
      <c r="A4413" s="6" t="s">
        <v>8381</v>
      </c>
      <c r="B4413" s="5" t="s">
        <v>8382</v>
      </c>
      <c r="C4413" s="3" t="s">
        <v>5</v>
      </c>
    </row>
    <row r="4414" spans="1:3" ht="15.75" thickBot="1">
      <c r="A4414" s="6" t="s">
        <v>8383</v>
      </c>
      <c r="B4414" s="5" t="s">
        <v>8384</v>
      </c>
      <c r="C4414" s="3" t="s">
        <v>5</v>
      </c>
    </row>
    <row r="4415" spans="1:3" ht="15.75" thickBot="1">
      <c r="A4415" s="6" t="s">
        <v>8383</v>
      </c>
      <c r="B4415" s="5" t="s">
        <v>8384</v>
      </c>
      <c r="C4415" s="3" t="s">
        <v>5</v>
      </c>
    </row>
    <row r="4416" spans="1:3" ht="15.75" thickBot="1">
      <c r="A4416" s="6" t="s">
        <v>8385</v>
      </c>
      <c r="B4416" s="5" t="s">
        <v>8386</v>
      </c>
      <c r="C4416" s="3" t="s">
        <v>5</v>
      </c>
    </row>
    <row r="4417" spans="1:3">
      <c r="A4417" s="1" t="s">
        <v>8387</v>
      </c>
      <c r="B4417" s="2" t="s">
        <v>8388</v>
      </c>
      <c r="C4417" s="3" t="s">
        <v>5</v>
      </c>
    </row>
    <row r="4418" spans="1:3" ht="15.75" thickBot="1">
      <c r="A4418" s="4"/>
      <c r="B4418" s="5" t="s">
        <v>8389</v>
      </c>
      <c r="C4418" s="3" t="s">
        <v>5</v>
      </c>
    </row>
    <row r="4419" spans="1:3" ht="15.75" thickBot="1">
      <c r="A4419" s="6" t="s">
        <v>8390</v>
      </c>
      <c r="B4419" s="5" t="s">
        <v>8391</v>
      </c>
      <c r="C4419" s="3" t="s">
        <v>5</v>
      </c>
    </row>
    <row r="4420" spans="1:3" ht="15.75" thickBot="1">
      <c r="A4420" s="6" t="s">
        <v>8392</v>
      </c>
      <c r="B4420" s="5" t="s">
        <v>8393</v>
      </c>
      <c r="C4420" s="3" t="s">
        <v>5</v>
      </c>
    </row>
    <row r="4421" spans="1:3" ht="15.75" thickBot="1">
      <c r="A4421" s="6" t="s">
        <v>8394</v>
      </c>
      <c r="B4421" s="5" t="s">
        <v>8395</v>
      </c>
      <c r="C4421" s="3" t="s">
        <v>5</v>
      </c>
    </row>
    <row r="4422" spans="1:3" ht="15.75" thickBot="1">
      <c r="A4422" s="6" t="s">
        <v>8396</v>
      </c>
      <c r="B4422" s="5" t="s">
        <v>8397</v>
      </c>
      <c r="C4422" s="3" t="s">
        <v>5</v>
      </c>
    </row>
    <row r="4423" spans="1:3" ht="15.75" thickBot="1">
      <c r="A4423" s="6" t="s">
        <v>8398</v>
      </c>
      <c r="B4423" s="5" t="s">
        <v>8399</v>
      </c>
      <c r="C4423" s="3" t="s">
        <v>5</v>
      </c>
    </row>
    <row r="4424" spans="1:3" ht="15.75" thickBot="1">
      <c r="A4424" s="6" t="s">
        <v>8400</v>
      </c>
      <c r="B4424" s="5" t="s">
        <v>8401</v>
      </c>
      <c r="C4424" s="3" t="s">
        <v>5</v>
      </c>
    </row>
    <row r="4425" spans="1:3" ht="15.75" thickBot="1">
      <c r="A4425" s="6" t="s">
        <v>8402</v>
      </c>
      <c r="B4425" s="5" t="s">
        <v>8403</v>
      </c>
      <c r="C4425" s="3" t="s">
        <v>5</v>
      </c>
    </row>
    <row r="4426" spans="1:3" ht="15.75" thickBot="1">
      <c r="A4426" s="6" t="s">
        <v>8404</v>
      </c>
      <c r="B4426" s="5" t="s">
        <v>8405</v>
      </c>
      <c r="C4426" s="3" t="s">
        <v>5</v>
      </c>
    </row>
    <row r="4427" spans="1:3" ht="15.75" thickBot="1">
      <c r="A4427" s="6" t="s">
        <v>8406</v>
      </c>
      <c r="B4427" s="5" t="s">
        <v>8407</v>
      </c>
      <c r="C4427" s="3" t="s">
        <v>5</v>
      </c>
    </row>
    <row r="4428" spans="1:3" ht="15.75" thickBot="1">
      <c r="A4428" s="6" t="s">
        <v>8408</v>
      </c>
      <c r="B4428" s="5" t="s">
        <v>8409</v>
      </c>
      <c r="C4428" s="3" t="s">
        <v>5</v>
      </c>
    </row>
    <row r="4429" spans="1:3" ht="15.75" thickBot="1">
      <c r="A4429" s="6" t="s">
        <v>8410</v>
      </c>
      <c r="B4429" s="5" t="s">
        <v>8411</v>
      </c>
      <c r="C4429" s="3" t="s">
        <v>5</v>
      </c>
    </row>
    <row r="4430" spans="1:3" ht="15.75" thickBot="1">
      <c r="A4430" s="6" t="s">
        <v>8412</v>
      </c>
      <c r="B4430" s="5" t="s">
        <v>8413</v>
      </c>
      <c r="C4430" s="3" t="s">
        <v>5</v>
      </c>
    </row>
    <row r="4431" spans="1:3" ht="15.75" thickBot="1">
      <c r="A4431" s="6" t="s">
        <v>8414</v>
      </c>
      <c r="B4431" s="5" t="s">
        <v>8415</v>
      </c>
      <c r="C4431" s="3" t="s">
        <v>5</v>
      </c>
    </row>
    <row r="4432" spans="1:3" ht="15.75" thickBot="1">
      <c r="A4432" s="6" t="s">
        <v>8416</v>
      </c>
      <c r="B4432" s="5" t="s">
        <v>8417</v>
      </c>
      <c r="C4432" s="3" t="s">
        <v>5</v>
      </c>
    </row>
    <row r="4433" spans="1:3" ht="15.75" thickBot="1">
      <c r="A4433" s="6" t="s">
        <v>8418</v>
      </c>
      <c r="B4433" s="5" t="s">
        <v>8419</v>
      </c>
      <c r="C4433" s="3" t="s">
        <v>5</v>
      </c>
    </row>
    <row r="4434" spans="1:3" ht="15.75" thickBot="1">
      <c r="A4434" s="6" t="s">
        <v>8420</v>
      </c>
      <c r="B4434" s="5" t="s">
        <v>8421</v>
      </c>
      <c r="C4434" s="3" t="s">
        <v>5</v>
      </c>
    </row>
    <row r="4435" spans="1:3" ht="15.75" thickBot="1">
      <c r="A4435" s="6" t="s">
        <v>8422</v>
      </c>
      <c r="B4435" s="5" t="s">
        <v>8423</v>
      </c>
      <c r="C4435" s="3" t="s">
        <v>5</v>
      </c>
    </row>
    <row r="4436" spans="1:3" ht="15.75" thickBot="1">
      <c r="A4436" s="6" t="s">
        <v>8424</v>
      </c>
      <c r="B4436" s="5" t="s">
        <v>8425</v>
      </c>
      <c r="C4436" s="3" t="s">
        <v>5</v>
      </c>
    </row>
    <row r="4437" spans="1:3" ht="15.75" thickBot="1">
      <c r="A4437" s="6" t="s">
        <v>8426</v>
      </c>
      <c r="B4437" s="5" t="s">
        <v>8427</v>
      </c>
      <c r="C4437" s="3" t="s">
        <v>5</v>
      </c>
    </row>
    <row r="4438" spans="1:3" ht="15.75" thickBot="1">
      <c r="A4438" s="6" t="s">
        <v>8428</v>
      </c>
      <c r="B4438" s="5" t="s">
        <v>8429</v>
      </c>
      <c r="C4438" s="3" t="s">
        <v>5</v>
      </c>
    </row>
    <row r="4439" spans="1:3" ht="15.75" thickBot="1">
      <c r="A4439" s="6" t="s">
        <v>8430</v>
      </c>
      <c r="B4439" s="5" t="s">
        <v>8431</v>
      </c>
      <c r="C4439" s="3" t="s">
        <v>5</v>
      </c>
    </row>
    <row r="4440" spans="1:3" ht="15.75" thickBot="1">
      <c r="A4440" s="6" t="s">
        <v>8432</v>
      </c>
      <c r="B4440" s="5" t="s">
        <v>8433</v>
      </c>
      <c r="C4440" s="3" t="s">
        <v>5</v>
      </c>
    </row>
    <row r="4441" spans="1:3" ht="15.75" thickBot="1">
      <c r="A4441" s="6" t="s">
        <v>8434</v>
      </c>
      <c r="B4441" s="5" t="s">
        <v>8435</v>
      </c>
      <c r="C4441" s="3" t="s">
        <v>5</v>
      </c>
    </row>
    <row r="4442" spans="1:3" ht="15.75" thickBot="1">
      <c r="A4442" s="6" t="s">
        <v>8436</v>
      </c>
      <c r="B4442" s="5" t="s">
        <v>8437</v>
      </c>
      <c r="C4442" s="3" t="s">
        <v>5</v>
      </c>
    </row>
    <row r="4443" spans="1:3" ht="15.75" thickBot="1">
      <c r="A4443" s="6" t="s">
        <v>8438</v>
      </c>
      <c r="B4443" s="5" t="s">
        <v>8439</v>
      </c>
      <c r="C4443" s="3" t="s">
        <v>5</v>
      </c>
    </row>
    <row r="4444" spans="1:3" ht="15.75" thickBot="1">
      <c r="A4444" s="6" t="s">
        <v>8440</v>
      </c>
      <c r="B4444" s="5" t="s">
        <v>8441</v>
      </c>
      <c r="C4444" s="3" t="s">
        <v>5</v>
      </c>
    </row>
    <row r="4445" spans="1:3" ht="15.75" thickBot="1">
      <c r="A4445" s="6" t="s">
        <v>8442</v>
      </c>
      <c r="B4445" s="5" t="s">
        <v>8443</v>
      </c>
      <c r="C4445" s="3" t="s">
        <v>5</v>
      </c>
    </row>
    <row r="4446" spans="1:3" ht="15.75" thickBot="1">
      <c r="A4446" s="6" t="s">
        <v>8444</v>
      </c>
      <c r="B4446" s="5" t="s">
        <v>8445</v>
      </c>
      <c r="C4446" s="3" t="s">
        <v>5</v>
      </c>
    </row>
    <row r="4447" spans="1:3" ht="15.75" thickBot="1">
      <c r="A4447" s="6" t="s">
        <v>8446</v>
      </c>
      <c r="B4447" s="5" t="s">
        <v>8447</v>
      </c>
      <c r="C4447" s="3" t="s">
        <v>5</v>
      </c>
    </row>
    <row r="4448" spans="1:3" ht="15.75" thickBot="1">
      <c r="A4448" s="6" t="s">
        <v>8448</v>
      </c>
      <c r="B4448" s="5" t="s">
        <v>8449</v>
      </c>
      <c r="C4448" s="3" t="s">
        <v>5</v>
      </c>
    </row>
    <row r="4449" spans="1:3" ht="15.75" thickBot="1">
      <c r="A4449" s="6" t="s">
        <v>8450</v>
      </c>
      <c r="B4449" s="5" t="s">
        <v>8451</v>
      </c>
      <c r="C4449" s="3" t="s">
        <v>5</v>
      </c>
    </row>
    <row r="4450" spans="1:3" ht="15.75" thickBot="1">
      <c r="A4450" s="6" t="s">
        <v>8452</v>
      </c>
      <c r="B4450" s="5" t="s">
        <v>8453</v>
      </c>
      <c r="C4450" s="3" t="s">
        <v>5</v>
      </c>
    </row>
    <row r="4451" spans="1:3" ht="15.75" thickBot="1">
      <c r="A4451" s="6" t="s">
        <v>8454</v>
      </c>
      <c r="B4451" s="5" t="s">
        <v>8455</v>
      </c>
      <c r="C4451" s="3" t="s">
        <v>5</v>
      </c>
    </row>
    <row r="4452" spans="1:3" ht="15.75" thickBot="1">
      <c r="A4452" s="6" t="s">
        <v>8456</v>
      </c>
      <c r="B4452" s="5" t="s">
        <v>8457</v>
      </c>
      <c r="C4452" s="3" t="s">
        <v>5</v>
      </c>
    </row>
    <row r="4453" spans="1:3" ht="15.75" thickBot="1">
      <c r="A4453" s="6" t="s">
        <v>8458</v>
      </c>
      <c r="B4453" s="5" t="s">
        <v>8459</v>
      </c>
      <c r="C4453" s="3" t="s">
        <v>5</v>
      </c>
    </row>
    <row r="4454" spans="1:3" ht="15.75" thickBot="1">
      <c r="A4454" s="6" t="s">
        <v>8460</v>
      </c>
      <c r="B4454" s="5" t="s">
        <v>8461</v>
      </c>
      <c r="C4454" s="3" t="s">
        <v>5</v>
      </c>
    </row>
    <row r="4455" spans="1:3" ht="15.75" thickBot="1">
      <c r="A4455" s="6" t="s">
        <v>8462</v>
      </c>
      <c r="B4455" s="5" t="s">
        <v>8463</v>
      </c>
      <c r="C4455" s="3" t="s">
        <v>5</v>
      </c>
    </row>
    <row r="4456" spans="1:3" ht="15.75" thickBot="1">
      <c r="A4456" s="6" t="s">
        <v>8464</v>
      </c>
      <c r="B4456" s="5" t="s">
        <v>8465</v>
      </c>
      <c r="C4456" s="3" t="s">
        <v>5</v>
      </c>
    </row>
    <row r="4457" spans="1:3" ht="15.75" thickBot="1">
      <c r="A4457" s="6" t="s">
        <v>8466</v>
      </c>
      <c r="B4457" s="5" t="s">
        <v>8467</v>
      </c>
      <c r="C4457" s="3" t="s">
        <v>5</v>
      </c>
    </row>
    <row r="4458" spans="1:3" ht="15.75" thickBot="1">
      <c r="A4458" s="6" t="s">
        <v>8468</v>
      </c>
      <c r="B4458" s="5" t="s">
        <v>8469</v>
      </c>
      <c r="C4458" s="3" t="s">
        <v>5</v>
      </c>
    </row>
    <row r="4459" spans="1:3" ht="15.75" thickBot="1">
      <c r="A4459" s="6" t="s">
        <v>8470</v>
      </c>
      <c r="B4459" s="5" t="s">
        <v>8471</v>
      </c>
      <c r="C4459" s="3" t="s">
        <v>5</v>
      </c>
    </row>
    <row r="4460" spans="1:3" ht="15.75" thickBot="1">
      <c r="A4460" s="6" t="s">
        <v>8472</v>
      </c>
      <c r="B4460" s="5" t="s">
        <v>8473</v>
      </c>
      <c r="C4460" s="3" t="s">
        <v>5</v>
      </c>
    </row>
    <row r="4461" spans="1:3" ht="15.75" thickBot="1">
      <c r="A4461" s="6" t="s">
        <v>8474</v>
      </c>
      <c r="B4461" s="5" t="s">
        <v>8475</v>
      </c>
      <c r="C4461" s="3" t="s">
        <v>5</v>
      </c>
    </row>
    <row r="4462" spans="1:3" ht="15.75" thickBot="1">
      <c r="A4462" s="6" t="s">
        <v>8476</v>
      </c>
      <c r="B4462" s="5" t="s">
        <v>8477</v>
      </c>
      <c r="C4462" s="3" t="s">
        <v>5</v>
      </c>
    </row>
    <row r="4463" spans="1:3" ht="15.75" thickBot="1">
      <c r="A4463" s="6" t="s">
        <v>8478</v>
      </c>
      <c r="B4463" s="5" t="s">
        <v>8479</v>
      </c>
      <c r="C4463" s="3" t="s">
        <v>5</v>
      </c>
    </row>
    <row r="4464" spans="1:3" ht="15.75" thickBot="1">
      <c r="A4464" s="6" t="s">
        <v>8480</v>
      </c>
      <c r="B4464" s="5" t="s">
        <v>8481</v>
      </c>
      <c r="C4464" s="3" t="s">
        <v>5</v>
      </c>
    </row>
    <row r="4465" spans="1:3" ht="15.75" thickBot="1">
      <c r="A4465" s="6" t="s">
        <v>8482</v>
      </c>
      <c r="B4465" s="5" t="s">
        <v>8483</v>
      </c>
      <c r="C4465" s="3" t="s">
        <v>5</v>
      </c>
    </row>
    <row r="4466" spans="1:3" ht="15.75" thickBot="1">
      <c r="A4466" s="6" t="s">
        <v>8484</v>
      </c>
      <c r="B4466" s="5" t="s">
        <v>8485</v>
      </c>
      <c r="C4466" s="3" t="s">
        <v>5</v>
      </c>
    </row>
    <row r="4467" spans="1:3" ht="15.75" thickBot="1">
      <c r="A4467" s="6" t="s">
        <v>8486</v>
      </c>
      <c r="B4467" s="5" t="s">
        <v>8487</v>
      </c>
      <c r="C4467" s="3" t="s">
        <v>5</v>
      </c>
    </row>
    <row r="4468" spans="1:3" ht="15.75" thickBot="1">
      <c r="A4468" s="6" t="s">
        <v>8488</v>
      </c>
      <c r="B4468" s="5" t="s">
        <v>8489</v>
      </c>
      <c r="C4468" s="3" t="s">
        <v>5</v>
      </c>
    </row>
    <row r="4469" spans="1:3" ht="15.75" thickBot="1">
      <c r="A4469" s="6" t="s">
        <v>8490</v>
      </c>
      <c r="B4469" s="5" t="s">
        <v>8491</v>
      </c>
      <c r="C4469" s="3" t="s">
        <v>5</v>
      </c>
    </row>
    <row r="4470" spans="1:3" ht="15.75" thickBot="1">
      <c r="A4470" s="6" t="s">
        <v>8492</v>
      </c>
      <c r="B4470" s="5" t="s">
        <v>8493</v>
      </c>
      <c r="C4470" s="3" t="s">
        <v>5</v>
      </c>
    </row>
    <row r="4471" spans="1:3" ht="15.75" thickBot="1">
      <c r="A4471" s="6" t="s">
        <v>8494</v>
      </c>
      <c r="B4471" s="5" t="s">
        <v>8495</v>
      </c>
      <c r="C4471" s="3" t="s">
        <v>5</v>
      </c>
    </row>
    <row r="4472" spans="1:3" ht="15.75" thickBot="1">
      <c r="A4472" s="6" t="s">
        <v>8496</v>
      </c>
      <c r="B4472" s="5" t="s">
        <v>8497</v>
      </c>
      <c r="C4472" s="3" t="s">
        <v>5</v>
      </c>
    </row>
    <row r="4473" spans="1:3" ht="15.75" thickBot="1">
      <c r="A4473" s="6" t="s">
        <v>8498</v>
      </c>
      <c r="B4473" s="5" t="s">
        <v>8499</v>
      </c>
      <c r="C4473" s="3" t="s">
        <v>5</v>
      </c>
    </row>
    <row r="4474" spans="1:3" ht="15.75" thickBot="1">
      <c r="A4474" s="6" t="s">
        <v>8500</v>
      </c>
      <c r="B4474" s="5" t="s">
        <v>8501</v>
      </c>
      <c r="C4474" s="3" t="s">
        <v>5</v>
      </c>
    </row>
    <row r="4475" spans="1:3" ht="15.75" thickBot="1">
      <c r="A4475" s="6" t="s">
        <v>8502</v>
      </c>
      <c r="B4475" s="5" t="s">
        <v>8503</v>
      </c>
      <c r="C4475" s="3" t="s">
        <v>5</v>
      </c>
    </row>
    <row r="4476" spans="1:3" ht="15.75" thickBot="1">
      <c r="A4476" s="6" t="s">
        <v>8504</v>
      </c>
      <c r="B4476" s="5" t="s">
        <v>8505</v>
      </c>
      <c r="C4476" s="3" t="s">
        <v>5</v>
      </c>
    </row>
    <row r="4477" spans="1:3" ht="15.75" thickBot="1">
      <c r="A4477" s="6" t="s">
        <v>8504</v>
      </c>
      <c r="B4477" s="5" t="s">
        <v>8506</v>
      </c>
      <c r="C4477" s="3" t="s">
        <v>5</v>
      </c>
    </row>
    <row r="4478" spans="1:3" ht="15.75" thickBot="1">
      <c r="A4478" s="6" t="s">
        <v>8507</v>
      </c>
      <c r="B4478" s="5" t="s">
        <v>8508</v>
      </c>
      <c r="C4478" s="3" t="s">
        <v>5</v>
      </c>
    </row>
    <row r="4479" spans="1:3" ht="15.75" thickBot="1">
      <c r="A4479" s="6" t="s">
        <v>8509</v>
      </c>
      <c r="B4479" s="5" t="s">
        <v>8510</v>
      </c>
      <c r="C4479" s="3" t="s">
        <v>5</v>
      </c>
    </row>
    <row r="4480" spans="1:3" ht="26.25" thickBot="1">
      <c r="A4480" s="6" t="s">
        <v>8511</v>
      </c>
      <c r="B4480" s="5" t="s">
        <v>8512</v>
      </c>
      <c r="C4480" s="3" t="s">
        <v>5</v>
      </c>
    </row>
    <row r="4481" spans="1:3" ht="15.75" thickBot="1">
      <c r="A4481" s="6" t="s">
        <v>8513</v>
      </c>
      <c r="B4481" s="5" t="s">
        <v>8514</v>
      </c>
      <c r="C4481" s="3" t="s">
        <v>5</v>
      </c>
    </row>
    <row r="4482" spans="1:3" ht="15.75" thickBot="1">
      <c r="A4482" s="6" t="s">
        <v>8515</v>
      </c>
      <c r="B4482" s="5" t="s">
        <v>8516</v>
      </c>
      <c r="C4482" s="3" t="s">
        <v>5</v>
      </c>
    </row>
    <row r="4483" spans="1:3" ht="15.75" thickBot="1">
      <c r="A4483" s="6" t="s">
        <v>8517</v>
      </c>
      <c r="B4483" s="5" t="s">
        <v>8518</v>
      </c>
      <c r="C4483" s="3" t="s">
        <v>5</v>
      </c>
    </row>
    <row r="4484" spans="1:3" ht="15.75" thickBot="1">
      <c r="A4484" s="6" t="s">
        <v>8519</v>
      </c>
      <c r="B4484" s="5" t="s">
        <v>8520</v>
      </c>
      <c r="C4484" s="3" t="s">
        <v>5</v>
      </c>
    </row>
    <row r="4485" spans="1:3" ht="15.75" thickBot="1">
      <c r="A4485" s="6" t="s">
        <v>8521</v>
      </c>
      <c r="B4485" s="5" t="s">
        <v>8522</v>
      </c>
      <c r="C4485" s="3" t="s">
        <v>5</v>
      </c>
    </row>
    <row r="4486" spans="1:3" ht="15.75" thickBot="1">
      <c r="A4486" s="6" t="s">
        <v>8523</v>
      </c>
      <c r="B4486" s="5" t="s">
        <v>8524</v>
      </c>
      <c r="C4486" s="3" t="s">
        <v>5</v>
      </c>
    </row>
    <row r="4487" spans="1:3" ht="15.75" thickBot="1">
      <c r="A4487" s="6" t="s">
        <v>8525</v>
      </c>
      <c r="B4487" s="5" t="s">
        <v>8526</v>
      </c>
      <c r="C4487" s="3" t="s">
        <v>5</v>
      </c>
    </row>
    <row r="4488" spans="1:3" ht="15.75" thickBot="1">
      <c r="A4488" s="6" t="s">
        <v>8527</v>
      </c>
      <c r="B4488" s="5" t="s">
        <v>8528</v>
      </c>
      <c r="C4488" s="3" t="s">
        <v>5</v>
      </c>
    </row>
    <row r="4489" spans="1:3" ht="15.75" thickBot="1">
      <c r="A4489" s="6" t="s">
        <v>8529</v>
      </c>
      <c r="B4489" s="5" t="s">
        <v>8530</v>
      </c>
      <c r="C4489" s="3" t="s">
        <v>5</v>
      </c>
    </row>
    <row r="4490" spans="1:3" ht="15.75" thickBot="1">
      <c r="A4490" s="6" t="s">
        <v>8531</v>
      </c>
      <c r="B4490" s="5" t="s">
        <v>8532</v>
      </c>
      <c r="C4490" s="3" t="s">
        <v>5</v>
      </c>
    </row>
    <row r="4491" spans="1:3" ht="15.75" thickBot="1">
      <c r="A4491" s="6" t="s">
        <v>8533</v>
      </c>
      <c r="B4491" s="5" t="s">
        <v>8534</v>
      </c>
      <c r="C4491" s="3" t="s">
        <v>5</v>
      </c>
    </row>
    <row r="4492" spans="1:3" ht="15.75" thickBot="1">
      <c r="A4492" s="6" t="s">
        <v>8535</v>
      </c>
      <c r="B4492" s="5" t="s">
        <v>8536</v>
      </c>
      <c r="C4492" s="3" t="s">
        <v>5</v>
      </c>
    </row>
    <row r="4493" spans="1:3" ht="15.75" thickBot="1">
      <c r="A4493" s="6" t="s">
        <v>8537</v>
      </c>
      <c r="B4493" s="5" t="s">
        <v>8538</v>
      </c>
      <c r="C4493" s="3" t="s">
        <v>5</v>
      </c>
    </row>
    <row r="4494" spans="1:3" ht="15.75" thickBot="1">
      <c r="A4494" s="6" t="s">
        <v>8539</v>
      </c>
      <c r="B4494" s="5" t="s">
        <v>8540</v>
      </c>
      <c r="C4494" s="3" t="s">
        <v>5</v>
      </c>
    </row>
    <row r="4495" spans="1:3" ht="15.75" thickBot="1">
      <c r="A4495" s="6" t="s">
        <v>8539</v>
      </c>
      <c r="B4495" s="5" t="s">
        <v>8541</v>
      </c>
      <c r="C4495" s="3" t="s">
        <v>5</v>
      </c>
    </row>
    <row r="4496" spans="1:3" ht="15.75" thickBot="1">
      <c r="A4496" s="6" t="s">
        <v>8542</v>
      </c>
      <c r="B4496" s="5" t="s">
        <v>8543</v>
      </c>
      <c r="C4496" s="3" t="s">
        <v>5</v>
      </c>
    </row>
    <row r="4497" spans="1:3" ht="15.75" thickBot="1">
      <c r="A4497" s="6" t="s">
        <v>8544</v>
      </c>
      <c r="B4497" s="5" t="s">
        <v>8545</v>
      </c>
      <c r="C4497" s="3" t="s">
        <v>5</v>
      </c>
    </row>
    <row r="4498" spans="1:3" ht="15.75" thickBot="1">
      <c r="A4498" s="6" t="s">
        <v>8546</v>
      </c>
      <c r="B4498" s="5" t="s">
        <v>8547</v>
      </c>
      <c r="C4498" s="3" t="s">
        <v>5</v>
      </c>
    </row>
    <row r="4499" spans="1:3" ht="15.75" thickBot="1">
      <c r="A4499" s="6" t="s">
        <v>8548</v>
      </c>
      <c r="B4499" s="5" t="s">
        <v>8549</v>
      </c>
      <c r="C4499" s="3" t="s">
        <v>5</v>
      </c>
    </row>
    <row r="4500" spans="1:3" ht="15.75" thickBot="1">
      <c r="A4500" s="6" t="s">
        <v>8550</v>
      </c>
      <c r="B4500" s="5" t="s">
        <v>8551</v>
      </c>
      <c r="C4500" s="3" t="s">
        <v>5</v>
      </c>
    </row>
    <row r="4501" spans="1:3" ht="15.75" thickBot="1">
      <c r="A4501" s="6" t="s">
        <v>8552</v>
      </c>
      <c r="B4501" s="5" t="s">
        <v>8553</v>
      </c>
      <c r="C4501" s="3" t="s">
        <v>5</v>
      </c>
    </row>
    <row r="4502" spans="1:3" ht="15.75" thickBot="1">
      <c r="A4502" s="6" t="s">
        <v>8554</v>
      </c>
      <c r="B4502" s="5" t="s">
        <v>8555</v>
      </c>
      <c r="C4502" s="3" t="s">
        <v>5</v>
      </c>
    </row>
    <row r="4503" spans="1:3" ht="15.75" thickBot="1">
      <c r="A4503" s="6" t="s">
        <v>8556</v>
      </c>
      <c r="B4503" s="5" t="s">
        <v>8557</v>
      </c>
      <c r="C4503" s="3" t="s">
        <v>5</v>
      </c>
    </row>
    <row r="4504" spans="1:3" ht="15.75" thickBot="1">
      <c r="A4504" s="6" t="s">
        <v>8558</v>
      </c>
      <c r="B4504" s="5" t="s">
        <v>8559</v>
      </c>
      <c r="C4504" s="3" t="s">
        <v>5</v>
      </c>
    </row>
    <row r="4505" spans="1:3" ht="15.75" thickBot="1">
      <c r="A4505" s="6" t="s">
        <v>8560</v>
      </c>
      <c r="B4505" s="5" t="s">
        <v>8561</v>
      </c>
      <c r="C4505" s="3" t="s">
        <v>5</v>
      </c>
    </row>
    <row r="4506" spans="1:3" ht="15.75" thickBot="1">
      <c r="A4506" s="6" t="s">
        <v>8562</v>
      </c>
      <c r="B4506" s="5" t="s">
        <v>8563</v>
      </c>
      <c r="C4506" s="3" t="s">
        <v>5</v>
      </c>
    </row>
    <row r="4507" spans="1:3" ht="15.75" thickBot="1">
      <c r="A4507" s="6" t="s">
        <v>8564</v>
      </c>
      <c r="B4507" s="5" t="s">
        <v>8565</v>
      </c>
      <c r="C4507" s="3" t="s">
        <v>5</v>
      </c>
    </row>
    <row r="4508" spans="1:3" ht="15.75" thickBot="1">
      <c r="A4508" s="6" t="s">
        <v>8566</v>
      </c>
      <c r="B4508" s="5" t="s">
        <v>8567</v>
      </c>
      <c r="C4508" s="3" t="s">
        <v>5</v>
      </c>
    </row>
    <row r="4509" spans="1:3" ht="15.75" thickBot="1">
      <c r="A4509" s="6" t="s">
        <v>8568</v>
      </c>
      <c r="B4509" s="5" t="s">
        <v>8569</v>
      </c>
      <c r="C4509" s="3" t="s">
        <v>5</v>
      </c>
    </row>
    <row r="4510" spans="1:3" ht="15.75" thickBot="1">
      <c r="A4510" s="6" t="s">
        <v>8570</v>
      </c>
      <c r="B4510" s="5" t="s">
        <v>8571</v>
      </c>
      <c r="C4510" s="3" t="s">
        <v>5</v>
      </c>
    </row>
    <row r="4511" spans="1:3" ht="15.75" thickBot="1">
      <c r="A4511" s="6" t="s">
        <v>8572</v>
      </c>
      <c r="B4511" s="5" t="s">
        <v>8573</v>
      </c>
      <c r="C4511" s="3" t="s">
        <v>5</v>
      </c>
    </row>
    <row r="4512" spans="1:3" ht="15.75" thickBot="1">
      <c r="A4512" s="6" t="s">
        <v>8574</v>
      </c>
      <c r="B4512" s="5" t="s">
        <v>8575</v>
      </c>
      <c r="C4512" s="3" t="s">
        <v>5</v>
      </c>
    </row>
    <row r="4513" spans="1:3" ht="15.75" thickBot="1">
      <c r="A4513" s="6" t="s">
        <v>8576</v>
      </c>
      <c r="B4513" s="5" t="s">
        <v>8577</v>
      </c>
      <c r="C4513" s="3" t="s">
        <v>5</v>
      </c>
    </row>
    <row r="4514" spans="1:3" ht="15.75" thickBot="1">
      <c r="A4514" s="6" t="s">
        <v>8578</v>
      </c>
      <c r="B4514" s="5" t="s">
        <v>8579</v>
      </c>
      <c r="C4514" s="3" t="s">
        <v>5</v>
      </c>
    </row>
    <row r="4515" spans="1:3" ht="15.75" thickBot="1">
      <c r="A4515" s="6" t="s">
        <v>8580</v>
      </c>
      <c r="B4515" s="5" t="s">
        <v>8581</v>
      </c>
      <c r="C4515" s="3" t="s">
        <v>5</v>
      </c>
    </row>
    <row r="4516" spans="1:3" ht="15.75" thickBot="1">
      <c r="A4516" s="6" t="s">
        <v>8582</v>
      </c>
      <c r="B4516" s="5" t="s">
        <v>8583</v>
      </c>
      <c r="C4516" s="3" t="s">
        <v>5</v>
      </c>
    </row>
    <row r="4517" spans="1:3" ht="15.75" thickBot="1">
      <c r="A4517" s="6" t="s">
        <v>8584</v>
      </c>
      <c r="B4517" s="5" t="e">
        <f xml:space="preserve"> excitation arc</f>
        <v>#NAME?</v>
      </c>
      <c r="C4517" s="3" t="s">
        <v>5</v>
      </c>
    </row>
    <row r="4518" spans="1:3" ht="15.75" thickBot="1">
      <c r="A4518" s="6" t="s">
        <v>8585</v>
      </c>
      <c r="B4518" s="5" t="s">
        <v>8586</v>
      </c>
      <c r="C4518" s="3" t="s">
        <v>5</v>
      </c>
    </row>
    <row r="4519" spans="1:3" ht="15.75" thickBot="1">
      <c r="A4519" s="6" t="s">
        <v>8587</v>
      </c>
      <c r="B4519" s="5" t="s">
        <v>8588</v>
      </c>
      <c r="C4519" s="3" t="s">
        <v>5</v>
      </c>
    </row>
    <row r="4520" spans="1:3" ht="15.75" thickBot="1">
      <c r="A4520" s="6" t="s">
        <v>8589</v>
      </c>
      <c r="B4520" s="5" t="s">
        <v>8590</v>
      </c>
      <c r="C4520" s="3" t="s">
        <v>5</v>
      </c>
    </row>
    <row r="4521" spans="1:3" ht="15.75" thickBot="1">
      <c r="A4521" s="6" t="s">
        <v>8591</v>
      </c>
      <c r="B4521" s="5" t="s">
        <v>8592</v>
      </c>
      <c r="C4521" s="3" t="s">
        <v>5</v>
      </c>
    </row>
    <row r="4522" spans="1:3" ht="15.75" thickBot="1">
      <c r="A4522" s="6" t="s">
        <v>8593</v>
      </c>
      <c r="B4522" s="5" t="s">
        <v>8594</v>
      </c>
      <c r="C4522" s="3" t="s">
        <v>5</v>
      </c>
    </row>
    <row r="4523" spans="1:3" ht="15.75" thickBot="1">
      <c r="A4523" s="6" t="s">
        <v>8595</v>
      </c>
      <c r="B4523" s="5" t="s">
        <v>8596</v>
      </c>
      <c r="C4523" s="3" t="s">
        <v>5</v>
      </c>
    </row>
    <row r="4524" spans="1:3" ht="15.75" thickBot="1">
      <c r="A4524" s="6" t="s">
        <v>8597</v>
      </c>
      <c r="B4524" s="5" t="s">
        <v>8598</v>
      </c>
      <c r="C4524" s="3" t="s">
        <v>5</v>
      </c>
    </row>
    <row r="4525" spans="1:3" ht="15.75" thickBot="1">
      <c r="A4525" s="6" t="s">
        <v>8599</v>
      </c>
      <c r="B4525" s="5" t="s">
        <v>8600</v>
      </c>
      <c r="C4525" s="3" t="s">
        <v>5</v>
      </c>
    </row>
    <row r="4526" spans="1:3" ht="15.75" thickBot="1">
      <c r="A4526" s="6" t="s">
        <v>8601</v>
      </c>
      <c r="B4526" s="5" t="s">
        <v>8602</v>
      </c>
      <c r="C4526" s="3" t="s">
        <v>5</v>
      </c>
    </row>
    <row r="4527" spans="1:3" ht="15.75" thickBot="1">
      <c r="A4527" s="6" t="s">
        <v>8603</v>
      </c>
      <c r="B4527" s="5" t="s">
        <v>8604</v>
      </c>
      <c r="C4527" s="3" t="s">
        <v>5</v>
      </c>
    </row>
    <row r="4528" spans="1:3" ht="15.75" thickBot="1">
      <c r="A4528" s="6" t="s">
        <v>8605</v>
      </c>
      <c r="B4528" s="5" t="s">
        <v>8606</v>
      </c>
      <c r="C4528" s="3" t="s">
        <v>5</v>
      </c>
    </row>
    <row r="4529" spans="1:3" ht="15.75" thickBot="1">
      <c r="A4529" s="6" t="s">
        <v>8607</v>
      </c>
      <c r="B4529" s="5" t="s">
        <v>8608</v>
      </c>
      <c r="C4529" s="3" t="s">
        <v>5</v>
      </c>
    </row>
    <row r="4530" spans="1:3" ht="15.75" thickBot="1">
      <c r="A4530" s="6" t="s">
        <v>8609</v>
      </c>
      <c r="B4530" s="5" t="s">
        <v>8610</v>
      </c>
      <c r="C4530" s="3" t="s">
        <v>5</v>
      </c>
    </row>
    <row r="4531" spans="1:3" ht="15.75" thickBot="1">
      <c r="A4531" s="6" t="s">
        <v>8611</v>
      </c>
      <c r="B4531" s="5" t="s">
        <v>8612</v>
      </c>
      <c r="C4531" s="3" t="s">
        <v>5</v>
      </c>
    </row>
    <row r="4532" spans="1:3" ht="15.75" thickBot="1">
      <c r="A4532" s="6" t="s">
        <v>8613</v>
      </c>
      <c r="B4532" s="5" t="s">
        <v>8614</v>
      </c>
      <c r="C4532" s="3" t="s">
        <v>5</v>
      </c>
    </row>
    <row r="4533" spans="1:3" ht="15.75" thickBot="1">
      <c r="A4533" s="6" t="s">
        <v>8615</v>
      </c>
      <c r="B4533" s="5" t="s">
        <v>8616</v>
      </c>
      <c r="C4533" s="3" t="s">
        <v>5</v>
      </c>
    </row>
    <row r="4534" spans="1:3" ht="15.75" thickBot="1">
      <c r="A4534" s="6" t="s">
        <v>8617</v>
      </c>
      <c r="B4534" s="5" t="s">
        <v>8618</v>
      </c>
      <c r="C4534" s="3" t="s">
        <v>5</v>
      </c>
    </row>
    <row r="4535" spans="1:3">
      <c r="A4535" s="1" t="s">
        <v>8619</v>
      </c>
      <c r="B4535" s="2" t="s">
        <v>8620</v>
      </c>
      <c r="C4535" s="3" t="s">
        <v>5</v>
      </c>
    </row>
    <row r="4536" spans="1:3" ht="15.75" thickBot="1">
      <c r="A4536" s="4"/>
      <c r="B4536" s="5" t="s">
        <v>8621</v>
      </c>
      <c r="C4536" s="3" t="s">
        <v>5</v>
      </c>
    </row>
    <row r="4537" spans="1:3" ht="15.75" thickBot="1">
      <c r="A4537" s="6" t="s">
        <v>8622</v>
      </c>
      <c r="B4537" s="5" t="s">
        <v>8623</v>
      </c>
      <c r="C4537" s="3" t="s">
        <v>5</v>
      </c>
    </row>
    <row r="4538" spans="1:3">
      <c r="A4538" s="1" t="s">
        <v>8624</v>
      </c>
      <c r="B4538" s="2" t="s">
        <v>8625</v>
      </c>
      <c r="C4538" s="3" t="s">
        <v>5</v>
      </c>
    </row>
    <row r="4539" spans="1:3" ht="15.75" thickBot="1">
      <c r="A4539" s="4"/>
      <c r="B4539" s="5" t="s">
        <v>8626</v>
      </c>
      <c r="C4539" s="3" t="s">
        <v>5</v>
      </c>
    </row>
    <row r="4540" spans="1:3" ht="15.75" thickBot="1">
      <c r="A4540" s="6" t="s">
        <v>8627</v>
      </c>
      <c r="B4540" s="5" t="s">
        <v>8628</v>
      </c>
      <c r="C4540" s="3" t="s">
        <v>5</v>
      </c>
    </row>
    <row r="4541" spans="1:3" ht="15.75" thickBot="1">
      <c r="A4541" s="6" t="s">
        <v>8629</v>
      </c>
      <c r="B4541" s="5" t="s">
        <v>8630</v>
      </c>
      <c r="C4541" s="3" t="s">
        <v>5</v>
      </c>
    </row>
    <row r="4542" spans="1:3" ht="15.75" thickBot="1">
      <c r="A4542" s="6" t="s">
        <v>8631</v>
      </c>
      <c r="B4542" s="5" t="s">
        <v>8632</v>
      </c>
      <c r="C4542" s="3" t="s">
        <v>5</v>
      </c>
    </row>
    <row r="4543" spans="1:3" ht="15.75" thickBot="1">
      <c r="A4543" s="6" t="s">
        <v>8633</v>
      </c>
      <c r="B4543" s="5" t="s">
        <v>8634</v>
      </c>
      <c r="C4543" s="3" t="s">
        <v>5</v>
      </c>
    </row>
    <row r="4544" spans="1:3" ht="15.75" thickBot="1">
      <c r="A4544" s="6" t="s">
        <v>8635</v>
      </c>
      <c r="B4544" s="5" t="s">
        <v>8636</v>
      </c>
      <c r="C4544" s="3" t="s">
        <v>5</v>
      </c>
    </row>
    <row r="4545" spans="1:3" ht="15.75" thickBot="1">
      <c r="A4545" s="6" t="s">
        <v>8637</v>
      </c>
      <c r="B4545" s="5" t="s">
        <v>8638</v>
      </c>
      <c r="C4545" s="3" t="s">
        <v>5</v>
      </c>
    </row>
    <row r="4546" spans="1:3" ht="15.75" thickBot="1">
      <c r="A4546" s="6" t="s">
        <v>8639</v>
      </c>
      <c r="B4546" s="5" t="s">
        <v>8640</v>
      </c>
      <c r="C4546" s="3" t="s">
        <v>5</v>
      </c>
    </row>
    <row r="4547" spans="1:3" ht="15.75" thickBot="1">
      <c r="A4547" s="6" t="s">
        <v>8641</v>
      </c>
      <c r="B4547" s="5" t="s">
        <v>8642</v>
      </c>
      <c r="C4547" s="3" t="s">
        <v>5</v>
      </c>
    </row>
    <row r="4548" spans="1:3" ht="15.75" thickBot="1">
      <c r="A4548" s="6" t="s">
        <v>8643</v>
      </c>
      <c r="B4548" s="5" t="s">
        <v>8644</v>
      </c>
      <c r="C4548" s="3" t="s">
        <v>5</v>
      </c>
    </row>
    <row r="4549" spans="1:3" ht="15.75" thickBot="1">
      <c r="A4549" s="6" t="s">
        <v>8645</v>
      </c>
      <c r="B4549" s="5" t="s">
        <v>8646</v>
      </c>
      <c r="C4549" s="3" t="s">
        <v>5</v>
      </c>
    </row>
    <row r="4550" spans="1:3" ht="15.75" thickBot="1">
      <c r="A4550" s="6" t="s">
        <v>8647</v>
      </c>
      <c r="B4550" s="5" t="s">
        <v>8648</v>
      </c>
      <c r="C4550" s="3" t="s">
        <v>5</v>
      </c>
    </row>
    <row r="4551" spans="1:3" ht="15.75" thickBot="1">
      <c r="A4551" s="6" t="s">
        <v>8649</v>
      </c>
      <c r="B4551" s="5" t="s">
        <v>8650</v>
      </c>
      <c r="C4551" s="3" t="s">
        <v>5</v>
      </c>
    </row>
    <row r="4552" spans="1:3" ht="15.75" thickBot="1">
      <c r="A4552" s="6" t="s">
        <v>8651</v>
      </c>
      <c r="B4552" s="5" t="s">
        <v>8652</v>
      </c>
      <c r="C4552" s="3" t="s">
        <v>5</v>
      </c>
    </row>
    <row r="4553" spans="1:3" ht="15.75" thickBot="1">
      <c r="A4553" s="6" t="s">
        <v>8653</v>
      </c>
      <c r="B4553" s="5" t="s">
        <v>8654</v>
      </c>
      <c r="C4553" s="3" t="s">
        <v>5</v>
      </c>
    </row>
    <row r="4554" spans="1:3" ht="15.75" thickBot="1">
      <c r="A4554" s="6" t="s">
        <v>8655</v>
      </c>
      <c r="B4554" s="5" t="s">
        <v>8656</v>
      </c>
      <c r="C4554" s="3" t="s">
        <v>5</v>
      </c>
    </row>
    <row r="4555" spans="1:3" ht="15.75" thickBot="1">
      <c r="A4555" s="6" t="s">
        <v>8657</v>
      </c>
      <c r="B4555" s="5" t="s">
        <v>8658</v>
      </c>
      <c r="C4555" s="3" t="s">
        <v>5</v>
      </c>
    </row>
    <row r="4556" spans="1:3" ht="15.75" thickBot="1">
      <c r="A4556" s="6" t="s">
        <v>8659</v>
      </c>
      <c r="B4556" s="5" t="s">
        <v>8660</v>
      </c>
      <c r="C4556" s="3" t="s">
        <v>5</v>
      </c>
    </row>
    <row r="4557" spans="1:3" ht="15.75" thickBot="1">
      <c r="A4557" s="6" t="s">
        <v>8661</v>
      </c>
      <c r="B4557" s="5" t="s">
        <v>8662</v>
      </c>
      <c r="C4557" s="3" t="s">
        <v>5</v>
      </c>
    </row>
    <row r="4558" spans="1:3" ht="15.75" thickBot="1">
      <c r="A4558" s="6" t="s">
        <v>8663</v>
      </c>
      <c r="B4558" s="5" t="s">
        <v>8664</v>
      </c>
      <c r="C4558" s="3" t="s">
        <v>5</v>
      </c>
    </row>
    <row r="4559" spans="1:3" ht="15.75" thickBot="1">
      <c r="A4559" s="6" t="s">
        <v>8665</v>
      </c>
      <c r="B4559" s="5" t="s">
        <v>8666</v>
      </c>
      <c r="C4559" s="3" t="s">
        <v>5</v>
      </c>
    </row>
    <row r="4560" spans="1:3" ht="15.75" thickBot="1">
      <c r="A4560" s="6" t="s">
        <v>8667</v>
      </c>
      <c r="B4560" s="5" t="s">
        <v>8668</v>
      </c>
      <c r="C4560" s="3" t="s">
        <v>5</v>
      </c>
    </row>
    <row r="4561" spans="1:3" ht="15.75" thickBot="1">
      <c r="A4561" s="6" t="s">
        <v>8669</v>
      </c>
      <c r="B4561" s="5" t="s">
        <v>8670</v>
      </c>
      <c r="C4561" s="3" t="s">
        <v>5</v>
      </c>
    </row>
    <row r="4562" spans="1:3">
      <c r="A4562" s="1" t="s">
        <v>8671</v>
      </c>
      <c r="B4562" s="2" t="s">
        <v>8672</v>
      </c>
      <c r="C4562" s="3" t="s">
        <v>5</v>
      </c>
    </row>
    <row r="4563" spans="1:3" ht="15.75" thickBot="1">
      <c r="A4563" s="4"/>
      <c r="B4563" s="5" t="s">
        <v>8673</v>
      </c>
      <c r="C4563" s="3" t="s">
        <v>5</v>
      </c>
    </row>
    <row r="4564" spans="1:3" ht="15.75" thickBot="1">
      <c r="A4564" s="6" t="s">
        <v>8674</v>
      </c>
      <c r="B4564" s="5" t="s">
        <v>8675</v>
      </c>
      <c r="C4564" s="3" t="s">
        <v>5</v>
      </c>
    </row>
    <row r="4565" spans="1:3" ht="15.75" thickBot="1">
      <c r="A4565" s="6" t="s">
        <v>8676</v>
      </c>
      <c r="B4565" s="5" t="s">
        <v>8677</v>
      </c>
      <c r="C4565" s="3" t="s">
        <v>5</v>
      </c>
    </row>
    <row r="4566" spans="1:3" ht="15.75" thickBot="1">
      <c r="A4566" s="6" t="s">
        <v>8678</v>
      </c>
      <c r="B4566" s="5" t="s">
        <v>8679</v>
      </c>
      <c r="C4566" s="3" t="s">
        <v>5</v>
      </c>
    </row>
    <row r="4567" spans="1:3" ht="15.75" thickBot="1">
      <c r="A4567" s="6" t="s">
        <v>8680</v>
      </c>
      <c r="B4567" s="5" t="s">
        <v>8681</v>
      </c>
      <c r="C4567" s="3" t="s">
        <v>5</v>
      </c>
    </row>
    <row r="4568" spans="1:3" ht="15.75" thickBot="1">
      <c r="A4568" s="6" t="s">
        <v>8682</v>
      </c>
      <c r="B4568" s="5" t="s">
        <v>8683</v>
      </c>
      <c r="C4568" s="3" t="s">
        <v>5</v>
      </c>
    </row>
    <row r="4569" spans="1:3" ht="15.75" thickBot="1">
      <c r="A4569" s="6" t="s">
        <v>8684</v>
      </c>
      <c r="B4569" s="5" t="s">
        <v>8685</v>
      </c>
      <c r="C4569" s="3" t="s">
        <v>5</v>
      </c>
    </row>
    <row r="4570" spans="1:3" ht="15.75" thickBot="1">
      <c r="A4570" s="6" t="s">
        <v>8686</v>
      </c>
      <c r="B4570" s="5" t="s">
        <v>8687</v>
      </c>
      <c r="C4570" s="3" t="s">
        <v>5</v>
      </c>
    </row>
    <row r="4571" spans="1:3" ht="15.75" thickBot="1">
      <c r="A4571" s="6" t="s">
        <v>8688</v>
      </c>
      <c r="B4571" s="5" t="s">
        <v>8689</v>
      </c>
      <c r="C4571" s="3" t="s">
        <v>5</v>
      </c>
    </row>
    <row r="4572" spans="1:3" ht="15.75" thickBot="1">
      <c r="A4572" s="6" t="s">
        <v>8690</v>
      </c>
      <c r="B4572" s="5" t="s">
        <v>8691</v>
      </c>
      <c r="C4572" s="3" t="s">
        <v>5</v>
      </c>
    </row>
    <row r="4573" spans="1:3" ht="15.75" thickBot="1">
      <c r="A4573" s="6" t="s">
        <v>8692</v>
      </c>
      <c r="B4573" s="5" t="s">
        <v>8693</v>
      </c>
      <c r="C4573" s="3" t="s">
        <v>5</v>
      </c>
    </row>
    <row r="4574" spans="1:3" ht="15.75" thickBot="1">
      <c r="A4574" s="6" t="s">
        <v>8694</v>
      </c>
      <c r="B4574" s="5" t="s">
        <v>8695</v>
      </c>
      <c r="C4574" s="3" t="s">
        <v>5</v>
      </c>
    </row>
    <row r="4575" spans="1:3" ht="15.75" thickBot="1">
      <c r="A4575" s="6" t="s">
        <v>8696</v>
      </c>
      <c r="B4575" s="5" t="s">
        <v>8697</v>
      </c>
      <c r="C4575" s="3" t="s">
        <v>5</v>
      </c>
    </row>
    <row r="4576" spans="1:3" ht="15.75" thickBot="1">
      <c r="A4576" s="6" t="s">
        <v>8698</v>
      </c>
      <c r="B4576" s="5" t="s">
        <v>8699</v>
      </c>
      <c r="C4576" s="3" t="s">
        <v>5</v>
      </c>
    </row>
    <row r="4577" spans="1:3" ht="15.75" thickBot="1">
      <c r="A4577" s="6" t="s">
        <v>8700</v>
      </c>
      <c r="B4577" s="5" t="s">
        <v>8701</v>
      </c>
      <c r="C4577" s="3" t="s">
        <v>5</v>
      </c>
    </row>
    <row r="4578" spans="1:3" ht="15.75" thickBot="1">
      <c r="A4578" s="6" t="s">
        <v>8702</v>
      </c>
      <c r="B4578" s="5" t="s">
        <v>8703</v>
      </c>
      <c r="C4578" s="3" t="s">
        <v>5</v>
      </c>
    </row>
    <row r="4579" spans="1:3" ht="15.75" thickBot="1">
      <c r="A4579" s="6" t="s">
        <v>8704</v>
      </c>
      <c r="B4579" s="5" t="s">
        <v>8705</v>
      </c>
      <c r="C4579" s="3" t="s">
        <v>5</v>
      </c>
    </row>
    <row r="4580" spans="1:3" ht="15.75" thickBot="1">
      <c r="A4580" s="6" t="s">
        <v>8706</v>
      </c>
      <c r="B4580" s="5" t="s">
        <v>8707</v>
      </c>
      <c r="C4580" s="3" t="s">
        <v>5</v>
      </c>
    </row>
    <row r="4581" spans="1:3" ht="15.75" thickBot="1">
      <c r="A4581" s="6" t="s">
        <v>8706</v>
      </c>
      <c r="B4581" s="5" t="s">
        <v>8708</v>
      </c>
      <c r="C4581" s="3" t="s">
        <v>5</v>
      </c>
    </row>
    <row r="4582" spans="1:3" ht="15.75" thickBot="1">
      <c r="A4582" s="6" t="s">
        <v>8709</v>
      </c>
      <c r="B4582" s="5" t="s">
        <v>8710</v>
      </c>
      <c r="C4582" s="3" t="s">
        <v>5</v>
      </c>
    </row>
    <row r="4583" spans="1:3" ht="15.75" thickBot="1">
      <c r="A4583" s="6" t="s">
        <v>8711</v>
      </c>
      <c r="B4583" s="5" t="s">
        <v>8712</v>
      </c>
      <c r="C4583" s="3" t="s">
        <v>5</v>
      </c>
    </row>
    <row r="4584" spans="1:3" ht="15.75" thickBot="1">
      <c r="A4584" s="6" t="s">
        <v>8713</v>
      </c>
      <c r="B4584" s="5" t="s">
        <v>8714</v>
      </c>
      <c r="C4584" s="3" t="s">
        <v>5</v>
      </c>
    </row>
    <row r="4585" spans="1:3" ht="15.75" thickBot="1">
      <c r="A4585" s="6" t="s">
        <v>8715</v>
      </c>
      <c r="B4585" s="5" t="s">
        <v>8716</v>
      </c>
      <c r="C4585" s="3" t="s">
        <v>5</v>
      </c>
    </row>
    <row r="4586" spans="1:3" ht="15.75" thickBot="1">
      <c r="A4586" s="6" t="s">
        <v>8717</v>
      </c>
      <c r="B4586" s="5" t="s">
        <v>8718</v>
      </c>
      <c r="C4586" s="3" t="s">
        <v>5</v>
      </c>
    </row>
    <row r="4587" spans="1:3" ht="15.75" thickBot="1">
      <c r="A4587" s="6" t="s">
        <v>8719</v>
      </c>
      <c r="B4587" s="5" t="s">
        <v>8720</v>
      </c>
      <c r="C4587" s="3" t="s">
        <v>5</v>
      </c>
    </row>
    <row r="4588" spans="1:3" ht="15.75" thickBot="1">
      <c r="A4588" s="6" t="s">
        <v>8721</v>
      </c>
      <c r="B4588" s="5" t="s">
        <v>8722</v>
      </c>
      <c r="C4588" s="3" t="s">
        <v>5</v>
      </c>
    </row>
    <row r="4589" spans="1:3" ht="15.75" thickBot="1">
      <c r="A4589" s="6" t="s">
        <v>8723</v>
      </c>
      <c r="B4589" s="5" t="s">
        <v>8724</v>
      </c>
      <c r="C4589" s="3" t="s">
        <v>5</v>
      </c>
    </row>
    <row r="4590" spans="1:3" ht="15.75" thickBot="1">
      <c r="A4590" s="6" t="s">
        <v>8725</v>
      </c>
      <c r="B4590" s="5" t="s">
        <v>8726</v>
      </c>
      <c r="C4590" s="3" t="s">
        <v>5</v>
      </c>
    </row>
    <row r="4591" spans="1:3" ht="15.75" thickBot="1">
      <c r="A4591" s="6" t="s">
        <v>8727</v>
      </c>
      <c r="B4591" s="5" t="s">
        <v>8728</v>
      </c>
      <c r="C4591" s="3" t="s">
        <v>5</v>
      </c>
    </row>
    <row r="4592" spans="1:3" ht="15.75" thickBot="1">
      <c r="A4592" s="6" t="s">
        <v>8729</v>
      </c>
      <c r="B4592" s="5" t="s">
        <v>8730</v>
      </c>
      <c r="C4592" s="3" t="s">
        <v>5</v>
      </c>
    </row>
    <row r="4593" spans="1:3" ht="15.75" thickBot="1">
      <c r="A4593" s="6" t="s">
        <v>8731</v>
      </c>
      <c r="B4593" s="5" t="s">
        <v>8732</v>
      </c>
      <c r="C4593" s="3" t="s">
        <v>5</v>
      </c>
    </row>
    <row r="4594" spans="1:3" ht="15.75" thickBot="1">
      <c r="A4594" s="6" t="s">
        <v>8733</v>
      </c>
      <c r="B4594" s="5" t="s">
        <v>8734</v>
      </c>
      <c r="C4594" s="3" t="s">
        <v>5</v>
      </c>
    </row>
    <row r="4595" spans="1:3" ht="15.75" thickBot="1">
      <c r="A4595" s="6" t="s">
        <v>8735</v>
      </c>
      <c r="B4595" s="5" t="s">
        <v>8736</v>
      </c>
      <c r="C4595" s="3" t="s">
        <v>5</v>
      </c>
    </row>
    <row r="4596" spans="1:3" ht="15.75" thickBot="1">
      <c r="A4596" s="6" t="s">
        <v>8737</v>
      </c>
      <c r="B4596" s="5" t="s">
        <v>8738</v>
      </c>
      <c r="C4596" s="3" t="s">
        <v>5</v>
      </c>
    </row>
    <row r="4597" spans="1:3" ht="15.75" thickBot="1">
      <c r="A4597" s="6" t="s">
        <v>8739</v>
      </c>
      <c r="B4597" s="5" t="s">
        <v>8740</v>
      </c>
      <c r="C4597" s="3" t="s">
        <v>5</v>
      </c>
    </row>
    <row r="4598" spans="1:3" ht="26.25" thickBot="1">
      <c r="A4598" s="6" t="s">
        <v>8741</v>
      </c>
      <c r="B4598" s="5" t="s">
        <v>8742</v>
      </c>
      <c r="C4598" s="3" t="s">
        <v>5</v>
      </c>
    </row>
    <row r="4599" spans="1:3">
      <c r="A4599" s="1" t="s">
        <v>8743</v>
      </c>
      <c r="B4599" s="2" t="s">
        <v>8744</v>
      </c>
      <c r="C4599" s="3" t="s">
        <v>5</v>
      </c>
    </row>
    <row r="4600" spans="1:3" ht="153.75" thickBot="1">
      <c r="A4600" s="4"/>
      <c r="B4600" s="5" t="s">
        <v>8745</v>
      </c>
      <c r="C4600" s="3" t="s">
        <v>5</v>
      </c>
    </row>
    <row r="4601" spans="1:3" ht="15.75" thickBot="1">
      <c r="A4601" s="6" t="s">
        <v>8746</v>
      </c>
      <c r="B4601" s="5" t="s">
        <v>8747</v>
      </c>
      <c r="C4601" s="3" t="s">
        <v>5</v>
      </c>
    </row>
    <row r="4602" spans="1:3" ht="15.75" thickBot="1">
      <c r="A4602" s="6" t="s">
        <v>8748</v>
      </c>
      <c r="B4602" s="5" t="s">
        <v>8749</v>
      </c>
      <c r="C4602" s="3" t="s">
        <v>5</v>
      </c>
    </row>
    <row r="4603" spans="1:3" ht="15.75" thickBot="1">
      <c r="A4603" s="6" t="s">
        <v>8750</v>
      </c>
      <c r="B4603" s="5" t="s">
        <v>8751</v>
      </c>
      <c r="C4603" s="3" t="s">
        <v>5</v>
      </c>
    </row>
    <row r="4604" spans="1:3" ht="15.75" thickBot="1">
      <c r="A4604" s="6" t="s">
        <v>8752</v>
      </c>
      <c r="B4604" s="5" t="s">
        <v>8753</v>
      </c>
      <c r="C4604" s="3" t="s">
        <v>5</v>
      </c>
    </row>
    <row r="4605" spans="1:3" ht="15.75" thickBot="1">
      <c r="A4605" s="6" t="s">
        <v>8754</v>
      </c>
      <c r="B4605" s="5" t="s">
        <v>8755</v>
      </c>
      <c r="C4605" s="3" t="s">
        <v>5</v>
      </c>
    </row>
    <row r="4606" spans="1:3" ht="15.75" thickBot="1">
      <c r="A4606" s="6" t="s">
        <v>8756</v>
      </c>
      <c r="B4606" s="5" t="s">
        <v>8757</v>
      </c>
      <c r="C4606" s="3" t="s">
        <v>5</v>
      </c>
    </row>
    <row r="4607" spans="1:3" ht="15.75" thickBot="1">
      <c r="A4607" s="6" t="s">
        <v>8758</v>
      </c>
      <c r="B4607" s="5" t="s">
        <v>8759</v>
      </c>
      <c r="C4607" s="3" t="s">
        <v>5</v>
      </c>
    </row>
    <row r="4608" spans="1:3" ht="15.75" thickBot="1">
      <c r="A4608" s="6" t="s">
        <v>8760</v>
      </c>
      <c r="B4608" s="5" t="s">
        <v>8761</v>
      </c>
      <c r="C4608" s="3" t="s">
        <v>5</v>
      </c>
    </row>
    <row r="4609" spans="1:3" ht="15.75" thickBot="1">
      <c r="A4609" s="6" t="s">
        <v>8762</v>
      </c>
      <c r="B4609" s="5" t="s">
        <v>8763</v>
      </c>
      <c r="C4609" s="3" t="s">
        <v>5</v>
      </c>
    </row>
    <row r="4610" spans="1:3" ht="15.75" thickBot="1">
      <c r="A4610" s="6" t="s">
        <v>8764</v>
      </c>
      <c r="B4610" s="5" t="s">
        <v>8765</v>
      </c>
      <c r="C4610" s="3" t="s">
        <v>5</v>
      </c>
    </row>
    <row r="4611" spans="1:3" ht="15.75" thickBot="1">
      <c r="A4611" s="6" t="s">
        <v>8766</v>
      </c>
      <c r="B4611" s="5" t="s">
        <v>8767</v>
      </c>
      <c r="C4611" s="3" t="s">
        <v>5</v>
      </c>
    </row>
    <row r="4612" spans="1:3" ht="15.75" thickBot="1">
      <c r="A4612" s="6" t="s">
        <v>8768</v>
      </c>
      <c r="B4612" s="5" t="s">
        <v>8769</v>
      </c>
      <c r="C4612" s="3" t="s">
        <v>5</v>
      </c>
    </row>
    <row r="4613" spans="1:3" ht="15.75" thickBot="1">
      <c r="A4613" s="6" t="s">
        <v>8770</v>
      </c>
      <c r="B4613" s="5" t="s">
        <v>8771</v>
      </c>
      <c r="C4613" s="3" t="s">
        <v>5</v>
      </c>
    </row>
    <row r="4614" spans="1:3" ht="15.75" thickBot="1">
      <c r="A4614" s="6" t="s">
        <v>8772</v>
      </c>
      <c r="B4614" s="5" t="s">
        <v>8769</v>
      </c>
      <c r="C4614" s="3" t="s">
        <v>5</v>
      </c>
    </row>
    <row r="4615" spans="1:3" ht="15.75" thickBot="1">
      <c r="A4615" s="6" t="s">
        <v>8773</v>
      </c>
      <c r="B4615" s="5" t="s">
        <v>8774</v>
      </c>
      <c r="C4615" s="3" t="s">
        <v>5</v>
      </c>
    </row>
    <row r="4616" spans="1:3" ht="15.75" thickBot="1">
      <c r="A4616" s="6" t="s">
        <v>8775</v>
      </c>
      <c r="B4616" s="5" t="s">
        <v>8776</v>
      </c>
      <c r="C4616" s="3" t="s">
        <v>5</v>
      </c>
    </row>
    <row r="4617" spans="1:3" ht="15.75" thickBot="1">
      <c r="A4617" s="6" t="s">
        <v>8777</v>
      </c>
      <c r="B4617" s="5" t="s">
        <v>8778</v>
      </c>
      <c r="C4617" s="3" t="s">
        <v>5</v>
      </c>
    </row>
    <row r="4618" spans="1:3" ht="15.75" thickBot="1">
      <c r="A4618" s="6" t="s">
        <v>8779</v>
      </c>
      <c r="B4618" s="5" t="s">
        <v>8780</v>
      </c>
      <c r="C4618" s="3" t="s">
        <v>5</v>
      </c>
    </row>
    <row r="4619" spans="1:3" ht="15.75" thickBot="1">
      <c r="A4619" s="6" t="s">
        <v>8781</v>
      </c>
      <c r="B4619" s="5" t="s">
        <v>8782</v>
      </c>
      <c r="C4619" s="3" t="s">
        <v>5</v>
      </c>
    </row>
    <row r="4620" spans="1:3" ht="15.75" thickBot="1">
      <c r="A4620" s="6" t="s">
        <v>8783</v>
      </c>
      <c r="B4620" s="5" t="s">
        <v>8784</v>
      </c>
      <c r="C4620" s="3" t="s">
        <v>5</v>
      </c>
    </row>
    <row r="4621" spans="1:3" ht="15.75" thickBot="1">
      <c r="A4621" s="6" t="s">
        <v>8785</v>
      </c>
      <c r="B4621" s="5" t="s">
        <v>8786</v>
      </c>
      <c r="C4621" s="3" t="s">
        <v>5</v>
      </c>
    </row>
    <row r="4622" spans="1:3" ht="15.75" thickBot="1">
      <c r="A4622" s="6" t="s">
        <v>8787</v>
      </c>
      <c r="B4622" s="5" t="s">
        <v>8788</v>
      </c>
      <c r="C4622" s="3" t="s">
        <v>5</v>
      </c>
    </row>
    <row r="4623" spans="1:3" ht="15.75" thickBot="1">
      <c r="A4623" s="6" t="s">
        <v>8789</v>
      </c>
      <c r="B4623" s="5" t="s">
        <v>8790</v>
      </c>
      <c r="C4623" s="3" t="s">
        <v>5</v>
      </c>
    </row>
    <row r="4624" spans="1:3" ht="15.75" thickBot="1">
      <c r="A4624" s="6" t="s">
        <v>8791</v>
      </c>
      <c r="B4624" s="5" t="s">
        <v>8792</v>
      </c>
      <c r="C4624" s="3" t="s">
        <v>5</v>
      </c>
    </row>
    <row r="4625" spans="1:3" ht="15.75" thickBot="1">
      <c r="A4625" s="6" t="s">
        <v>8793</v>
      </c>
      <c r="B4625" s="5" t="s">
        <v>8794</v>
      </c>
      <c r="C4625" s="3" t="s">
        <v>5</v>
      </c>
    </row>
    <row r="4626" spans="1:3" ht="15.75" thickBot="1">
      <c r="A4626" s="6" t="s">
        <v>8795</v>
      </c>
      <c r="B4626" s="5" t="s">
        <v>8796</v>
      </c>
      <c r="C4626" s="3" t="s">
        <v>5</v>
      </c>
    </row>
    <row r="4627" spans="1:3" ht="15.75" thickBot="1">
      <c r="A4627" s="6" t="s">
        <v>8797</v>
      </c>
      <c r="B4627" s="5" t="s">
        <v>8798</v>
      </c>
      <c r="C4627" s="3" t="s">
        <v>5</v>
      </c>
    </row>
    <row r="4628" spans="1:3" ht="15.75" thickBot="1">
      <c r="A4628" s="6" t="s">
        <v>8799</v>
      </c>
      <c r="B4628" s="5" t="s">
        <v>8800</v>
      </c>
      <c r="C4628" s="3" t="s">
        <v>5</v>
      </c>
    </row>
    <row r="4629" spans="1:3" ht="15.75" thickBot="1">
      <c r="A4629" s="6" t="s">
        <v>8801</v>
      </c>
      <c r="B4629" s="5" t="s">
        <v>8802</v>
      </c>
      <c r="C4629" s="3" t="s">
        <v>5</v>
      </c>
    </row>
    <row r="4630" spans="1:3" ht="15.75" thickBot="1">
      <c r="A4630" s="6" t="s">
        <v>8803</v>
      </c>
      <c r="B4630" s="5" t="s">
        <v>8804</v>
      </c>
      <c r="C4630" s="3" t="s">
        <v>5</v>
      </c>
    </row>
    <row r="4631" spans="1:3" ht="15.75" thickBot="1">
      <c r="A4631" s="6" t="s">
        <v>8805</v>
      </c>
      <c r="B4631" s="5" t="s">
        <v>8806</v>
      </c>
      <c r="C4631" s="3" t="s">
        <v>5</v>
      </c>
    </row>
    <row r="4632" spans="1:3" ht="15.75" thickBot="1">
      <c r="A4632" s="6" t="s">
        <v>8807</v>
      </c>
      <c r="B4632" s="5" t="s">
        <v>8808</v>
      </c>
      <c r="C4632" s="3" t="s">
        <v>5</v>
      </c>
    </row>
    <row r="4633" spans="1:3" ht="15.75" thickBot="1">
      <c r="A4633" s="6" t="s">
        <v>8809</v>
      </c>
      <c r="B4633" s="5" t="s">
        <v>8810</v>
      </c>
      <c r="C4633" s="3" t="s">
        <v>5</v>
      </c>
    </row>
    <row r="4634" spans="1:3" ht="15.75" thickBot="1">
      <c r="A4634" s="6" t="s">
        <v>8811</v>
      </c>
      <c r="B4634" s="5" t="s">
        <v>8812</v>
      </c>
      <c r="C4634" s="3" t="s">
        <v>5</v>
      </c>
    </row>
    <row r="4635" spans="1:3" ht="15.75" thickBot="1">
      <c r="A4635" s="6" t="s">
        <v>8813</v>
      </c>
      <c r="B4635" s="5" t="s">
        <v>8814</v>
      </c>
      <c r="C4635" s="3" t="s">
        <v>5</v>
      </c>
    </row>
    <row r="4636" spans="1:3" ht="15.75" thickBot="1">
      <c r="A4636" s="6" t="s">
        <v>8815</v>
      </c>
      <c r="B4636" s="5" t="s">
        <v>8816</v>
      </c>
      <c r="C4636" s="3" t="s">
        <v>5</v>
      </c>
    </row>
    <row r="4637" spans="1:3">
      <c r="A4637" s="1" t="s">
        <v>8817</v>
      </c>
      <c r="B4637" s="2" t="s">
        <v>8818</v>
      </c>
      <c r="C4637" s="3" t="s">
        <v>5</v>
      </c>
    </row>
    <row r="4638" spans="1:3" ht="15.75" thickBot="1">
      <c r="A4638" s="4"/>
      <c r="B4638" s="5" t="s">
        <v>8819</v>
      </c>
      <c r="C4638" s="3" t="s">
        <v>5</v>
      </c>
    </row>
    <row r="4639" spans="1:3">
      <c r="A4639" s="1" t="s">
        <v>8820</v>
      </c>
      <c r="B4639" s="2" t="s">
        <v>8821</v>
      </c>
      <c r="C4639" s="3" t="s">
        <v>5</v>
      </c>
    </row>
    <row r="4640" spans="1:3" ht="15.75" thickBot="1">
      <c r="A4640" s="4"/>
      <c r="B4640" s="5" t="s">
        <v>8822</v>
      </c>
      <c r="C4640" s="3" t="s">
        <v>5</v>
      </c>
    </row>
    <row r="4641" spans="1:3" ht="15.75" thickBot="1">
      <c r="A4641" s="6" t="s">
        <v>8823</v>
      </c>
      <c r="B4641" s="5" t="s">
        <v>8824</v>
      </c>
      <c r="C4641" s="3" t="s">
        <v>5</v>
      </c>
    </row>
    <row r="4642" spans="1:3" ht="15.75" thickBot="1">
      <c r="A4642" s="6" t="s">
        <v>8825</v>
      </c>
      <c r="B4642" s="5" t="s">
        <v>8826</v>
      </c>
      <c r="C4642" s="3" t="s">
        <v>5</v>
      </c>
    </row>
    <row r="4643" spans="1:3" ht="15.75" thickBot="1">
      <c r="A4643" s="6" t="s">
        <v>8827</v>
      </c>
      <c r="B4643" s="5" t="s">
        <v>8828</v>
      </c>
      <c r="C4643" s="3" t="s">
        <v>5</v>
      </c>
    </row>
    <row r="4644" spans="1:3" ht="15.75" thickBot="1">
      <c r="A4644" s="6" t="s">
        <v>8829</v>
      </c>
      <c r="B4644" s="5" t="s">
        <v>8830</v>
      </c>
      <c r="C4644" s="3" t="s">
        <v>5</v>
      </c>
    </row>
    <row r="4645" spans="1:3" ht="15.75" thickBot="1">
      <c r="A4645" s="6" t="s">
        <v>8831</v>
      </c>
      <c r="B4645" s="5" t="s">
        <v>8832</v>
      </c>
      <c r="C4645" s="3" t="s">
        <v>5</v>
      </c>
    </row>
    <row r="4646" spans="1:3" ht="15.75" thickBot="1">
      <c r="A4646" s="6" t="s">
        <v>8833</v>
      </c>
      <c r="B4646" s="5" t="s">
        <v>8834</v>
      </c>
      <c r="C4646" s="3" t="s">
        <v>5</v>
      </c>
    </row>
    <row r="4647" spans="1:3" ht="15.75" thickBot="1">
      <c r="A4647" s="6" t="s">
        <v>8835</v>
      </c>
      <c r="B4647" s="5" t="s">
        <v>8836</v>
      </c>
      <c r="C4647" s="3" t="s">
        <v>5</v>
      </c>
    </row>
    <row r="4648" spans="1:3" ht="15.75" thickBot="1">
      <c r="A4648" s="6" t="s">
        <v>8837</v>
      </c>
      <c r="B4648" s="5" t="s">
        <v>8838</v>
      </c>
      <c r="C4648" s="3" t="s">
        <v>5</v>
      </c>
    </row>
    <row r="4649" spans="1:3">
      <c r="A4649" s="1" t="s">
        <v>8839</v>
      </c>
      <c r="B4649" s="2" t="s">
        <v>8840</v>
      </c>
      <c r="C4649" s="3" t="s">
        <v>5</v>
      </c>
    </row>
    <row r="4650" spans="1:3" ht="15.75" thickBot="1">
      <c r="A4650" s="4"/>
      <c r="B4650" s="5" t="s">
        <v>8841</v>
      </c>
      <c r="C4650" s="3" t="s">
        <v>5</v>
      </c>
    </row>
    <row r="4651" spans="1:3" ht="15.75" thickBot="1">
      <c r="A4651" s="6" t="s">
        <v>8842</v>
      </c>
      <c r="B4651" s="5" t="s">
        <v>8843</v>
      </c>
      <c r="C4651" s="3" t="s">
        <v>5</v>
      </c>
    </row>
    <row r="4652" spans="1:3" ht="15.75" thickBot="1">
      <c r="A4652" s="6" t="s">
        <v>8844</v>
      </c>
      <c r="B4652" s="5" t="s">
        <v>8845</v>
      </c>
      <c r="C4652" s="3" t="s">
        <v>5</v>
      </c>
    </row>
    <row r="4653" spans="1:3" ht="15.75" thickBot="1">
      <c r="A4653" s="6" t="s">
        <v>8846</v>
      </c>
      <c r="B4653" s="5" t="s">
        <v>8847</v>
      </c>
      <c r="C4653" s="3" t="s">
        <v>5</v>
      </c>
    </row>
    <row r="4654" spans="1:3" ht="15.75" thickBot="1">
      <c r="A4654" s="6" t="s">
        <v>8848</v>
      </c>
      <c r="B4654" s="5" t="e">
        <f xml:space="preserve"> leading in wire</f>
        <v>#NAME?</v>
      </c>
      <c r="C4654" s="3" t="s">
        <v>5</v>
      </c>
    </row>
    <row r="4655" spans="1:3" ht="15.75" thickBot="1">
      <c r="A4655" s="6" t="s">
        <v>8849</v>
      </c>
      <c r="B4655" s="5" t="s">
        <v>8850</v>
      </c>
      <c r="C4655" s="3" t="s">
        <v>5</v>
      </c>
    </row>
    <row r="4656" spans="1:3" ht="15.75" thickBot="1">
      <c r="A4656" s="6" t="s">
        <v>8851</v>
      </c>
      <c r="B4656" s="5" t="e">
        <f xml:space="preserve"> lead covered cable</f>
        <v>#NAME?</v>
      </c>
      <c r="C4656" s="3" t="s">
        <v>5</v>
      </c>
    </row>
    <row r="4657" spans="1:3" ht="15.75" thickBot="1">
      <c r="A4657" s="6" t="s">
        <v>8852</v>
      </c>
      <c r="B4657" s="5" t="s">
        <v>8853</v>
      </c>
      <c r="C4657" s="3" t="s">
        <v>5</v>
      </c>
    </row>
    <row r="4658" spans="1:3" ht="15.75" thickBot="1">
      <c r="A4658" s="6" t="s">
        <v>8854</v>
      </c>
      <c r="B4658" s="5" t="s">
        <v>8855</v>
      </c>
      <c r="C4658" s="3" t="s">
        <v>5</v>
      </c>
    </row>
    <row r="4659" spans="1:3" ht="15.75" thickBot="1">
      <c r="A4659" s="6" t="s">
        <v>8856</v>
      </c>
      <c r="B4659" s="5" t="s">
        <v>8857</v>
      </c>
      <c r="C4659" s="3" t="s">
        <v>5</v>
      </c>
    </row>
    <row r="4660" spans="1:3" ht="15.75" thickBot="1">
      <c r="A4660" s="6" t="s">
        <v>8858</v>
      </c>
      <c r="B4660" s="5" t="s">
        <v>8859</v>
      </c>
      <c r="C4660" s="3" t="s">
        <v>5</v>
      </c>
    </row>
    <row r="4661" spans="1:3" ht="15.75" thickBot="1">
      <c r="A4661" s="6" t="s">
        <v>8860</v>
      </c>
      <c r="B4661" s="5" t="s">
        <v>8861</v>
      </c>
      <c r="C4661" s="3" t="s">
        <v>5</v>
      </c>
    </row>
    <row r="4662" spans="1:3" ht="15.75" thickBot="1">
      <c r="A4662" s="6" t="s">
        <v>8862</v>
      </c>
      <c r="B4662" s="5" t="s">
        <v>8863</v>
      </c>
      <c r="C4662" s="3" t="s">
        <v>5</v>
      </c>
    </row>
    <row r="4663" spans="1:3" ht="15.75" thickBot="1">
      <c r="A4663" s="6" t="s">
        <v>8862</v>
      </c>
      <c r="B4663" s="5" t="s">
        <v>8864</v>
      </c>
      <c r="C4663" s="3" t="s">
        <v>5</v>
      </c>
    </row>
    <row r="4664" spans="1:3" ht="15.75" thickBot="1">
      <c r="A4664" s="6" t="s">
        <v>8865</v>
      </c>
      <c r="B4664" s="5" t="s">
        <v>8866</v>
      </c>
      <c r="C4664" s="3" t="s">
        <v>5</v>
      </c>
    </row>
    <row r="4665" spans="1:3">
      <c r="A4665" s="1" t="s">
        <v>8867</v>
      </c>
      <c r="B4665" s="2" t="s">
        <v>8868</v>
      </c>
      <c r="C4665" s="3" t="s">
        <v>5</v>
      </c>
    </row>
    <row r="4666" spans="1:3" ht="15.75" thickBot="1">
      <c r="A4666" s="4"/>
      <c r="B4666" s="5" t="s">
        <v>8869</v>
      </c>
      <c r="C4666" s="3" t="s">
        <v>5</v>
      </c>
    </row>
    <row r="4667" spans="1:3" ht="15.75" thickBot="1">
      <c r="A4667" s="6" t="s">
        <v>8870</v>
      </c>
      <c r="B4667" s="5" t="s">
        <v>8871</v>
      </c>
      <c r="C4667" s="3" t="s">
        <v>5</v>
      </c>
    </row>
    <row r="4668" spans="1:3" ht="15.75" thickBot="1">
      <c r="A4668" s="6" t="s">
        <v>8872</v>
      </c>
      <c r="B4668" s="5" t="s">
        <v>8873</v>
      </c>
      <c r="C4668" s="3" t="s">
        <v>5</v>
      </c>
    </row>
    <row r="4669" spans="1:3" ht="15.75" thickBot="1">
      <c r="A4669" s="6" t="s">
        <v>8874</v>
      </c>
      <c r="B4669" s="5" t="s">
        <v>8875</v>
      </c>
      <c r="C4669" s="3" t="s">
        <v>5</v>
      </c>
    </row>
    <row r="4670" spans="1:3" ht="15.75" thickBot="1">
      <c r="A4670" s="6" t="s">
        <v>8876</v>
      </c>
      <c r="B4670" s="5" t="s">
        <v>8877</v>
      </c>
      <c r="C4670" s="3" t="s">
        <v>5</v>
      </c>
    </row>
    <row r="4671" spans="1:3" ht="15.75" thickBot="1">
      <c r="A4671" s="6" t="s">
        <v>8878</v>
      </c>
      <c r="B4671" s="5" t="s">
        <v>8879</v>
      </c>
      <c r="C4671" s="3" t="s">
        <v>5</v>
      </c>
    </row>
    <row r="4672" spans="1:3" ht="15.75" thickBot="1">
      <c r="A4672" s="6" t="s">
        <v>8880</v>
      </c>
      <c r="B4672" s="5" t="s">
        <v>8881</v>
      </c>
      <c r="C4672" s="3" t="s">
        <v>5</v>
      </c>
    </row>
    <row r="4673" spans="1:3" ht="15.75" thickBot="1">
      <c r="A4673" s="6" t="s">
        <v>8882</v>
      </c>
      <c r="B4673" s="5" t="s">
        <v>8883</v>
      </c>
      <c r="C4673" s="3" t="s">
        <v>5</v>
      </c>
    </row>
    <row r="4674" spans="1:3" ht="15.75" thickBot="1">
      <c r="A4674" s="6" t="s">
        <v>8884</v>
      </c>
      <c r="B4674" s="5" t="s">
        <v>8885</v>
      </c>
      <c r="C4674" s="3" t="s">
        <v>5</v>
      </c>
    </row>
    <row r="4675" spans="1:3" ht="15.75" thickBot="1">
      <c r="A4675" s="6" t="s">
        <v>8886</v>
      </c>
      <c r="B4675" s="5" t="s">
        <v>8887</v>
      </c>
      <c r="C4675" s="3" t="s">
        <v>5</v>
      </c>
    </row>
    <row r="4676" spans="1:3" ht="15.75" thickBot="1">
      <c r="A4676" s="6" t="s">
        <v>8888</v>
      </c>
      <c r="B4676" s="5" t="s">
        <v>8889</v>
      </c>
      <c r="C4676" s="3" t="s">
        <v>5</v>
      </c>
    </row>
    <row r="4677" spans="1:3" ht="15.75" thickBot="1">
      <c r="A4677" s="6" t="s">
        <v>8890</v>
      </c>
      <c r="B4677" s="5" t="s">
        <v>8891</v>
      </c>
      <c r="C4677" s="3" t="s">
        <v>5</v>
      </c>
    </row>
    <row r="4678" spans="1:3" ht="15.75" thickBot="1">
      <c r="A4678" s="6" t="s">
        <v>8892</v>
      </c>
      <c r="B4678" s="5" t="s">
        <v>8893</v>
      </c>
      <c r="C4678" s="3" t="s">
        <v>5</v>
      </c>
    </row>
    <row r="4679" spans="1:3" ht="15.75" thickBot="1">
      <c r="A4679" s="6" t="s">
        <v>8894</v>
      </c>
      <c r="B4679" s="5" t="s">
        <v>8895</v>
      </c>
      <c r="C4679" s="3" t="s">
        <v>5</v>
      </c>
    </row>
    <row r="4680" spans="1:3" ht="15.75" thickBot="1">
      <c r="A4680" s="6" t="s">
        <v>8896</v>
      </c>
      <c r="B4680" s="5" t="s">
        <v>8897</v>
      </c>
      <c r="C4680" s="3" t="s">
        <v>5</v>
      </c>
    </row>
    <row r="4681" spans="1:3" ht="15.75" thickBot="1">
      <c r="A4681" s="6" t="s">
        <v>8898</v>
      </c>
      <c r="B4681" s="5" t="s">
        <v>8899</v>
      </c>
      <c r="C4681" s="3" t="s">
        <v>5</v>
      </c>
    </row>
    <row r="4682" spans="1:3" ht="15.75" thickBot="1">
      <c r="A4682" s="6" t="s">
        <v>8900</v>
      </c>
      <c r="B4682" s="5" t="s">
        <v>8901</v>
      </c>
      <c r="C4682" s="3" t="s">
        <v>5</v>
      </c>
    </row>
    <row r="4683" spans="1:3" ht="15.75" thickBot="1">
      <c r="A4683" s="6" t="s">
        <v>8902</v>
      </c>
      <c r="B4683" s="5" t="s">
        <v>8903</v>
      </c>
      <c r="C4683" s="3" t="s">
        <v>5</v>
      </c>
    </row>
    <row r="4684" spans="1:3" ht="15.75" thickBot="1">
      <c r="A4684" s="6" t="s">
        <v>8904</v>
      </c>
      <c r="B4684" s="5" t="s">
        <v>8905</v>
      </c>
      <c r="C4684" s="3" t="s">
        <v>5</v>
      </c>
    </row>
    <row r="4685" spans="1:3" ht="15.75" thickBot="1">
      <c r="A4685" s="6" t="s">
        <v>8906</v>
      </c>
      <c r="B4685" s="5" t="s">
        <v>8907</v>
      </c>
      <c r="C4685" s="3" t="s">
        <v>5</v>
      </c>
    </row>
    <row r="4686" spans="1:3" ht="15.75" thickBot="1">
      <c r="A4686" s="6" t="s">
        <v>8908</v>
      </c>
      <c r="B4686" s="5" t="s">
        <v>8909</v>
      </c>
      <c r="C4686" s="3" t="s">
        <v>5</v>
      </c>
    </row>
    <row r="4687" spans="1:3" ht="15.75" thickBot="1">
      <c r="A4687" s="6" t="s">
        <v>8910</v>
      </c>
      <c r="B4687" s="5" t="s">
        <v>8911</v>
      </c>
      <c r="C4687" s="3" t="s">
        <v>5</v>
      </c>
    </row>
    <row r="4688" spans="1:3" ht="15.75" thickBot="1">
      <c r="A4688" s="6" t="s">
        <v>8912</v>
      </c>
      <c r="B4688" s="5" t="s">
        <v>8913</v>
      </c>
      <c r="C4688" s="3" t="s">
        <v>5</v>
      </c>
    </row>
    <row r="4689" spans="1:3" ht="15.75" thickBot="1">
      <c r="A4689" s="6" t="s">
        <v>8914</v>
      </c>
      <c r="B4689" s="5" t="s">
        <v>8915</v>
      </c>
      <c r="C4689" s="3" t="s">
        <v>5</v>
      </c>
    </row>
    <row r="4690" spans="1:3" ht="15.75" thickBot="1">
      <c r="A4690" s="6" t="s">
        <v>8916</v>
      </c>
      <c r="B4690" s="5" t="s">
        <v>8917</v>
      </c>
      <c r="C4690" s="3" t="s">
        <v>5</v>
      </c>
    </row>
    <row r="4691" spans="1:3" ht="15.75" thickBot="1">
      <c r="A4691" s="6" t="s">
        <v>8918</v>
      </c>
      <c r="B4691" s="5" t="s">
        <v>8919</v>
      </c>
      <c r="C4691" s="3" t="s">
        <v>5</v>
      </c>
    </row>
    <row r="4692" spans="1:3" ht="15.75" thickBot="1">
      <c r="A4692" s="6" t="s">
        <v>8920</v>
      </c>
      <c r="B4692" s="5" t="s">
        <v>8921</v>
      </c>
      <c r="C4692" s="3" t="s">
        <v>5</v>
      </c>
    </row>
    <row r="4693" spans="1:3" ht="15.75" thickBot="1">
      <c r="A4693" s="6" t="s">
        <v>8922</v>
      </c>
      <c r="B4693" s="5" t="s">
        <v>8923</v>
      </c>
      <c r="C4693" s="3" t="s">
        <v>5</v>
      </c>
    </row>
    <row r="4694" spans="1:3" ht="15.75" thickBot="1">
      <c r="A4694" s="6" t="s">
        <v>8924</v>
      </c>
      <c r="B4694" s="5" t="e">
        <f xml:space="preserve"> imperfect capacitance</f>
        <v>#NAME?</v>
      </c>
      <c r="C4694" s="3" t="s">
        <v>5</v>
      </c>
    </row>
    <row r="4695" spans="1:3" ht="15.75" thickBot="1">
      <c r="A4695" s="6" t="s">
        <v>8925</v>
      </c>
      <c r="B4695" s="5" t="s">
        <v>8926</v>
      </c>
      <c r="C4695" s="3" t="s">
        <v>5</v>
      </c>
    </row>
    <row r="4696" spans="1:3" ht="15.75" thickBot="1">
      <c r="A4696" s="6" t="s">
        <v>8927</v>
      </c>
      <c r="B4696" s="5" t="s">
        <v>8928</v>
      </c>
      <c r="C4696" s="3" t="s">
        <v>5</v>
      </c>
    </row>
    <row r="4697" spans="1:3" ht="15.75" thickBot="1">
      <c r="A4697" s="6" t="s">
        <v>8929</v>
      </c>
      <c r="B4697" s="5" t="s">
        <v>8930</v>
      </c>
      <c r="C4697" s="3" t="s">
        <v>5</v>
      </c>
    </row>
    <row r="4698" spans="1:3" ht="15.75" thickBot="1">
      <c r="A4698" s="6" t="s">
        <v>8931</v>
      </c>
      <c r="B4698" s="5" t="s">
        <v>8932</v>
      </c>
      <c r="C4698" s="3" t="s">
        <v>5</v>
      </c>
    </row>
    <row r="4699" spans="1:3" ht="15.75" thickBot="1">
      <c r="A4699" s="6" t="s">
        <v>8933</v>
      </c>
      <c r="B4699" s="5" t="s">
        <v>8934</v>
      </c>
      <c r="C4699" s="3" t="s">
        <v>5</v>
      </c>
    </row>
    <row r="4700" spans="1:3" ht="15.75" thickBot="1">
      <c r="A4700" s="6" t="s">
        <v>8935</v>
      </c>
      <c r="B4700" s="5" t="s">
        <v>8936</v>
      </c>
      <c r="C4700" s="3" t="s">
        <v>5</v>
      </c>
    </row>
    <row r="4701" spans="1:3" ht="15.75" thickBot="1">
      <c r="A4701" s="6" t="s">
        <v>8937</v>
      </c>
      <c r="B4701" s="5" t="s">
        <v>8938</v>
      </c>
      <c r="C4701" s="3" t="s">
        <v>5</v>
      </c>
    </row>
    <row r="4702" spans="1:3" ht="15.75" thickBot="1">
      <c r="A4702" s="6" t="s">
        <v>8939</v>
      </c>
      <c r="B4702" s="5" t="s">
        <v>8940</v>
      </c>
      <c r="C4702" s="3" t="s">
        <v>5</v>
      </c>
    </row>
    <row r="4703" spans="1:3" ht="15.75" thickBot="1">
      <c r="A4703" s="6" t="s">
        <v>8941</v>
      </c>
      <c r="B4703" s="5" t="s">
        <v>8942</v>
      </c>
      <c r="C4703" s="3" t="s">
        <v>5</v>
      </c>
    </row>
    <row r="4704" spans="1:3" ht="15.75" thickBot="1">
      <c r="A4704" s="6" t="s">
        <v>8943</v>
      </c>
      <c r="B4704" s="5" t="s">
        <v>8944</v>
      </c>
      <c r="C4704" s="3" t="s">
        <v>5</v>
      </c>
    </row>
    <row r="4705" spans="1:3" ht="15.75" thickBot="1">
      <c r="A4705" s="6" t="s">
        <v>8945</v>
      </c>
      <c r="B4705" s="5" t="s">
        <v>8946</v>
      </c>
      <c r="C4705" s="3" t="s">
        <v>5</v>
      </c>
    </row>
    <row r="4706" spans="1:3" ht="15.75" thickBot="1">
      <c r="A4706" s="6" t="s">
        <v>8947</v>
      </c>
      <c r="B4706" s="5" t="s">
        <v>4240</v>
      </c>
      <c r="C4706" s="3" t="s">
        <v>5</v>
      </c>
    </row>
    <row r="4707" spans="1:3" ht="15.75" thickBot="1">
      <c r="A4707" s="6" t="s">
        <v>8819</v>
      </c>
      <c r="B4707" s="5" t="s">
        <v>8948</v>
      </c>
      <c r="C4707" s="3" t="s">
        <v>5</v>
      </c>
    </row>
    <row r="4708" spans="1:3" ht="15.75" thickBot="1">
      <c r="A4708" s="6" t="s">
        <v>8949</v>
      </c>
      <c r="B4708" s="5" t="s">
        <v>8950</v>
      </c>
      <c r="C4708" s="3" t="s">
        <v>5</v>
      </c>
    </row>
    <row r="4709" spans="1:3" ht="15.75" thickBot="1">
      <c r="A4709" s="6" t="s">
        <v>8951</v>
      </c>
      <c r="B4709" s="5" t="s">
        <v>8952</v>
      </c>
      <c r="C4709" s="3" t="s">
        <v>5</v>
      </c>
    </row>
    <row r="4710" spans="1:3" ht="15.75" thickBot="1">
      <c r="A4710" s="6" t="s">
        <v>8953</v>
      </c>
      <c r="B4710" s="5" t="s">
        <v>8954</v>
      </c>
      <c r="C4710" s="3" t="s">
        <v>5</v>
      </c>
    </row>
    <row r="4711" spans="1:3" ht="15.75" thickBot="1">
      <c r="A4711" s="6" t="s">
        <v>8955</v>
      </c>
      <c r="B4711" s="5" t="s">
        <v>8956</v>
      </c>
      <c r="C4711" s="3" t="s">
        <v>5</v>
      </c>
    </row>
    <row r="4712" spans="1:3" ht="15.75" thickBot="1">
      <c r="A4712" s="6" t="s">
        <v>8957</v>
      </c>
      <c r="B4712" s="5" t="s">
        <v>8958</v>
      </c>
      <c r="C4712" s="3" t="s">
        <v>5</v>
      </c>
    </row>
    <row r="4713" spans="1:3" ht="15.75" thickBot="1">
      <c r="A4713" s="6" t="s">
        <v>8959</v>
      </c>
      <c r="B4713" s="5" t="s">
        <v>8960</v>
      </c>
      <c r="C4713" s="3" t="s">
        <v>5</v>
      </c>
    </row>
    <row r="4714" spans="1:3" ht="15.75" thickBot="1">
      <c r="A4714" s="6" t="s">
        <v>8961</v>
      </c>
      <c r="B4714" s="5" t="s">
        <v>8962</v>
      </c>
      <c r="C4714" s="3" t="s">
        <v>5</v>
      </c>
    </row>
    <row r="4715" spans="1:3" ht="15.75" thickBot="1">
      <c r="A4715" s="6" t="s">
        <v>8963</v>
      </c>
      <c r="B4715" s="5" t="s">
        <v>8964</v>
      </c>
      <c r="C4715" s="3" t="s">
        <v>5</v>
      </c>
    </row>
    <row r="4716" spans="1:3" ht="15.75" thickBot="1">
      <c r="A4716" s="6" t="s">
        <v>8965</v>
      </c>
      <c r="B4716" s="5" t="s">
        <v>8966</v>
      </c>
      <c r="C4716" s="3" t="s">
        <v>5</v>
      </c>
    </row>
    <row r="4717" spans="1:3" ht="15.75" thickBot="1">
      <c r="A4717" s="6" t="s">
        <v>8967</v>
      </c>
      <c r="B4717" s="5" t="s">
        <v>8968</v>
      </c>
      <c r="C4717" s="3" t="s">
        <v>5</v>
      </c>
    </row>
    <row r="4718" spans="1:3" ht="15.75" thickBot="1">
      <c r="A4718" s="6" t="s">
        <v>8969</v>
      </c>
      <c r="B4718" s="5" t="s">
        <v>8970</v>
      </c>
      <c r="C4718" s="3" t="s">
        <v>5</v>
      </c>
    </row>
    <row r="4719" spans="1:3" ht="15.75" thickBot="1">
      <c r="A4719" s="6" t="s">
        <v>8971</v>
      </c>
      <c r="B4719" s="5" t="s">
        <v>8972</v>
      </c>
      <c r="C4719" s="3" t="s">
        <v>5</v>
      </c>
    </row>
    <row r="4720" spans="1:3" ht="15.75" thickBot="1">
      <c r="A4720" s="6" t="s">
        <v>8973</v>
      </c>
      <c r="B4720" s="5" t="s">
        <v>8974</v>
      </c>
      <c r="C4720" s="3" t="s">
        <v>5</v>
      </c>
    </row>
    <row r="4721" spans="1:3" ht="15.75" thickBot="1">
      <c r="A4721" s="6" t="s">
        <v>8975</v>
      </c>
      <c r="B4721" s="5" t="s">
        <v>8976</v>
      </c>
      <c r="C4721" s="3" t="s">
        <v>5</v>
      </c>
    </row>
    <row r="4722" spans="1:3" ht="15.75" thickBot="1">
      <c r="A4722" s="6" t="s">
        <v>8977</v>
      </c>
      <c r="B4722" s="5" t="s">
        <v>8978</v>
      </c>
      <c r="C4722" s="3" t="s">
        <v>5</v>
      </c>
    </row>
    <row r="4723" spans="1:3" ht="15.75" thickBot="1">
      <c r="A4723" s="6" t="s">
        <v>8979</v>
      </c>
      <c r="B4723" s="5" t="s">
        <v>8980</v>
      </c>
      <c r="C4723" s="3" t="s">
        <v>5</v>
      </c>
    </row>
    <row r="4724" spans="1:3" ht="15.75" thickBot="1">
      <c r="A4724" s="6" t="s">
        <v>8981</v>
      </c>
      <c r="B4724" s="5" t="s">
        <v>8982</v>
      </c>
      <c r="C4724" s="3" t="s">
        <v>5</v>
      </c>
    </row>
    <row r="4725" spans="1:3" ht="15.75" thickBot="1">
      <c r="A4725" s="6" t="s">
        <v>8983</v>
      </c>
      <c r="B4725" s="5" t="s">
        <v>8984</v>
      </c>
      <c r="C4725" s="3" t="s">
        <v>5</v>
      </c>
    </row>
    <row r="4726" spans="1:3" ht="15.75" thickBot="1">
      <c r="A4726" s="6" t="s">
        <v>8985</v>
      </c>
      <c r="B4726" s="5" t="s">
        <v>8986</v>
      </c>
      <c r="C4726" s="3" t="s">
        <v>5</v>
      </c>
    </row>
    <row r="4727" spans="1:3" ht="15.75" thickBot="1">
      <c r="A4727" s="6" t="s">
        <v>8987</v>
      </c>
      <c r="B4727" s="5" t="s">
        <v>8988</v>
      </c>
      <c r="C4727" s="3" t="s">
        <v>5</v>
      </c>
    </row>
    <row r="4728" spans="1:3" ht="15.75" thickBot="1">
      <c r="A4728" s="6" t="s">
        <v>8989</v>
      </c>
      <c r="B4728" s="5" t="s">
        <v>8990</v>
      </c>
      <c r="C4728" s="3" t="s">
        <v>5</v>
      </c>
    </row>
    <row r="4729" spans="1:3" ht="15.75" thickBot="1">
      <c r="A4729" s="6" t="s">
        <v>8991</v>
      </c>
      <c r="B4729" s="5" t="s">
        <v>8988</v>
      </c>
      <c r="C4729" s="3" t="s">
        <v>5</v>
      </c>
    </row>
    <row r="4730" spans="1:3" ht="15.75" thickBot="1">
      <c r="A4730" s="6" t="s">
        <v>8992</v>
      </c>
      <c r="B4730" s="5" t="s">
        <v>8993</v>
      </c>
      <c r="C4730" s="3" t="s">
        <v>5</v>
      </c>
    </row>
    <row r="4731" spans="1:3" ht="15.75" thickBot="1">
      <c r="A4731" s="6" t="s">
        <v>8994</v>
      </c>
      <c r="B4731" s="5" t="s">
        <v>8995</v>
      </c>
      <c r="C4731" s="3" t="s">
        <v>5</v>
      </c>
    </row>
    <row r="4732" spans="1:3" ht="15.75" thickBot="1">
      <c r="A4732" s="6" t="s">
        <v>8996</v>
      </c>
      <c r="B4732" s="5" t="s">
        <v>8997</v>
      </c>
      <c r="C4732" s="3" t="s">
        <v>5</v>
      </c>
    </row>
    <row r="4733" spans="1:3" ht="15.75" thickBot="1">
      <c r="A4733" s="6" t="s">
        <v>8998</v>
      </c>
      <c r="B4733" s="5" t="s">
        <v>8999</v>
      </c>
      <c r="C4733" s="3" t="s">
        <v>5</v>
      </c>
    </row>
    <row r="4734" spans="1:3" ht="15.75" thickBot="1">
      <c r="A4734" s="6" t="s">
        <v>9000</v>
      </c>
      <c r="B4734" s="5" t="s">
        <v>9001</v>
      </c>
      <c r="C4734" s="3" t="s">
        <v>5</v>
      </c>
    </row>
    <row r="4735" spans="1:3">
      <c r="A4735" s="1" t="s">
        <v>9002</v>
      </c>
      <c r="B4735" s="2" t="s">
        <v>9003</v>
      </c>
      <c r="C4735" s="3" t="s">
        <v>5</v>
      </c>
    </row>
    <row r="4736" spans="1:3" ht="15.75" thickBot="1">
      <c r="A4736" s="4"/>
      <c r="B4736" s="5" t="s">
        <v>9004</v>
      </c>
      <c r="C4736" s="3" t="s">
        <v>5</v>
      </c>
    </row>
    <row r="4737" spans="1:3" ht="15.75" thickBot="1">
      <c r="A4737" s="6" t="s">
        <v>9005</v>
      </c>
      <c r="B4737" s="5" t="s">
        <v>9006</v>
      </c>
      <c r="C4737" s="3" t="s">
        <v>5</v>
      </c>
    </row>
    <row r="4738" spans="1:3" ht="15.75" thickBot="1">
      <c r="A4738" s="6" t="s">
        <v>9007</v>
      </c>
      <c r="B4738" s="5" t="s">
        <v>9008</v>
      </c>
      <c r="C4738" s="3" t="s">
        <v>5</v>
      </c>
    </row>
    <row r="4739" spans="1:3" ht="15.75" thickBot="1">
      <c r="A4739" s="6" t="s">
        <v>9009</v>
      </c>
      <c r="B4739" s="5" t="s">
        <v>9010</v>
      </c>
      <c r="C4739" s="3" t="s">
        <v>5</v>
      </c>
    </row>
    <row r="4740" spans="1:3" ht="15.75" thickBot="1">
      <c r="A4740" s="6" t="s">
        <v>9011</v>
      </c>
      <c r="B4740" s="5" t="s">
        <v>9012</v>
      </c>
      <c r="C4740" s="3" t="s">
        <v>5</v>
      </c>
    </row>
    <row r="4741" spans="1:3" ht="15.75" thickBot="1">
      <c r="A4741" s="6" t="s">
        <v>9013</v>
      </c>
      <c r="B4741" s="5" t="s">
        <v>9014</v>
      </c>
      <c r="C4741" s="3" t="s">
        <v>5</v>
      </c>
    </row>
    <row r="4742" spans="1:3" ht="15.75" thickBot="1">
      <c r="A4742" s="6" t="s">
        <v>9015</v>
      </c>
      <c r="B4742" s="5" t="s">
        <v>9016</v>
      </c>
      <c r="C4742" s="3" t="s">
        <v>5</v>
      </c>
    </row>
    <row r="4743" spans="1:3" ht="15.75" thickBot="1">
      <c r="A4743" s="6" t="s">
        <v>9017</v>
      </c>
      <c r="B4743" s="5" t="s">
        <v>9018</v>
      </c>
      <c r="C4743" s="3" t="s">
        <v>5</v>
      </c>
    </row>
    <row r="4744" spans="1:3" ht="15.75" thickBot="1">
      <c r="A4744" s="6" t="s">
        <v>9019</v>
      </c>
      <c r="B4744" s="5" t="s">
        <v>9020</v>
      </c>
      <c r="C4744" s="3" t="s">
        <v>5</v>
      </c>
    </row>
    <row r="4745" spans="1:3" ht="15.75" thickBot="1">
      <c r="A4745" s="6" t="s">
        <v>9021</v>
      </c>
      <c r="B4745" s="5" t="s">
        <v>9022</v>
      </c>
      <c r="C4745" s="3" t="s">
        <v>5</v>
      </c>
    </row>
    <row r="4746" spans="1:3" ht="15.75" thickBot="1">
      <c r="A4746" s="6" t="s">
        <v>9023</v>
      </c>
      <c r="B4746" s="5" t="s">
        <v>9024</v>
      </c>
      <c r="C4746" s="3" t="s">
        <v>5</v>
      </c>
    </row>
    <row r="4747" spans="1:3" ht="15.75" thickBot="1">
      <c r="A4747" s="6" t="s">
        <v>9025</v>
      </c>
      <c r="B4747" s="5" t="s">
        <v>9026</v>
      </c>
      <c r="C4747" s="3" t="s">
        <v>5</v>
      </c>
    </row>
    <row r="4748" spans="1:3" ht="15.75" thickBot="1">
      <c r="A4748" s="6" t="s">
        <v>9027</v>
      </c>
      <c r="B4748" s="5" t="s">
        <v>9028</v>
      </c>
      <c r="C4748" s="3" t="s">
        <v>5</v>
      </c>
    </row>
    <row r="4749" spans="1:3" ht="15.75" thickBot="1">
      <c r="A4749" s="6" t="s">
        <v>9029</v>
      </c>
      <c r="B4749" s="5" t="s">
        <v>9030</v>
      </c>
      <c r="C4749" s="3" t="s">
        <v>5</v>
      </c>
    </row>
    <row r="4750" spans="1:3" ht="15.75" thickBot="1">
      <c r="A4750" s="6" t="s">
        <v>9031</v>
      </c>
      <c r="B4750" s="5" t="s">
        <v>9032</v>
      </c>
      <c r="C4750" s="3" t="s">
        <v>5</v>
      </c>
    </row>
    <row r="4751" spans="1:3" ht="15.75" thickBot="1">
      <c r="A4751" s="6" t="s">
        <v>9033</v>
      </c>
      <c r="B4751" s="5" t="s">
        <v>9034</v>
      </c>
      <c r="C4751" s="3" t="s">
        <v>5</v>
      </c>
    </row>
    <row r="4752" spans="1:3" ht="15.75" thickBot="1">
      <c r="A4752" s="6" t="s">
        <v>9035</v>
      </c>
      <c r="B4752" s="5" t="s">
        <v>9036</v>
      </c>
      <c r="C4752" s="3" t="s">
        <v>5</v>
      </c>
    </row>
    <row r="4753" spans="1:3" ht="15.75" thickBot="1">
      <c r="A4753" s="6" t="s">
        <v>9037</v>
      </c>
      <c r="B4753" s="5" t="s">
        <v>9038</v>
      </c>
      <c r="C4753" s="3" t="s">
        <v>5</v>
      </c>
    </row>
    <row r="4754" spans="1:3" ht="15.75" thickBot="1">
      <c r="A4754" s="6" t="s">
        <v>9039</v>
      </c>
      <c r="B4754" s="5" t="s">
        <v>9040</v>
      </c>
      <c r="C4754" s="3" t="s">
        <v>5</v>
      </c>
    </row>
    <row r="4755" spans="1:3" ht="15.75" thickBot="1">
      <c r="A4755" s="6" t="s">
        <v>9041</v>
      </c>
      <c r="B4755" s="5" t="s">
        <v>9042</v>
      </c>
      <c r="C4755" s="3" t="s">
        <v>5</v>
      </c>
    </row>
    <row r="4756" spans="1:3" ht="15.75" thickBot="1">
      <c r="A4756" s="6" t="s">
        <v>9043</v>
      </c>
      <c r="B4756" s="5" t="s">
        <v>9044</v>
      </c>
      <c r="C4756" s="3" t="s">
        <v>5</v>
      </c>
    </row>
    <row r="4757" spans="1:3" ht="15.75" thickBot="1">
      <c r="A4757" s="6" t="s">
        <v>9045</v>
      </c>
      <c r="B4757" s="5" t="s">
        <v>9046</v>
      </c>
      <c r="C4757" s="3" t="s">
        <v>5</v>
      </c>
    </row>
    <row r="4758" spans="1:3" ht="15.75" thickBot="1">
      <c r="A4758" s="6" t="s">
        <v>9047</v>
      </c>
      <c r="B4758" s="5" t="s">
        <v>9048</v>
      </c>
      <c r="C4758" s="3" t="s">
        <v>5</v>
      </c>
    </row>
    <row r="4759" spans="1:3" ht="15.75" thickBot="1">
      <c r="A4759" s="6" t="s">
        <v>9049</v>
      </c>
      <c r="B4759" s="5" t="s">
        <v>9050</v>
      </c>
      <c r="C4759" s="3" t="s">
        <v>5</v>
      </c>
    </row>
    <row r="4760" spans="1:3" ht="15.75" thickBot="1">
      <c r="A4760" s="6" t="s">
        <v>9051</v>
      </c>
      <c r="B4760" s="5" t="s">
        <v>9052</v>
      </c>
      <c r="C4760" s="3" t="s">
        <v>5</v>
      </c>
    </row>
    <row r="4761" spans="1:3" ht="15.75" thickBot="1">
      <c r="A4761" s="6" t="s">
        <v>9053</v>
      </c>
      <c r="B4761" s="5" t="s">
        <v>9054</v>
      </c>
      <c r="C4761" s="3" t="s">
        <v>5</v>
      </c>
    </row>
    <row r="4762" spans="1:3" ht="15.75" thickBot="1">
      <c r="A4762" s="6" t="s">
        <v>9055</v>
      </c>
      <c r="B4762" s="5" t="s">
        <v>9056</v>
      </c>
      <c r="C4762" s="3" t="s">
        <v>5</v>
      </c>
    </row>
    <row r="4763" spans="1:3" ht="15.75" thickBot="1">
      <c r="A4763" s="6" t="s">
        <v>9057</v>
      </c>
      <c r="B4763" s="5" t="s">
        <v>9058</v>
      </c>
      <c r="C4763" s="3" t="s">
        <v>5</v>
      </c>
    </row>
    <row r="4764" spans="1:3" ht="15.75" thickBot="1">
      <c r="A4764" s="6" t="s">
        <v>9059</v>
      </c>
      <c r="B4764" s="5" t="s">
        <v>9060</v>
      </c>
      <c r="C4764" s="3" t="s">
        <v>5</v>
      </c>
    </row>
    <row r="4765" spans="1:3" ht="15.75" thickBot="1">
      <c r="A4765" s="6" t="s">
        <v>9061</v>
      </c>
      <c r="B4765" s="5" t="s">
        <v>9062</v>
      </c>
      <c r="C4765" s="3" t="s">
        <v>5</v>
      </c>
    </row>
    <row r="4766" spans="1:3" ht="15.75" thickBot="1">
      <c r="A4766" s="6" t="s">
        <v>9063</v>
      </c>
      <c r="B4766" s="5" t="s">
        <v>9064</v>
      </c>
      <c r="C4766" s="3" t="s">
        <v>5</v>
      </c>
    </row>
    <row r="4767" spans="1:3" ht="15.75" thickBot="1">
      <c r="A4767" s="6" t="s">
        <v>9065</v>
      </c>
      <c r="B4767" s="5" t="s">
        <v>9066</v>
      </c>
      <c r="C4767" s="3" t="s">
        <v>5</v>
      </c>
    </row>
    <row r="4768" spans="1:3" ht="15.75" thickBot="1">
      <c r="A4768" s="6" t="s">
        <v>9067</v>
      </c>
      <c r="B4768" s="5" t="s">
        <v>9068</v>
      </c>
      <c r="C4768" s="3" t="s">
        <v>5</v>
      </c>
    </row>
    <row r="4769" spans="1:3" ht="15.75" thickBot="1">
      <c r="A4769" s="6" t="s">
        <v>9069</v>
      </c>
      <c r="B4769" s="5" t="s">
        <v>9070</v>
      </c>
      <c r="C4769" s="3" t="s">
        <v>5</v>
      </c>
    </row>
    <row r="4770" spans="1:3" ht="15.75" thickBot="1">
      <c r="A4770" s="6" t="s">
        <v>9071</v>
      </c>
      <c r="B4770" s="5" t="s">
        <v>9072</v>
      </c>
      <c r="C4770" s="3" t="s">
        <v>5</v>
      </c>
    </row>
    <row r="4771" spans="1:3" ht="15.75" thickBot="1">
      <c r="A4771" s="6" t="s">
        <v>9073</v>
      </c>
      <c r="B4771" s="5" t="s">
        <v>9074</v>
      </c>
      <c r="C4771" s="3" t="s">
        <v>5</v>
      </c>
    </row>
    <row r="4772" spans="1:3" ht="15.75" thickBot="1">
      <c r="A4772" s="6" t="s">
        <v>9075</v>
      </c>
      <c r="B4772" s="5" t="s">
        <v>9076</v>
      </c>
      <c r="C4772" s="3" t="s">
        <v>5</v>
      </c>
    </row>
    <row r="4773" spans="1:3" ht="15.75" thickBot="1">
      <c r="A4773" s="6" t="s">
        <v>9077</v>
      </c>
      <c r="B4773" s="5" t="s">
        <v>9078</v>
      </c>
      <c r="C4773" s="3" t="s">
        <v>5</v>
      </c>
    </row>
    <row r="4774" spans="1:3" ht="15.75" thickBot="1">
      <c r="A4774" s="6" t="s">
        <v>9079</v>
      </c>
      <c r="B4774" s="5" t="s">
        <v>9080</v>
      </c>
      <c r="C4774" s="3" t="s">
        <v>5</v>
      </c>
    </row>
    <row r="4775" spans="1:3" ht="15.75" thickBot="1">
      <c r="A4775" s="6" t="s">
        <v>9081</v>
      </c>
      <c r="B4775" s="5" t="s">
        <v>9082</v>
      </c>
      <c r="C4775" s="3" t="s">
        <v>5</v>
      </c>
    </row>
    <row r="4776" spans="1:3" ht="15.75" thickBot="1">
      <c r="A4776" s="6" t="s">
        <v>9083</v>
      </c>
      <c r="B4776" s="5" t="s">
        <v>9084</v>
      </c>
      <c r="C4776" s="3" t="s">
        <v>5</v>
      </c>
    </row>
    <row r="4777" spans="1:3" ht="15.75" thickBot="1">
      <c r="A4777" s="6" t="s">
        <v>9085</v>
      </c>
      <c r="B4777" s="5" t="s">
        <v>9086</v>
      </c>
      <c r="C4777" s="3" t="s">
        <v>5</v>
      </c>
    </row>
    <row r="4778" spans="1:3" ht="15.75" thickBot="1">
      <c r="A4778" s="6" t="s">
        <v>9087</v>
      </c>
      <c r="B4778" s="5" t="s">
        <v>9088</v>
      </c>
      <c r="C4778" s="3" t="s">
        <v>5</v>
      </c>
    </row>
    <row r="4779" spans="1:3" ht="15.75" thickBot="1">
      <c r="A4779" s="6" t="s">
        <v>9089</v>
      </c>
      <c r="B4779" s="5" t="s">
        <v>9090</v>
      </c>
      <c r="C4779" s="3" t="s">
        <v>5</v>
      </c>
    </row>
    <row r="4780" spans="1:3" ht="15.75" thickBot="1">
      <c r="A4780" s="6" t="s">
        <v>9091</v>
      </c>
      <c r="B4780" s="5" t="s">
        <v>9092</v>
      </c>
      <c r="C4780" s="3" t="s">
        <v>5</v>
      </c>
    </row>
    <row r="4781" spans="1:3" ht="15.75" thickBot="1">
      <c r="A4781" s="6" t="s">
        <v>9093</v>
      </c>
      <c r="B4781" s="5" t="s">
        <v>9094</v>
      </c>
      <c r="C4781" s="3" t="s">
        <v>5</v>
      </c>
    </row>
    <row r="4782" spans="1:3" ht="15.75" thickBot="1">
      <c r="A4782" s="6" t="s">
        <v>9095</v>
      </c>
      <c r="B4782" s="5" t="s">
        <v>9096</v>
      </c>
      <c r="C4782" s="3" t="s">
        <v>5</v>
      </c>
    </row>
    <row r="4783" spans="1:3" ht="15.75" thickBot="1">
      <c r="A4783" s="6" t="s">
        <v>9097</v>
      </c>
      <c r="B4783" s="5" t="s">
        <v>9098</v>
      </c>
      <c r="C4783" s="3" t="s">
        <v>5</v>
      </c>
    </row>
    <row r="4784" spans="1:3" ht="26.25" thickBot="1">
      <c r="A4784" s="6" t="s">
        <v>9099</v>
      </c>
      <c r="B4784" s="5" t="s">
        <v>9100</v>
      </c>
      <c r="C4784" s="3" t="s">
        <v>5</v>
      </c>
    </row>
    <row r="4785" spans="1:3" ht="15.75" thickBot="1">
      <c r="A4785" s="6" t="s">
        <v>9101</v>
      </c>
      <c r="B4785" s="5" t="s">
        <v>9102</v>
      </c>
      <c r="C4785" s="3" t="s">
        <v>5</v>
      </c>
    </row>
    <row r="4786" spans="1:3" ht="15.75" thickBot="1">
      <c r="A4786" s="6" t="s">
        <v>9103</v>
      </c>
      <c r="B4786" s="5" t="s">
        <v>9104</v>
      </c>
      <c r="C4786" s="3" t="s">
        <v>5</v>
      </c>
    </row>
    <row r="4787" spans="1:3" ht="15.75" thickBot="1">
      <c r="A4787" s="6" t="s">
        <v>9105</v>
      </c>
      <c r="B4787" s="5" t="s">
        <v>9106</v>
      </c>
      <c r="C4787" s="3" t="s">
        <v>5</v>
      </c>
    </row>
    <row r="4788" spans="1:3" ht="15.75" thickBot="1">
      <c r="A4788" s="6" t="s">
        <v>9107</v>
      </c>
      <c r="B4788" s="5" t="s">
        <v>9108</v>
      </c>
      <c r="C4788" s="3" t="s">
        <v>5</v>
      </c>
    </row>
    <row r="4789" spans="1:3" ht="15.75" thickBot="1">
      <c r="A4789" s="6" t="s">
        <v>9109</v>
      </c>
      <c r="B4789" s="5" t="s">
        <v>9110</v>
      </c>
      <c r="C4789" s="3" t="s">
        <v>5</v>
      </c>
    </row>
    <row r="4790" spans="1:3" ht="15.75" thickBot="1">
      <c r="A4790" s="6" t="s">
        <v>9111</v>
      </c>
      <c r="B4790" s="5" t="s">
        <v>9112</v>
      </c>
      <c r="C4790" s="3" t="s">
        <v>5</v>
      </c>
    </row>
    <row r="4791" spans="1:3" ht="15.75" thickBot="1">
      <c r="A4791" s="6" t="s">
        <v>9113</v>
      </c>
      <c r="B4791" s="5" t="s">
        <v>9114</v>
      </c>
      <c r="C4791" s="3" t="s">
        <v>5</v>
      </c>
    </row>
    <row r="4792" spans="1:3" ht="15.75" thickBot="1">
      <c r="A4792" s="6" t="s">
        <v>9115</v>
      </c>
      <c r="B4792" s="5" t="s">
        <v>9116</v>
      </c>
      <c r="C4792" s="3" t="s">
        <v>5</v>
      </c>
    </row>
    <row r="4793" spans="1:3" ht="15.75" thickBot="1">
      <c r="A4793" s="6" t="s">
        <v>9117</v>
      </c>
      <c r="B4793" s="5" t="s">
        <v>9118</v>
      </c>
      <c r="C4793" s="3" t="s">
        <v>5</v>
      </c>
    </row>
    <row r="4794" spans="1:3">
      <c r="A4794" s="1" t="s">
        <v>9119</v>
      </c>
      <c r="B4794" s="2" t="s">
        <v>9120</v>
      </c>
      <c r="C4794" s="3" t="s">
        <v>5</v>
      </c>
    </row>
    <row r="4795" spans="1:3" ht="15.75" thickBot="1">
      <c r="A4795" s="4"/>
      <c r="B4795" s="5" t="e">
        <f xml:space="preserve"> line voltage</f>
        <v>#NAME?</v>
      </c>
      <c r="C4795" s="3" t="s">
        <v>5</v>
      </c>
    </row>
    <row r="4796" spans="1:3" ht="15.75" thickBot="1">
      <c r="A4796" s="6" t="s">
        <v>9121</v>
      </c>
      <c r="B4796" s="5" t="s">
        <v>9122</v>
      </c>
      <c r="C4796" s="3" t="s">
        <v>5</v>
      </c>
    </row>
    <row r="4797" spans="1:3" ht="15.75" thickBot="1">
      <c r="A4797" s="6" t="s">
        <v>9123</v>
      </c>
      <c r="B4797" s="5" t="s">
        <v>9124</v>
      </c>
      <c r="C4797" s="3" t="s">
        <v>5</v>
      </c>
    </row>
    <row r="4798" spans="1:3" ht="15.75" thickBot="1">
      <c r="A4798" s="6" t="s">
        <v>9125</v>
      </c>
      <c r="B4798" s="5" t="s">
        <v>9126</v>
      </c>
      <c r="C4798" s="3" t="s">
        <v>5</v>
      </c>
    </row>
    <row r="4799" spans="1:3" ht="15.75" thickBot="1">
      <c r="A4799" s="6" t="s">
        <v>9127</v>
      </c>
      <c r="B4799" s="5" t="s">
        <v>9128</v>
      </c>
      <c r="C4799" s="3" t="s">
        <v>5</v>
      </c>
    </row>
    <row r="4800" spans="1:3">
      <c r="A4800" s="1" t="s">
        <v>9129</v>
      </c>
      <c r="B4800" s="2" t="s">
        <v>9130</v>
      </c>
      <c r="C4800" s="3" t="s">
        <v>5</v>
      </c>
    </row>
    <row r="4801" spans="1:3" ht="15.75" thickBot="1">
      <c r="A4801" s="4"/>
      <c r="B4801" s="5" t="e">
        <f xml:space="preserve"> linear capacity</f>
        <v>#NAME?</v>
      </c>
      <c r="C4801" s="3" t="s">
        <v>5</v>
      </c>
    </row>
    <row r="4802" spans="1:3" ht="15.75" thickBot="1">
      <c r="A4802" s="6" t="s">
        <v>9131</v>
      </c>
      <c r="B4802" s="5" t="s">
        <v>9132</v>
      </c>
      <c r="C4802" s="3" t="s">
        <v>5</v>
      </c>
    </row>
    <row r="4803" spans="1:3" ht="15.75" thickBot="1">
      <c r="A4803" s="6" t="s">
        <v>9133</v>
      </c>
      <c r="B4803" s="5" t="s">
        <v>9134</v>
      </c>
      <c r="C4803" s="3" t="s">
        <v>5</v>
      </c>
    </row>
    <row r="4804" spans="1:3" ht="15.75" thickBot="1">
      <c r="A4804" s="6" t="s">
        <v>9135</v>
      </c>
      <c r="B4804" s="5" t="s">
        <v>9136</v>
      </c>
      <c r="C4804" s="3" t="s">
        <v>5</v>
      </c>
    </row>
    <row r="4805" spans="1:3" ht="15.75" thickBot="1">
      <c r="A4805" s="6" t="s">
        <v>9137</v>
      </c>
      <c r="B4805" s="5" t="s">
        <v>9138</v>
      </c>
      <c r="C4805" s="3" t="s">
        <v>5</v>
      </c>
    </row>
    <row r="4806" spans="1:3" ht="15.75" thickBot="1">
      <c r="A4806" s="6" t="s">
        <v>9139</v>
      </c>
      <c r="B4806" s="5" t="s">
        <v>9140</v>
      </c>
      <c r="C4806" s="3" t="s">
        <v>5</v>
      </c>
    </row>
    <row r="4807" spans="1:3" ht="15.75" thickBot="1">
      <c r="A4807" s="6" t="s">
        <v>9141</v>
      </c>
      <c r="B4807" s="5" t="s">
        <v>9142</v>
      </c>
      <c r="C4807" s="3" t="s">
        <v>5</v>
      </c>
    </row>
    <row r="4808" spans="1:3" ht="15.75" thickBot="1">
      <c r="A4808" s="6" t="s">
        <v>9143</v>
      </c>
      <c r="B4808" s="5" t="s">
        <v>9144</v>
      </c>
      <c r="C4808" s="3" t="s">
        <v>5</v>
      </c>
    </row>
    <row r="4809" spans="1:3" ht="15.75" thickBot="1">
      <c r="A4809" s="6" t="s">
        <v>9145</v>
      </c>
      <c r="B4809" s="5" t="s">
        <v>9146</v>
      </c>
      <c r="C4809" s="3" t="s">
        <v>5</v>
      </c>
    </row>
    <row r="4810" spans="1:3" ht="15.75" thickBot="1">
      <c r="A4810" s="6" t="s">
        <v>9147</v>
      </c>
      <c r="B4810" s="5" t="s">
        <v>9148</v>
      </c>
      <c r="C4810" s="3" t="s">
        <v>5</v>
      </c>
    </row>
    <row r="4811" spans="1:3" ht="15.75" thickBot="1">
      <c r="A4811" s="6" t="s">
        <v>9149</v>
      </c>
      <c r="B4811" s="5" t="s">
        <v>9150</v>
      </c>
      <c r="C4811" s="3" t="s">
        <v>5</v>
      </c>
    </row>
    <row r="4812" spans="1:3" ht="15.75" thickBot="1">
      <c r="A4812" s="6" t="s">
        <v>9151</v>
      </c>
      <c r="B4812" s="5" t="s">
        <v>9152</v>
      </c>
      <c r="C4812" s="3" t="s">
        <v>5</v>
      </c>
    </row>
    <row r="4813" spans="1:3" ht="15.75" thickBot="1">
      <c r="A4813" s="6" t="s">
        <v>9153</v>
      </c>
      <c r="B4813" s="5" t="s">
        <v>9154</v>
      </c>
      <c r="C4813" s="3" t="s">
        <v>5</v>
      </c>
    </row>
    <row r="4814" spans="1:3" ht="15.75" thickBot="1">
      <c r="A4814" s="6" t="s">
        <v>9155</v>
      </c>
      <c r="B4814" s="5" t="s">
        <v>9156</v>
      </c>
      <c r="C4814" s="3" t="s">
        <v>5</v>
      </c>
    </row>
    <row r="4815" spans="1:3" ht="15.75" thickBot="1">
      <c r="A4815" s="6" t="s">
        <v>9157</v>
      </c>
      <c r="B4815" s="5" t="s">
        <v>9158</v>
      </c>
      <c r="C4815" s="3" t="s">
        <v>5</v>
      </c>
    </row>
    <row r="4816" spans="1:3" ht="15.75" thickBot="1">
      <c r="A4816" s="6" t="s">
        <v>9159</v>
      </c>
      <c r="B4816" s="5" t="s">
        <v>9160</v>
      </c>
      <c r="C4816" s="3" t="s">
        <v>5</v>
      </c>
    </row>
    <row r="4817" spans="1:3" ht="15.75" thickBot="1">
      <c r="A4817" s="6" t="s">
        <v>9161</v>
      </c>
      <c r="B4817" s="5" t="s">
        <v>9162</v>
      </c>
      <c r="C4817" s="3" t="s">
        <v>5</v>
      </c>
    </row>
    <row r="4818" spans="1:3" ht="15.75" thickBot="1">
      <c r="A4818" s="6" t="s">
        <v>9163</v>
      </c>
      <c r="B4818" s="5" t="s">
        <v>9164</v>
      </c>
      <c r="C4818" s="3" t="s">
        <v>5</v>
      </c>
    </row>
    <row r="4819" spans="1:3" ht="15.75" thickBot="1">
      <c r="A4819" s="6" t="s">
        <v>9165</v>
      </c>
      <c r="B4819" s="5" t="s">
        <v>9166</v>
      </c>
      <c r="C4819" s="3" t="s">
        <v>5</v>
      </c>
    </row>
    <row r="4820" spans="1:3" ht="15.75" thickBot="1">
      <c r="A4820" s="6" t="s">
        <v>9167</v>
      </c>
      <c r="B4820" s="5" t="s">
        <v>9168</v>
      </c>
      <c r="C4820" s="3" t="s">
        <v>5</v>
      </c>
    </row>
    <row r="4821" spans="1:3" ht="15.75" thickBot="1">
      <c r="A4821" s="6" t="s">
        <v>9169</v>
      </c>
      <c r="B4821" s="5" t="s">
        <v>9170</v>
      </c>
      <c r="C4821" s="3" t="s">
        <v>5</v>
      </c>
    </row>
    <row r="4822" spans="1:3" ht="15.75" thickBot="1">
      <c r="A4822" s="6" t="s">
        <v>9171</v>
      </c>
      <c r="B4822" s="5" t="s">
        <v>9172</v>
      </c>
      <c r="C4822" s="3" t="s">
        <v>5</v>
      </c>
    </row>
    <row r="4823" spans="1:3">
      <c r="A4823" s="1" t="s">
        <v>9173</v>
      </c>
      <c r="B4823" s="2" t="s">
        <v>9174</v>
      </c>
      <c r="C4823" s="3" t="s">
        <v>5</v>
      </c>
    </row>
    <row r="4824" spans="1:3" ht="15.75" thickBot="1">
      <c r="A4824" s="4"/>
      <c r="B4824" s="5" t="s">
        <v>9175</v>
      </c>
      <c r="C4824" s="3" t="s">
        <v>5</v>
      </c>
    </row>
    <row r="4825" spans="1:3" ht="15.75" thickBot="1">
      <c r="A4825" s="6" t="s">
        <v>9176</v>
      </c>
      <c r="B4825" s="5" t="s">
        <v>9177</v>
      </c>
      <c r="C4825" s="3" t="s">
        <v>5</v>
      </c>
    </row>
    <row r="4826" spans="1:3" ht="15.75" thickBot="1">
      <c r="A4826" s="6" t="s">
        <v>9178</v>
      </c>
      <c r="B4826" s="5" t="e">
        <f xml:space="preserve"> liquid controller</f>
        <v>#NAME?</v>
      </c>
      <c r="C4826" s="3" t="s">
        <v>5</v>
      </c>
    </row>
    <row r="4827" spans="1:3" ht="15.75" thickBot="1">
      <c r="A4827" s="6" t="s">
        <v>9179</v>
      </c>
      <c r="B4827" s="5" t="s">
        <v>9180</v>
      </c>
      <c r="C4827" s="3" t="s">
        <v>5</v>
      </c>
    </row>
    <row r="4828" spans="1:3" ht="15.75" thickBot="1">
      <c r="A4828" s="6" t="s">
        <v>9181</v>
      </c>
      <c r="B4828" s="5" t="s">
        <v>9182</v>
      </c>
      <c r="C4828" s="3" t="s">
        <v>5</v>
      </c>
    </row>
    <row r="4829" spans="1:3" ht="15.75" thickBot="1">
      <c r="A4829" s="6" t="s">
        <v>9183</v>
      </c>
      <c r="B4829" s="5" t="s">
        <v>9184</v>
      </c>
      <c r="C4829" s="3" t="s">
        <v>5</v>
      </c>
    </row>
    <row r="4830" spans="1:3" ht="15.75" thickBot="1">
      <c r="A4830" s="6" t="s">
        <v>9185</v>
      </c>
      <c r="B4830" s="5" t="s">
        <v>9186</v>
      </c>
      <c r="C4830" s="3" t="s">
        <v>5</v>
      </c>
    </row>
    <row r="4831" spans="1:3" ht="15.75" thickBot="1">
      <c r="A4831" s="6" t="s">
        <v>9187</v>
      </c>
      <c r="B4831" s="5" t="s">
        <v>9188</v>
      </c>
      <c r="C4831" s="3" t="s">
        <v>5</v>
      </c>
    </row>
    <row r="4832" spans="1:3" ht="15.75" thickBot="1">
      <c r="A4832" s="6" t="s">
        <v>9189</v>
      </c>
      <c r="B4832" s="5" t="s">
        <v>9190</v>
      </c>
      <c r="C4832" s="3" t="s">
        <v>5</v>
      </c>
    </row>
    <row r="4833" spans="1:3" ht="15.75" thickBot="1">
      <c r="A4833" s="6" t="s">
        <v>9191</v>
      </c>
      <c r="B4833" s="5" t="s">
        <v>9192</v>
      </c>
      <c r="C4833" s="3" t="s">
        <v>5</v>
      </c>
    </row>
    <row r="4834" spans="1:3" ht="15.75" thickBot="1">
      <c r="A4834" s="6" t="s">
        <v>9193</v>
      </c>
      <c r="B4834" s="5" t="s">
        <v>9194</v>
      </c>
      <c r="C4834" s="3" t="s">
        <v>5</v>
      </c>
    </row>
    <row r="4835" spans="1:3" ht="15.75" thickBot="1">
      <c r="A4835" s="6" t="s">
        <v>9195</v>
      </c>
      <c r="B4835" s="5" t="s">
        <v>9196</v>
      </c>
      <c r="C4835" s="3" t="s">
        <v>5</v>
      </c>
    </row>
    <row r="4836" spans="1:3" ht="15.75" thickBot="1">
      <c r="A4836" s="6" t="s">
        <v>9197</v>
      </c>
      <c r="B4836" s="5" t="s">
        <v>9198</v>
      </c>
      <c r="C4836" s="3" t="s">
        <v>5</v>
      </c>
    </row>
    <row r="4837" spans="1:3">
      <c r="A4837" s="1" t="s">
        <v>9199</v>
      </c>
      <c r="B4837" s="2" t="s">
        <v>9200</v>
      </c>
      <c r="C4837" s="3" t="s">
        <v>5</v>
      </c>
    </row>
    <row r="4838" spans="1:3" ht="15.75" thickBot="1">
      <c r="A4838" s="4"/>
      <c r="B4838" s="5" t="s">
        <v>9201</v>
      </c>
      <c r="C4838" s="3" t="s">
        <v>5</v>
      </c>
    </row>
    <row r="4839" spans="1:3" ht="15.75" thickBot="1">
      <c r="A4839" s="6" t="s">
        <v>9202</v>
      </c>
      <c r="B4839" s="5" t="s">
        <v>9203</v>
      </c>
      <c r="C4839" s="3" t="s">
        <v>5</v>
      </c>
    </row>
    <row r="4840" spans="1:3" ht="15.75" thickBot="1">
      <c r="A4840" s="6" t="s">
        <v>9204</v>
      </c>
      <c r="B4840" s="5" t="s">
        <v>9205</v>
      </c>
      <c r="C4840" s="3" t="s">
        <v>5</v>
      </c>
    </row>
    <row r="4841" spans="1:3" ht="15.75" thickBot="1">
      <c r="A4841" s="6" t="s">
        <v>9206</v>
      </c>
      <c r="B4841" s="5" t="s">
        <v>9207</v>
      </c>
      <c r="C4841" s="3" t="s">
        <v>5</v>
      </c>
    </row>
    <row r="4842" spans="1:3" ht="15.75" thickBot="1">
      <c r="A4842" s="6" t="s">
        <v>9208</v>
      </c>
      <c r="B4842" s="5" t="s">
        <v>9209</v>
      </c>
      <c r="C4842" s="3" t="s">
        <v>5</v>
      </c>
    </row>
    <row r="4843" spans="1:3" ht="15.75" thickBot="1">
      <c r="A4843" s="6" t="s">
        <v>9210</v>
      </c>
      <c r="B4843" s="5" t="s">
        <v>9211</v>
      </c>
      <c r="C4843" s="3" t="s">
        <v>5</v>
      </c>
    </row>
    <row r="4844" spans="1:3" ht="15.75" thickBot="1">
      <c r="A4844" s="6" t="s">
        <v>9212</v>
      </c>
      <c r="B4844" s="5" t="s">
        <v>9213</v>
      </c>
      <c r="C4844" s="3" t="s">
        <v>5</v>
      </c>
    </row>
    <row r="4845" spans="1:3" ht="15.75" thickBot="1">
      <c r="A4845" s="6" t="s">
        <v>9214</v>
      </c>
      <c r="B4845" s="5" t="s">
        <v>9215</v>
      </c>
      <c r="C4845" s="3" t="s">
        <v>5</v>
      </c>
    </row>
    <row r="4846" spans="1:3" ht="15.75" thickBot="1">
      <c r="A4846" s="6" t="s">
        <v>9216</v>
      </c>
      <c r="B4846" s="5" t="s">
        <v>9217</v>
      </c>
      <c r="C4846" s="3" t="s">
        <v>5</v>
      </c>
    </row>
    <row r="4847" spans="1:3" ht="15.75" thickBot="1">
      <c r="A4847" s="6" t="s">
        <v>9218</v>
      </c>
      <c r="B4847" s="5" t="s">
        <v>9219</v>
      </c>
      <c r="C4847" s="3" t="s">
        <v>5</v>
      </c>
    </row>
    <row r="4848" spans="1:3" ht="15.75" thickBot="1">
      <c r="A4848" s="6" t="s">
        <v>9220</v>
      </c>
      <c r="B4848" s="5" t="s">
        <v>9221</v>
      </c>
      <c r="C4848" s="3" t="s">
        <v>5</v>
      </c>
    </row>
    <row r="4849" spans="1:3" ht="15.75" thickBot="1">
      <c r="A4849" s="6" t="s">
        <v>9222</v>
      </c>
      <c r="B4849" s="5" t="s">
        <v>9223</v>
      </c>
      <c r="C4849" s="3" t="s">
        <v>5</v>
      </c>
    </row>
    <row r="4850" spans="1:3" ht="15.75" thickBot="1">
      <c r="A4850" s="6" t="s">
        <v>9224</v>
      </c>
      <c r="B4850" s="5" t="s">
        <v>9225</v>
      </c>
      <c r="C4850" s="3" t="s">
        <v>5</v>
      </c>
    </row>
    <row r="4851" spans="1:3" ht="15.75" thickBot="1">
      <c r="A4851" s="6" t="s">
        <v>9226</v>
      </c>
      <c r="B4851" s="5" t="s">
        <v>9227</v>
      </c>
      <c r="C4851" s="3" t="s">
        <v>5</v>
      </c>
    </row>
    <row r="4852" spans="1:3" ht="15.75" thickBot="1">
      <c r="A4852" s="6" t="s">
        <v>9228</v>
      </c>
      <c r="B4852" s="5" t="s">
        <v>9229</v>
      </c>
      <c r="C4852" s="3" t="s">
        <v>5</v>
      </c>
    </row>
    <row r="4853" spans="1:3" ht="15.75" thickBot="1">
      <c r="A4853" s="6" t="s">
        <v>9230</v>
      </c>
      <c r="B4853" s="5" t="s">
        <v>9231</v>
      </c>
      <c r="C4853" s="3" t="s">
        <v>5</v>
      </c>
    </row>
    <row r="4854" spans="1:3" ht="15.75" thickBot="1">
      <c r="A4854" s="6" t="s">
        <v>9232</v>
      </c>
      <c r="B4854" s="5" t="s">
        <v>9233</v>
      </c>
      <c r="C4854" s="3" t="s">
        <v>5</v>
      </c>
    </row>
    <row r="4855" spans="1:3" ht="15.75" thickBot="1">
      <c r="A4855" s="6" t="s">
        <v>9234</v>
      </c>
      <c r="B4855" s="5" t="s">
        <v>9235</v>
      </c>
      <c r="C4855" s="3" t="s">
        <v>5</v>
      </c>
    </row>
    <row r="4856" spans="1:3" ht="15.75" thickBot="1">
      <c r="A4856" s="6" t="s">
        <v>9236</v>
      </c>
      <c r="B4856" s="5" t="s">
        <v>9237</v>
      </c>
      <c r="C4856" s="3" t="s">
        <v>5</v>
      </c>
    </row>
    <row r="4857" spans="1:3" ht="15.75" thickBot="1">
      <c r="A4857" s="6" t="s">
        <v>9238</v>
      </c>
      <c r="B4857" s="5" t="s">
        <v>9239</v>
      </c>
      <c r="C4857" s="3" t="s">
        <v>5</v>
      </c>
    </row>
    <row r="4858" spans="1:3" ht="15.75" thickBot="1">
      <c r="A4858" s="6" t="s">
        <v>9240</v>
      </c>
      <c r="B4858" s="5" t="e">
        <f xml:space="preserve"> load balancing</f>
        <v>#NAME?</v>
      </c>
      <c r="C4858" s="3" t="s">
        <v>5</v>
      </c>
    </row>
    <row r="4859" spans="1:3" ht="15.75" thickBot="1">
      <c r="A4859" s="6" t="s">
        <v>9241</v>
      </c>
      <c r="B4859" s="5" t="s">
        <v>9242</v>
      </c>
      <c r="C4859" s="3" t="s">
        <v>5</v>
      </c>
    </row>
    <row r="4860" spans="1:3" ht="15.75" thickBot="1">
      <c r="A4860" s="6" t="s">
        <v>9243</v>
      </c>
      <c r="B4860" s="5" t="s">
        <v>9244</v>
      </c>
      <c r="C4860" s="3" t="s">
        <v>5</v>
      </c>
    </row>
    <row r="4861" spans="1:3" ht="15.75" thickBot="1">
      <c r="A4861" s="6" t="s">
        <v>9245</v>
      </c>
      <c r="B4861" s="5" t="s">
        <v>9246</v>
      </c>
      <c r="C4861" s="3" t="s">
        <v>5</v>
      </c>
    </row>
    <row r="4862" spans="1:3" ht="15.75" thickBot="1">
      <c r="A4862" s="6" t="s">
        <v>9247</v>
      </c>
      <c r="B4862" s="5" t="s">
        <v>9248</v>
      </c>
      <c r="C4862" s="3" t="s">
        <v>5</v>
      </c>
    </row>
    <row r="4863" spans="1:3" ht="15.75" thickBot="1">
      <c r="A4863" s="6" t="s">
        <v>9249</v>
      </c>
      <c r="B4863" s="5" t="s">
        <v>9250</v>
      </c>
      <c r="C4863" s="3" t="s">
        <v>5</v>
      </c>
    </row>
    <row r="4864" spans="1:3" ht="15.75" thickBot="1">
      <c r="A4864" s="6" t="s">
        <v>9251</v>
      </c>
      <c r="B4864" s="5" t="s">
        <v>9252</v>
      </c>
      <c r="C4864" s="3" t="s">
        <v>5</v>
      </c>
    </row>
    <row r="4865" spans="1:3" ht="15.75" thickBot="1">
      <c r="A4865" s="6" t="s">
        <v>9253</v>
      </c>
      <c r="B4865" s="5" t="s">
        <v>9254</v>
      </c>
      <c r="C4865" s="3" t="s">
        <v>5</v>
      </c>
    </row>
    <row r="4866" spans="1:3" ht="15.75" thickBot="1">
      <c r="A4866" s="6" t="s">
        <v>9255</v>
      </c>
      <c r="B4866" s="5" t="s">
        <v>9256</v>
      </c>
      <c r="C4866" s="3" t="s">
        <v>5</v>
      </c>
    </row>
    <row r="4867" spans="1:3" ht="15.75" thickBot="1">
      <c r="A4867" s="6" t="s">
        <v>9257</v>
      </c>
      <c r="B4867" s="5" t="s">
        <v>9258</v>
      </c>
      <c r="C4867" s="3" t="s">
        <v>5</v>
      </c>
    </row>
    <row r="4868" spans="1:3" ht="15.75" thickBot="1">
      <c r="A4868" s="6" t="s">
        <v>9259</v>
      </c>
      <c r="B4868" s="5" t="s">
        <v>9260</v>
      </c>
      <c r="C4868" s="3" t="s">
        <v>5</v>
      </c>
    </row>
    <row r="4869" spans="1:3" ht="15.75" thickBot="1">
      <c r="A4869" s="6" t="s">
        <v>9261</v>
      </c>
      <c r="B4869" s="5" t="s">
        <v>9262</v>
      </c>
      <c r="C4869" s="3" t="s">
        <v>5</v>
      </c>
    </row>
    <row r="4870" spans="1:3" ht="15.75" thickBot="1">
      <c r="A4870" s="6" t="s">
        <v>9263</v>
      </c>
      <c r="B4870" s="5" t="s">
        <v>9264</v>
      </c>
      <c r="C4870" s="3" t="s">
        <v>5</v>
      </c>
    </row>
    <row r="4871" spans="1:3" ht="15.75" thickBot="1">
      <c r="A4871" s="6" t="s">
        <v>9265</v>
      </c>
      <c r="B4871" s="5" t="s">
        <v>9266</v>
      </c>
      <c r="C4871" s="3" t="s">
        <v>5</v>
      </c>
    </row>
    <row r="4872" spans="1:3">
      <c r="A4872" s="1" t="s">
        <v>9267</v>
      </c>
      <c r="B4872" s="2" t="s">
        <v>9268</v>
      </c>
      <c r="C4872" s="3" t="s">
        <v>5</v>
      </c>
    </row>
    <row r="4873" spans="1:3" ht="15.75" thickBot="1">
      <c r="A4873" s="4"/>
      <c r="B4873" s="5" t="e">
        <f xml:space="preserve"> loading inductor</f>
        <v>#NAME?</v>
      </c>
      <c r="C4873" s="3" t="s">
        <v>5</v>
      </c>
    </row>
    <row r="4874" spans="1:3" ht="15.75" thickBot="1">
      <c r="A4874" s="6" t="s">
        <v>9269</v>
      </c>
      <c r="B4874" s="5" t="e">
        <f xml:space="preserve"> lodestone</f>
        <v>#NAME?</v>
      </c>
      <c r="C4874" s="3" t="s">
        <v>5</v>
      </c>
    </row>
    <row r="4875" spans="1:3" ht="15.75" thickBot="1">
      <c r="A4875" s="6" t="s">
        <v>9270</v>
      </c>
      <c r="B4875" s="5" t="s">
        <v>9271</v>
      </c>
      <c r="C4875" s="3" t="s">
        <v>5</v>
      </c>
    </row>
    <row r="4876" spans="1:3" ht="15.75" thickBot="1">
      <c r="A4876" s="6" t="s">
        <v>9272</v>
      </c>
      <c r="B4876" s="5" t="s">
        <v>9273</v>
      </c>
      <c r="C4876" s="3" t="s">
        <v>5</v>
      </c>
    </row>
    <row r="4877" spans="1:3" ht="15.75" thickBot="1">
      <c r="A4877" s="6" t="s">
        <v>9274</v>
      </c>
      <c r="B4877" s="5" t="s">
        <v>9275</v>
      </c>
      <c r="C4877" s="3" t="s">
        <v>5</v>
      </c>
    </row>
    <row r="4878" spans="1:3" ht="15.75" thickBot="1">
      <c r="A4878" s="6" t="s">
        <v>9276</v>
      </c>
      <c r="B4878" s="5" t="s">
        <v>9277</v>
      </c>
      <c r="C4878" s="3" t="s">
        <v>5</v>
      </c>
    </row>
    <row r="4879" spans="1:3" ht="15.75" thickBot="1">
      <c r="A4879" s="6" t="s">
        <v>9278</v>
      </c>
      <c r="B4879" s="5" t="s">
        <v>9279</v>
      </c>
      <c r="C4879" s="3" t="s">
        <v>5</v>
      </c>
    </row>
    <row r="4880" spans="1:3" ht="15.75" thickBot="1">
      <c r="A4880" s="6" t="s">
        <v>9280</v>
      </c>
      <c r="B4880" s="5" t="s">
        <v>9281</v>
      </c>
      <c r="C4880" s="3" t="s">
        <v>5</v>
      </c>
    </row>
    <row r="4881" spans="1:3" ht="15.75" thickBot="1">
      <c r="A4881" s="6" t="s">
        <v>9282</v>
      </c>
      <c r="B4881" s="5" t="s">
        <v>9283</v>
      </c>
      <c r="C4881" s="3" t="s">
        <v>5</v>
      </c>
    </row>
    <row r="4882" spans="1:3" ht="15.75" thickBot="1">
      <c r="A4882" s="6" t="s">
        <v>9284</v>
      </c>
      <c r="B4882" s="5" t="s">
        <v>9285</v>
      </c>
      <c r="C4882" s="3" t="s">
        <v>5</v>
      </c>
    </row>
    <row r="4883" spans="1:3" ht="15.75" thickBot="1">
      <c r="A4883" s="6" t="s">
        <v>9286</v>
      </c>
      <c r="B4883" s="5" t="s">
        <v>9287</v>
      </c>
      <c r="C4883" s="3" t="s">
        <v>5</v>
      </c>
    </row>
    <row r="4884" spans="1:3">
      <c r="A4884" s="1" t="s">
        <v>9288</v>
      </c>
      <c r="B4884" s="2" t="s">
        <v>9289</v>
      </c>
      <c r="C4884" s="3" t="s">
        <v>5</v>
      </c>
    </row>
    <row r="4885" spans="1:3" ht="15.75" thickBot="1">
      <c r="A4885" s="4"/>
      <c r="B4885" s="5" t="e">
        <f xml:space="preserve"> localised capacity</f>
        <v>#NAME?</v>
      </c>
      <c r="C4885" s="3" t="s">
        <v>5</v>
      </c>
    </row>
    <row r="4886" spans="1:3" ht="15.75" thickBot="1">
      <c r="A4886" s="6" t="s">
        <v>9290</v>
      </c>
      <c r="B4886" s="5" t="s">
        <v>9291</v>
      </c>
      <c r="C4886" s="3" t="s">
        <v>5</v>
      </c>
    </row>
    <row r="4887" spans="1:3" ht="15.75" thickBot="1">
      <c r="A4887" s="6" t="s">
        <v>9292</v>
      </c>
      <c r="B4887" s="5" t="s">
        <v>9293</v>
      </c>
      <c r="C4887" s="3" t="s">
        <v>5</v>
      </c>
    </row>
    <row r="4888" spans="1:3" ht="26.25" thickBot="1">
      <c r="A4888" s="6" t="s">
        <v>9294</v>
      </c>
      <c r="B4888" s="5" t="s">
        <v>9295</v>
      </c>
      <c r="C4888" s="3" t="s">
        <v>5</v>
      </c>
    </row>
    <row r="4889" spans="1:3" ht="15.75" thickBot="1">
      <c r="A4889" s="6" t="s">
        <v>9296</v>
      </c>
      <c r="B4889" s="5" t="s">
        <v>9297</v>
      </c>
      <c r="C4889" s="3" t="s">
        <v>5</v>
      </c>
    </row>
    <row r="4890" spans="1:3" ht="15.75" thickBot="1">
      <c r="A4890" s="6" t="s">
        <v>9298</v>
      </c>
      <c r="B4890" s="5" t="s">
        <v>9299</v>
      </c>
      <c r="C4890" s="3" t="s">
        <v>5</v>
      </c>
    </row>
    <row r="4891" spans="1:3" ht="15.75" thickBot="1">
      <c r="A4891" s="6" t="s">
        <v>9300</v>
      </c>
      <c r="B4891" s="5" t="s">
        <v>9301</v>
      </c>
      <c r="C4891" s="3" t="s">
        <v>5</v>
      </c>
    </row>
    <row r="4892" spans="1:3" ht="15.75" thickBot="1">
      <c r="A4892" s="6" t="s">
        <v>9302</v>
      </c>
      <c r="B4892" s="5" t="s">
        <v>9303</v>
      </c>
      <c r="C4892" s="3" t="s">
        <v>5</v>
      </c>
    </row>
    <row r="4893" spans="1:3" ht="15.75" thickBot="1">
      <c r="A4893" s="6" t="s">
        <v>9304</v>
      </c>
      <c r="B4893" s="5" t="s">
        <v>9305</v>
      </c>
      <c r="C4893" s="3" t="s">
        <v>5</v>
      </c>
    </row>
    <row r="4894" spans="1:3" ht="15.75" thickBot="1">
      <c r="A4894" s="6" t="s">
        <v>9306</v>
      </c>
      <c r="B4894" s="5" t="s">
        <v>9307</v>
      </c>
      <c r="C4894" s="3" t="s">
        <v>5</v>
      </c>
    </row>
    <row r="4895" spans="1:3" ht="15.75" thickBot="1">
      <c r="A4895" s="6" t="s">
        <v>9308</v>
      </c>
      <c r="B4895" s="5" t="s">
        <v>9309</v>
      </c>
      <c r="C4895" s="3" t="s">
        <v>5</v>
      </c>
    </row>
    <row r="4896" spans="1:3" ht="15.75" thickBot="1">
      <c r="A4896" s="6" t="s">
        <v>9310</v>
      </c>
      <c r="B4896" s="5" t="s">
        <v>9311</v>
      </c>
      <c r="C4896" s="3" t="s">
        <v>5</v>
      </c>
    </row>
    <row r="4897" spans="1:3" ht="15.75" thickBot="1">
      <c r="A4897" s="6" t="s">
        <v>9312</v>
      </c>
      <c r="B4897" s="5" t="s">
        <v>9313</v>
      </c>
      <c r="C4897" s="3" t="s">
        <v>5</v>
      </c>
    </row>
    <row r="4898" spans="1:3" ht="15.75" thickBot="1">
      <c r="A4898" s="6" t="s">
        <v>9314</v>
      </c>
      <c r="B4898" s="5" t="s">
        <v>9315</v>
      </c>
      <c r="C4898" s="3" t="s">
        <v>5</v>
      </c>
    </row>
    <row r="4899" spans="1:3" ht="15.75" thickBot="1">
      <c r="A4899" s="6" t="s">
        <v>9316</v>
      </c>
      <c r="B4899" s="5" t="s">
        <v>9317</v>
      </c>
      <c r="C4899" s="3" t="s">
        <v>5</v>
      </c>
    </row>
    <row r="4900" spans="1:3">
      <c r="A4900" s="1" t="s">
        <v>9318</v>
      </c>
      <c r="B4900" s="2" t="s">
        <v>9319</v>
      </c>
      <c r="C4900" s="3" t="s">
        <v>5</v>
      </c>
    </row>
    <row r="4901" spans="1:3" ht="15.75" thickBot="1">
      <c r="A4901" s="4"/>
      <c r="B4901" s="5" t="s">
        <v>9320</v>
      </c>
      <c r="C4901" s="3" t="s">
        <v>5</v>
      </c>
    </row>
    <row r="4902" spans="1:3" ht="15.75" thickBot="1">
      <c r="A4902" s="6" t="s">
        <v>9321</v>
      </c>
      <c r="B4902" s="5" t="s">
        <v>9322</v>
      </c>
      <c r="C4902" s="3" t="s">
        <v>5</v>
      </c>
    </row>
    <row r="4903" spans="1:3">
      <c r="A4903" s="1" t="s">
        <v>9323</v>
      </c>
      <c r="B4903" s="2" t="s">
        <v>9324</v>
      </c>
      <c r="C4903" s="3" t="s">
        <v>5</v>
      </c>
    </row>
    <row r="4904" spans="1:3" ht="15.75" thickBot="1">
      <c r="A4904" s="4"/>
      <c r="B4904" s="5" t="s">
        <v>9325</v>
      </c>
      <c r="C4904" s="3" t="s">
        <v>5</v>
      </c>
    </row>
    <row r="4905" spans="1:3" ht="15.75" thickBot="1">
      <c r="A4905" s="6" t="s">
        <v>9326</v>
      </c>
      <c r="B4905" s="5" t="s">
        <v>9327</v>
      </c>
      <c r="C4905" s="3" t="s">
        <v>5</v>
      </c>
    </row>
    <row r="4906" spans="1:3" ht="15.75" thickBot="1">
      <c r="A4906" s="6" t="s">
        <v>9328</v>
      </c>
      <c r="B4906" s="5" t="s">
        <v>9329</v>
      </c>
      <c r="C4906" s="3" t="s">
        <v>5</v>
      </c>
    </row>
    <row r="4907" spans="1:3" ht="15.75" thickBot="1">
      <c r="A4907" s="6" t="s">
        <v>9330</v>
      </c>
      <c r="B4907" s="5" t="s">
        <v>9331</v>
      </c>
      <c r="C4907" s="3" t="s">
        <v>5</v>
      </c>
    </row>
    <row r="4908" spans="1:3" ht="15.75" thickBot="1">
      <c r="A4908" s="6" t="s">
        <v>9332</v>
      </c>
      <c r="B4908" s="5" t="s">
        <v>9333</v>
      </c>
      <c r="C4908" s="3" t="s">
        <v>5</v>
      </c>
    </row>
    <row r="4909" spans="1:3" ht="15.75" thickBot="1">
      <c r="A4909" s="6" t="s">
        <v>9334</v>
      </c>
      <c r="B4909" s="5" t="s">
        <v>9335</v>
      </c>
      <c r="C4909" s="3" t="s">
        <v>5</v>
      </c>
    </row>
    <row r="4910" spans="1:3" ht="15.75" thickBot="1">
      <c r="A4910" s="6" t="s">
        <v>9336</v>
      </c>
      <c r="B4910" s="5" t="s">
        <v>9337</v>
      </c>
      <c r="C4910" s="3" t="s">
        <v>5</v>
      </c>
    </row>
    <row r="4911" spans="1:3" ht="15.75" thickBot="1">
      <c r="A4911" s="6" t="s">
        <v>9338</v>
      </c>
      <c r="B4911" s="5" t="s">
        <v>9339</v>
      </c>
      <c r="C4911" s="3" t="s">
        <v>5</v>
      </c>
    </row>
    <row r="4912" spans="1:3" ht="15.75" thickBot="1">
      <c r="A4912" s="6" t="s">
        <v>9340</v>
      </c>
      <c r="B4912" s="5" t="s">
        <v>9341</v>
      </c>
      <c r="C4912" s="3" t="s">
        <v>5</v>
      </c>
    </row>
    <row r="4913" spans="1:3" ht="15.75" thickBot="1">
      <c r="A4913" s="6" t="s">
        <v>9342</v>
      </c>
      <c r="B4913" s="5" t="s">
        <v>9309</v>
      </c>
      <c r="C4913" s="3" t="s">
        <v>5</v>
      </c>
    </row>
    <row r="4914" spans="1:3" ht="15.75" thickBot="1">
      <c r="A4914" s="6" t="s">
        <v>9343</v>
      </c>
      <c r="B4914" s="5" t="s">
        <v>9344</v>
      </c>
      <c r="C4914" s="3" t="s">
        <v>5</v>
      </c>
    </row>
    <row r="4915" spans="1:3" ht="15.75" thickBot="1">
      <c r="A4915" s="6" t="s">
        <v>9345</v>
      </c>
      <c r="B4915" s="5" t="s">
        <v>9346</v>
      </c>
      <c r="C4915" s="3" t="s">
        <v>5</v>
      </c>
    </row>
    <row r="4916" spans="1:3" ht="15.75" thickBot="1">
      <c r="A4916" s="6" t="s">
        <v>9347</v>
      </c>
      <c r="B4916" s="5" t="s">
        <v>9348</v>
      </c>
      <c r="C4916" s="3" t="s">
        <v>5</v>
      </c>
    </row>
    <row r="4917" spans="1:3" ht="15.75" thickBot="1">
      <c r="A4917" s="6" t="s">
        <v>9349</v>
      </c>
      <c r="B4917" s="5" t="s">
        <v>9350</v>
      </c>
      <c r="C4917" s="3" t="s">
        <v>5</v>
      </c>
    </row>
    <row r="4918" spans="1:3" ht="15.75" thickBot="1">
      <c r="A4918" s="6" t="s">
        <v>9351</v>
      </c>
      <c r="B4918" s="5" t="s">
        <v>9352</v>
      </c>
      <c r="C4918" s="3" t="s">
        <v>5</v>
      </c>
    </row>
    <row r="4919" spans="1:3" ht="15.75" thickBot="1">
      <c r="A4919" s="6" t="s">
        <v>9353</v>
      </c>
      <c r="B4919" s="5" t="s">
        <v>9354</v>
      </c>
      <c r="C4919" s="3" t="s">
        <v>5</v>
      </c>
    </row>
    <row r="4920" spans="1:3" ht="15.75" thickBot="1">
      <c r="A4920" s="6" t="s">
        <v>9355</v>
      </c>
      <c r="B4920" s="5" t="s">
        <v>5666</v>
      </c>
      <c r="C4920" s="3" t="s">
        <v>5</v>
      </c>
    </row>
    <row r="4921" spans="1:3" ht="15.75" thickBot="1">
      <c r="A4921" s="6" t="s">
        <v>9356</v>
      </c>
      <c r="B4921" s="5" t="s">
        <v>9357</v>
      </c>
      <c r="C4921" s="3" t="s">
        <v>5</v>
      </c>
    </row>
    <row r="4922" spans="1:3" ht="15.75" thickBot="1">
      <c r="A4922" s="6" t="s">
        <v>9358</v>
      </c>
      <c r="B4922" s="5" t="s">
        <v>9359</v>
      </c>
      <c r="C4922" s="3" t="s">
        <v>5</v>
      </c>
    </row>
    <row r="4923" spans="1:3" ht="15.75" thickBot="1">
      <c r="A4923" s="6" t="s">
        <v>9360</v>
      </c>
      <c r="B4923" s="5" t="s">
        <v>9361</v>
      </c>
      <c r="C4923" s="3" t="s">
        <v>5</v>
      </c>
    </row>
    <row r="4924" spans="1:3" ht="15.75" thickBot="1">
      <c r="A4924" s="6" t="s">
        <v>9362</v>
      </c>
      <c r="B4924" s="5" t="e">
        <f xml:space="preserve"> coil antenna</f>
        <v>#NAME?</v>
      </c>
      <c r="C4924" s="3" t="s">
        <v>5</v>
      </c>
    </row>
    <row r="4925" spans="1:3" ht="15.75" thickBot="1">
      <c r="A4925" s="6" t="s">
        <v>9363</v>
      </c>
      <c r="B4925" s="5" t="s">
        <v>9364</v>
      </c>
      <c r="C4925" s="3" t="s">
        <v>5</v>
      </c>
    </row>
    <row r="4926" spans="1:3" ht="15.75" thickBot="1">
      <c r="A4926" s="6" t="s">
        <v>9365</v>
      </c>
      <c r="B4926" s="5" t="s">
        <v>9366</v>
      </c>
      <c r="C4926" s="3" t="s">
        <v>5</v>
      </c>
    </row>
    <row r="4927" spans="1:3" ht="15.75" thickBot="1">
      <c r="A4927" s="6" t="s">
        <v>9367</v>
      </c>
      <c r="B4927" s="5" t="s">
        <v>9368</v>
      </c>
      <c r="C4927" s="3" t="s">
        <v>5</v>
      </c>
    </row>
    <row r="4928" spans="1:3" ht="15.75" thickBot="1">
      <c r="A4928" s="6" t="s">
        <v>9369</v>
      </c>
      <c r="B4928" s="5" t="s">
        <v>9370</v>
      </c>
      <c r="C4928" s="3" t="s">
        <v>5</v>
      </c>
    </row>
    <row r="4929" spans="1:3" ht="15.75" thickBot="1">
      <c r="A4929" s="6" t="s">
        <v>9371</v>
      </c>
      <c r="B4929" s="5" t="s">
        <v>9372</v>
      </c>
      <c r="C4929" s="3" t="s">
        <v>5</v>
      </c>
    </row>
    <row r="4930" spans="1:3" ht="15.75" thickBot="1">
      <c r="A4930" s="6" t="s">
        <v>9373</v>
      </c>
      <c r="B4930" s="5" t="s">
        <v>9374</v>
      </c>
      <c r="C4930" s="3" t="s">
        <v>5</v>
      </c>
    </row>
    <row r="4931" spans="1:3" ht="15.75" thickBot="1">
      <c r="A4931" s="6" t="s">
        <v>9375</v>
      </c>
      <c r="B4931" s="5" t="s">
        <v>9376</v>
      </c>
      <c r="C4931" s="3" t="s">
        <v>5</v>
      </c>
    </row>
    <row r="4932" spans="1:3" ht="15.75" thickBot="1">
      <c r="A4932" s="6" t="s">
        <v>9377</v>
      </c>
      <c r="B4932" s="5" t="s">
        <v>9378</v>
      </c>
      <c r="C4932" s="3" t="s">
        <v>5</v>
      </c>
    </row>
    <row r="4933" spans="1:3" ht="15.75" thickBot="1">
      <c r="A4933" s="6" t="s">
        <v>9379</v>
      </c>
      <c r="B4933" s="5" t="s">
        <v>9380</v>
      </c>
      <c r="C4933" s="3" t="s">
        <v>5</v>
      </c>
    </row>
    <row r="4934" spans="1:3" ht="15.75" thickBot="1">
      <c r="A4934" s="6" t="s">
        <v>9381</v>
      </c>
      <c r="B4934" s="5" t="s">
        <v>9382</v>
      </c>
      <c r="C4934" s="3" t="s">
        <v>5</v>
      </c>
    </row>
    <row r="4935" spans="1:3" ht="15.75" thickBot="1">
      <c r="A4935" s="6" t="s">
        <v>9383</v>
      </c>
      <c r="B4935" s="5" t="s">
        <v>9384</v>
      </c>
      <c r="C4935" s="3" t="s">
        <v>5</v>
      </c>
    </row>
    <row r="4936" spans="1:3" ht="15.75" thickBot="1">
      <c r="A4936" s="6" t="s">
        <v>9385</v>
      </c>
      <c r="B4936" s="5" t="s">
        <v>9386</v>
      </c>
      <c r="C4936" s="3" t="s">
        <v>5</v>
      </c>
    </row>
    <row r="4937" spans="1:3" ht="15.75" thickBot="1">
      <c r="A4937" s="6" t="s">
        <v>9387</v>
      </c>
      <c r="B4937" s="5" t="s">
        <v>9388</v>
      </c>
      <c r="C4937" s="3" t="s">
        <v>5</v>
      </c>
    </row>
    <row r="4938" spans="1:3" ht="15.75" thickBot="1">
      <c r="A4938" s="6" t="s">
        <v>9389</v>
      </c>
      <c r="B4938" s="5" t="s">
        <v>9390</v>
      </c>
      <c r="C4938" s="3" t="s">
        <v>5</v>
      </c>
    </row>
    <row r="4939" spans="1:3" ht="15.75" thickBot="1">
      <c r="A4939" s="6" t="s">
        <v>9391</v>
      </c>
      <c r="B4939" s="5" t="s">
        <v>9392</v>
      </c>
      <c r="C4939" s="3" t="s">
        <v>5</v>
      </c>
    </row>
    <row r="4940" spans="1:3" ht="15.75" thickBot="1">
      <c r="A4940" s="6" t="s">
        <v>9393</v>
      </c>
      <c r="B4940" s="5" t="s">
        <v>9394</v>
      </c>
      <c r="C4940" s="3" t="s">
        <v>5</v>
      </c>
    </row>
    <row r="4941" spans="1:3" ht="15.75" thickBot="1">
      <c r="A4941" s="6" t="s">
        <v>9395</v>
      </c>
      <c r="B4941" s="5" t="s">
        <v>9396</v>
      </c>
      <c r="C4941" s="3" t="s">
        <v>5</v>
      </c>
    </row>
    <row r="4942" spans="1:3">
      <c r="A4942" s="1" t="s">
        <v>9397</v>
      </c>
      <c r="B4942" s="2" t="s">
        <v>9398</v>
      </c>
      <c r="C4942" s="3" t="s">
        <v>5</v>
      </c>
    </row>
    <row r="4943" spans="1:3" ht="15.75" thickBot="1">
      <c r="A4943" s="4"/>
      <c r="B4943" s="5" t="s">
        <v>9399</v>
      </c>
      <c r="C4943" s="3" t="s">
        <v>5</v>
      </c>
    </row>
    <row r="4944" spans="1:3" ht="15.75" thickBot="1">
      <c r="A4944" s="6" t="s">
        <v>9400</v>
      </c>
      <c r="B4944" s="5" t="s">
        <v>9401</v>
      </c>
      <c r="C4944" s="3" t="s">
        <v>5</v>
      </c>
    </row>
    <row r="4945" spans="1:3">
      <c r="A4945" s="1" t="s">
        <v>9402</v>
      </c>
      <c r="B4945" s="2" t="s">
        <v>9403</v>
      </c>
      <c r="C4945" s="3" t="s">
        <v>5</v>
      </c>
    </row>
    <row r="4946" spans="1:3" ht="15.75" thickBot="1">
      <c r="A4946" s="4"/>
      <c r="B4946" s="5" t="s">
        <v>9404</v>
      </c>
      <c r="C4946" s="3" t="s">
        <v>5</v>
      </c>
    </row>
    <row r="4947" spans="1:3" ht="15.75" thickBot="1">
      <c r="A4947" s="6" t="s">
        <v>9405</v>
      </c>
      <c r="B4947" s="5" t="s">
        <v>9406</v>
      </c>
      <c r="C4947" s="3" t="s">
        <v>5</v>
      </c>
    </row>
    <row r="4948" spans="1:3" ht="15.75" thickBot="1">
      <c r="A4948" s="6" t="s">
        <v>9407</v>
      </c>
      <c r="B4948" s="5" t="s">
        <v>9408</v>
      </c>
      <c r="C4948" s="3" t="s">
        <v>5</v>
      </c>
    </row>
    <row r="4949" spans="1:3" ht="15.75" thickBot="1">
      <c r="A4949" s="6" t="s">
        <v>9409</v>
      </c>
      <c r="B4949" s="5" t="s">
        <v>9410</v>
      </c>
      <c r="C4949" s="3" t="s">
        <v>5</v>
      </c>
    </row>
    <row r="4950" spans="1:3" ht="15.75" thickBot="1">
      <c r="A4950" s="6" t="s">
        <v>9411</v>
      </c>
      <c r="B4950" s="5" t="s">
        <v>9412</v>
      </c>
      <c r="C4950" s="3" t="s">
        <v>5</v>
      </c>
    </row>
    <row r="4951" spans="1:3" ht="15.75" thickBot="1">
      <c r="A4951" s="6" t="s">
        <v>9413</v>
      </c>
      <c r="B4951" s="5" t="s">
        <v>9414</v>
      </c>
      <c r="C4951" s="3" t="s">
        <v>5</v>
      </c>
    </row>
    <row r="4952" spans="1:3" ht="15.75" thickBot="1">
      <c r="A4952" s="6" t="s">
        <v>9415</v>
      </c>
      <c r="B4952" s="5" t="s">
        <v>9416</v>
      </c>
      <c r="C4952" s="3" t="s">
        <v>5</v>
      </c>
    </row>
    <row r="4953" spans="1:3" ht="15.75" thickBot="1">
      <c r="A4953" s="6" t="s">
        <v>9417</v>
      </c>
      <c r="B4953" s="5" t="s">
        <v>9418</v>
      </c>
      <c r="C4953" s="3" t="s">
        <v>5</v>
      </c>
    </row>
    <row r="4954" spans="1:3" ht="15.75" thickBot="1">
      <c r="A4954" s="6" t="s">
        <v>9419</v>
      </c>
      <c r="B4954" s="5" t="s">
        <v>9420</v>
      </c>
      <c r="C4954" s="3" t="s">
        <v>5</v>
      </c>
    </row>
    <row r="4955" spans="1:3" ht="15.75" thickBot="1">
      <c r="A4955" s="6" t="s">
        <v>9421</v>
      </c>
      <c r="B4955" s="5" t="s">
        <v>9422</v>
      </c>
      <c r="C4955" s="3" t="s">
        <v>5</v>
      </c>
    </row>
    <row r="4956" spans="1:3" ht="15.75" thickBot="1">
      <c r="A4956" s="6" t="s">
        <v>9423</v>
      </c>
      <c r="B4956" s="5" t="s">
        <v>9424</v>
      </c>
      <c r="C4956" s="3" t="s">
        <v>5</v>
      </c>
    </row>
    <row r="4957" spans="1:3" ht="15.75" thickBot="1">
      <c r="A4957" s="6" t="s">
        <v>9425</v>
      </c>
      <c r="B4957" s="5" t="s">
        <v>7622</v>
      </c>
      <c r="C4957" s="3" t="s">
        <v>5</v>
      </c>
    </row>
    <row r="4958" spans="1:3" ht="15.75" thickBot="1">
      <c r="A4958" s="6" t="s">
        <v>9425</v>
      </c>
      <c r="B4958" s="5" t="s">
        <v>7622</v>
      </c>
      <c r="C4958" s="3" t="s">
        <v>5</v>
      </c>
    </row>
    <row r="4959" spans="1:3" ht="15.75" thickBot="1">
      <c r="A4959" s="6" t="s">
        <v>9426</v>
      </c>
      <c r="B4959" s="5" t="s">
        <v>9427</v>
      </c>
      <c r="C4959" s="3" t="s">
        <v>5</v>
      </c>
    </row>
    <row r="4960" spans="1:3" ht="26.25" thickBot="1">
      <c r="A4960" s="6" t="s">
        <v>9428</v>
      </c>
      <c r="B4960" s="5" t="s">
        <v>9429</v>
      </c>
      <c r="C4960" s="3" t="s">
        <v>5</v>
      </c>
    </row>
    <row r="4961" spans="1:3" ht="15.75" thickBot="1">
      <c r="A4961" s="6" t="s">
        <v>9430</v>
      </c>
      <c r="B4961" s="5" t="s">
        <v>9431</v>
      </c>
      <c r="C4961" s="3" t="s">
        <v>5</v>
      </c>
    </row>
    <row r="4962" spans="1:3" ht="15.75" thickBot="1">
      <c r="A4962" s="6" t="s">
        <v>9432</v>
      </c>
      <c r="B4962" s="5" t="s">
        <v>9433</v>
      </c>
      <c r="C4962" s="3" t="s">
        <v>5</v>
      </c>
    </row>
    <row r="4963" spans="1:3" ht="15.75" thickBot="1">
      <c r="A4963" s="6" t="s">
        <v>9434</v>
      </c>
      <c r="B4963" s="5" t="s">
        <v>9435</v>
      </c>
      <c r="C4963" s="3" t="s">
        <v>5</v>
      </c>
    </row>
    <row r="4964" spans="1:3" ht="15.75" thickBot="1">
      <c r="A4964" s="6" t="s">
        <v>9436</v>
      </c>
      <c r="B4964" s="5" t="s">
        <v>9437</v>
      </c>
      <c r="C4964" s="3" t="s">
        <v>5</v>
      </c>
    </row>
    <row r="4965" spans="1:3" ht="15.75" thickBot="1">
      <c r="A4965" s="6" t="s">
        <v>9438</v>
      </c>
      <c r="B4965" s="5" t="s">
        <v>9439</v>
      </c>
      <c r="C4965" s="3" t="s">
        <v>5</v>
      </c>
    </row>
    <row r="4966" spans="1:3" ht="15.75" thickBot="1">
      <c r="A4966" s="6" t="s">
        <v>9440</v>
      </c>
      <c r="B4966" s="5" t="s">
        <v>9441</v>
      </c>
      <c r="C4966" s="3" t="s">
        <v>5</v>
      </c>
    </row>
    <row r="4967" spans="1:3" ht="15.75" thickBot="1">
      <c r="A4967" s="6" t="s">
        <v>9442</v>
      </c>
      <c r="B4967" s="5" t="s">
        <v>9443</v>
      </c>
      <c r="C4967" s="3" t="s">
        <v>5</v>
      </c>
    </row>
    <row r="4968" spans="1:3" ht="15.75" thickBot="1">
      <c r="A4968" s="6" t="s">
        <v>9444</v>
      </c>
      <c r="B4968" s="5" t="s">
        <v>9445</v>
      </c>
      <c r="C4968" s="3" t="s">
        <v>5</v>
      </c>
    </row>
    <row r="4969" spans="1:3" ht="15.75" thickBot="1">
      <c r="A4969" s="6" t="s">
        <v>9446</v>
      </c>
      <c r="B4969" s="5" t="s">
        <v>9447</v>
      </c>
      <c r="C4969" s="3" t="s">
        <v>5</v>
      </c>
    </row>
    <row r="4970" spans="1:3" ht="15.75" thickBot="1">
      <c r="A4970" s="6" t="s">
        <v>9448</v>
      </c>
      <c r="B4970" s="5" t="s">
        <v>9449</v>
      </c>
      <c r="C4970" s="3" t="s">
        <v>5</v>
      </c>
    </row>
    <row r="4971" spans="1:3" ht="15.75" thickBot="1">
      <c r="A4971" s="6" t="s">
        <v>9450</v>
      </c>
      <c r="B4971" s="5" t="s">
        <v>9451</v>
      </c>
      <c r="C4971" s="3" t="s">
        <v>5</v>
      </c>
    </row>
    <row r="4972" spans="1:3" ht="15.75" thickBot="1">
      <c r="A4972" s="6" t="s">
        <v>9452</v>
      </c>
      <c r="B4972" s="5" t="s">
        <v>9453</v>
      </c>
      <c r="C4972" s="3" t="s">
        <v>5</v>
      </c>
    </row>
    <row r="4973" spans="1:3" ht="15.75" thickBot="1">
      <c r="A4973" s="6" t="s">
        <v>9454</v>
      </c>
      <c r="B4973" s="5" t="s">
        <v>9455</v>
      </c>
      <c r="C4973" s="3" t="s">
        <v>5</v>
      </c>
    </row>
    <row r="4974" spans="1:3">
      <c r="A4974" s="1" t="s">
        <v>9456</v>
      </c>
      <c r="B4974" s="2" t="s">
        <v>9457</v>
      </c>
      <c r="C4974" s="3" t="s">
        <v>5</v>
      </c>
    </row>
    <row r="4975" spans="1:3" ht="15.75" thickBot="1">
      <c r="A4975" s="4"/>
      <c r="B4975" s="5" t="s">
        <v>9458</v>
      </c>
      <c r="C4975" s="3" t="s">
        <v>5</v>
      </c>
    </row>
    <row r="4976" spans="1:3" ht="15.75" thickBot="1">
      <c r="A4976" s="6" t="s">
        <v>9459</v>
      </c>
      <c r="B4976" s="5" t="s">
        <v>9460</v>
      </c>
      <c r="C4976" s="3" t="s">
        <v>5</v>
      </c>
    </row>
    <row r="4977" spans="1:3" ht="15.75" thickBot="1">
      <c r="A4977" s="6" t="s">
        <v>9461</v>
      </c>
      <c r="B4977" s="5" t="s">
        <v>9462</v>
      </c>
      <c r="C4977" s="3" t="s">
        <v>5</v>
      </c>
    </row>
    <row r="4978" spans="1:3" ht="15.75" thickBot="1">
      <c r="A4978" s="6" t="s">
        <v>9463</v>
      </c>
      <c r="B4978" s="5" t="s">
        <v>9464</v>
      </c>
      <c r="C4978" s="3" t="s">
        <v>5</v>
      </c>
    </row>
    <row r="4979" spans="1:3" ht="15.75" thickBot="1">
      <c r="A4979" s="6" t="s">
        <v>9465</v>
      </c>
      <c r="B4979" s="5" t="s">
        <v>9466</v>
      </c>
      <c r="C4979" s="3" t="s">
        <v>5</v>
      </c>
    </row>
    <row r="4980" spans="1:3" ht="15.75" thickBot="1">
      <c r="A4980" s="6" t="s">
        <v>9467</v>
      </c>
      <c r="B4980" s="5" t="s">
        <v>9468</v>
      </c>
      <c r="C4980" s="3" t="s">
        <v>5</v>
      </c>
    </row>
    <row r="4981" spans="1:3" ht="15.75" thickBot="1">
      <c r="A4981" s="6" t="s">
        <v>9469</v>
      </c>
      <c r="B4981" s="5" t="s">
        <v>9470</v>
      </c>
      <c r="C4981" s="3" t="s">
        <v>5</v>
      </c>
    </row>
    <row r="4982" spans="1:3" ht="15.75" thickBot="1">
      <c r="A4982" s="6" t="s">
        <v>9471</v>
      </c>
      <c r="B4982" s="5" t="s">
        <v>9472</v>
      </c>
      <c r="C4982" s="3" t="s">
        <v>5</v>
      </c>
    </row>
    <row r="4983" spans="1:3" ht="15.75" thickBot="1">
      <c r="A4983" s="6" t="s">
        <v>9473</v>
      </c>
      <c r="B4983" s="5" t="e">
        <f xml:space="preserve"> low pressure</f>
        <v>#NAME?</v>
      </c>
      <c r="C4983" s="3" t="s">
        <v>5</v>
      </c>
    </row>
    <row r="4984" spans="1:3" ht="15.75" thickBot="1">
      <c r="A4984" s="6" t="s">
        <v>9474</v>
      </c>
      <c r="B4984" s="5" t="s">
        <v>9475</v>
      </c>
      <c r="C4984" s="3" t="s">
        <v>5</v>
      </c>
    </row>
    <row r="4985" spans="1:3" ht="15.75" thickBot="1">
      <c r="A4985" s="6" t="s">
        <v>9476</v>
      </c>
      <c r="B4985" s="5" t="s">
        <v>9477</v>
      </c>
      <c r="C4985" s="3" t="s">
        <v>5</v>
      </c>
    </row>
    <row r="4986" spans="1:3" ht="15.75" thickBot="1">
      <c r="A4986" s="6" t="s">
        <v>9478</v>
      </c>
      <c r="B4986" s="5" t="s">
        <v>9479</v>
      </c>
      <c r="C4986" s="3" t="s">
        <v>5</v>
      </c>
    </row>
    <row r="4987" spans="1:3" ht="15.75" thickBot="1">
      <c r="A4987" s="6" t="s">
        <v>9480</v>
      </c>
      <c r="B4987" s="5" t="s">
        <v>9481</v>
      </c>
      <c r="C4987" s="3" t="s">
        <v>5</v>
      </c>
    </row>
    <row r="4988" spans="1:3" ht="15.75" thickBot="1">
      <c r="A4988" s="6" t="s">
        <v>9482</v>
      </c>
      <c r="B4988" s="5" t="s">
        <v>9483</v>
      </c>
      <c r="C4988" s="3" t="s">
        <v>5</v>
      </c>
    </row>
    <row r="4989" spans="1:3" ht="15.75" thickBot="1">
      <c r="A4989" s="6" t="s">
        <v>9484</v>
      </c>
      <c r="B4989" s="5" t="s">
        <v>9485</v>
      </c>
      <c r="C4989" s="3" t="s">
        <v>5</v>
      </c>
    </row>
    <row r="4990" spans="1:3" ht="15.75" thickBot="1">
      <c r="A4990" s="6" t="s">
        <v>9486</v>
      </c>
      <c r="B4990" s="5" t="s">
        <v>9487</v>
      </c>
      <c r="C4990" s="3" t="s">
        <v>5</v>
      </c>
    </row>
    <row r="4991" spans="1:3" ht="15.75" thickBot="1">
      <c r="A4991" s="6" t="s">
        <v>9488</v>
      </c>
      <c r="B4991" s="5" t="s">
        <v>9489</v>
      </c>
      <c r="C4991" s="3" t="s">
        <v>5</v>
      </c>
    </row>
    <row r="4992" spans="1:3" ht="15.75" thickBot="1">
      <c r="A4992" s="6" t="s">
        <v>9490</v>
      </c>
      <c r="B4992" s="5" t="s">
        <v>9491</v>
      </c>
      <c r="C4992" s="3" t="s">
        <v>5</v>
      </c>
    </row>
    <row r="4993" spans="1:3">
      <c r="A4993" s="1" t="s">
        <v>1997</v>
      </c>
      <c r="B4993" s="2" t="s">
        <v>9492</v>
      </c>
      <c r="C4993" s="3" t="s">
        <v>5</v>
      </c>
    </row>
    <row r="4994" spans="1:3" ht="51.75" thickBot="1">
      <c r="A4994" s="4"/>
      <c r="B4994" s="5" t="s">
        <v>9493</v>
      </c>
      <c r="C4994" s="3" t="s">
        <v>5</v>
      </c>
    </row>
    <row r="4995" spans="1:3" ht="15.75" thickBot="1">
      <c r="A4995" s="6" t="s">
        <v>9494</v>
      </c>
      <c r="B4995" s="5" t="s">
        <v>9495</v>
      </c>
      <c r="C4995" s="3" t="s">
        <v>5</v>
      </c>
    </row>
    <row r="4996" spans="1:3" ht="15.75" thickBot="1">
      <c r="A4996" s="6" t="s">
        <v>9496</v>
      </c>
      <c r="B4996" s="5" t="s">
        <v>9497</v>
      </c>
      <c r="C4996" s="3" t="s">
        <v>5</v>
      </c>
    </row>
    <row r="4997" spans="1:3" ht="15.75" thickBot="1">
      <c r="A4997" s="6" t="s">
        <v>9498</v>
      </c>
      <c r="B4997" s="5" t="s">
        <v>9499</v>
      </c>
      <c r="C4997" s="3" t="s">
        <v>5</v>
      </c>
    </row>
    <row r="4998" spans="1:3" ht="15.75" thickBot="1">
      <c r="A4998" s="6" t="s">
        <v>9500</v>
      </c>
      <c r="B4998" s="5" t="s">
        <v>9501</v>
      </c>
      <c r="C4998" s="3" t="s">
        <v>5</v>
      </c>
    </row>
    <row r="4999" spans="1:3">
      <c r="A4999" s="1" t="s">
        <v>9502</v>
      </c>
      <c r="B4999" s="2" t="s">
        <v>9503</v>
      </c>
      <c r="C4999" s="3" t="s">
        <v>5</v>
      </c>
    </row>
    <row r="5000" spans="1:3" ht="15.75" thickBot="1">
      <c r="A5000" s="4"/>
      <c r="B5000" s="5" t="s">
        <v>1997</v>
      </c>
      <c r="C5000" s="3" t="s">
        <v>5</v>
      </c>
    </row>
    <row r="5001" spans="1:3" ht="15.75" thickBot="1">
      <c r="A5001" s="6" t="s">
        <v>9504</v>
      </c>
      <c r="B5001" s="5" t="s">
        <v>9505</v>
      </c>
      <c r="C5001" s="3" t="s">
        <v>5</v>
      </c>
    </row>
    <row r="5002" spans="1:3" ht="15.75" thickBot="1">
      <c r="A5002" s="6" t="s">
        <v>9506</v>
      </c>
      <c r="B5002" s="5" t="s">
        <v>9507</v>
      </c>
      <c r="C5002" s="3" t="s">
        <v>5</v>
      </c>
    </row>
    <row r="5003" spans="1:3" ht="15.75" thickBot="1">
      <c r="A5003" s="6" t="s">
        <v>9508</v>
      </c>
      <c r="B5003" s="5" t="s">
        <v>9509</v>
      </c>
      <c r="C5003" s="3" t="s">
        <v>5</v>
      </c>
    </row>
    <row r="5004" spans="1:3" ht="15.75" thickBot="1">
      <c r="A5004" s="6" t="s">
        <v>9510</v>
      </c>
      <c r="B5004" s="5" t="s">
        <v>9511</v>
      </c>
      <c r="C5004" s="3" t="s">
        <v>5</v>
      </c>
    </row>
    <row r="5005" spans="1:3" ht="15.75" thickBot="1">
      <c r="A5005" s="6" t="s">
        <v>9512</v>
      </c>
      <c r="B5005" s="5" t="s">
        <v>9513</v>
      </c>
      <c r="C5005" s="3" t="s">
        <v>5</v>
      </c>
    </row>
    <row r="5006" spans="1:3" ht="15.75" thickBot="1">
      <c r="A5006" s="6" t="s">
        <v>9514</v>
      </c>
      <c r="B5006" s="5" t="s">
        <v>9515</v>
      </c>
      <c r="C5006" s="3" t="s">
        <v>5</v>
      </c>
    </row>
    <row r="5007" spans="1:3" ht="15.75" thickBot="1">
      <c r="A5007" s="6" t="s">
        <v>9516</v>
      </c>
      <c r="B5007" s="5" t="s">
        <v>9517</v>
      </c>
      <c r="C5007" s="3" t="s">
        <v>5</v>
      </c>
    </row>
    <row r="5008" spans="1:3" ht="15.75" thickBot="1">
      <c r="A5008" s="6" t="s">
        <v>9518</v>
      </c>
      <c r="B5008" s="5" t="s">
        <v>9519</v>
      </c>
      <c r="C5008" s="3" t="s">
        <v>5</v>
      </c>
    </row>
    <row r="5009" spans="1:3" ht="15.75" thickBot="1">
      <c r="A5009" s="6" t="s">
        <v>9520</v>
      </c>
      <c r="B5009" s="5" t="s">
        <v>9521</v>
      </c>
      <c r="C5009" s="3" t="s">
        <v>5</v>
      </c>
    </row>
    <row r="5010" spans="1:3" ht="15.75" thickBot="1">
      <c r="A5010" s="6" t="s">
        <v>9522</v>
      </c>
      <c r="B5010" s="5" t="s">
        <v>9523</v>
      </c>
      <c r="C5010" s="3" t="s">
        <v>5</v>
      </c>
    </row>
    <row r="5011" spans="1:3" ht="15.75" thickBot="1">
      <c r="A5011" s="6" t="s">
        <v>9524</v>
      </c>
      <c r="B5011" s="5" t="s">
        <v>9525</v>
      </c>
      <c r="C5011" s="3" t="s">
        <v>5</v>
      </c>
    </row>
    <row r="5012" spans="1:3" ht="15.75" thickBot="1">
      <c r="A5012" s="6" t="s">
        <v>9526</v>
      </c>
      <c r="B5012" s="5" t="s">
        <v>9527</v>
      </c>
      <c r="C5012" s="3" t="s">
        <v>5</v>
      </c>
    </row>
    <row r="5013" spans="1:3" ht="15.75" thickBot="1">
      <c r="A5013" s="6" t="s">
        <v>9528</v>
      </c>
      <c r="B5013" s="5" t="s">
        <v>9529</v>
      </c>
      <c r="C5013" s="3" t="s">
        <v>5</v>
      </c>
    </row>
    <row r="5014" spans="1:3" ht="15.75" thickBot="1">
      <c r="A5014" s="6" t="s">
        <v>9530</v>
      </c>
      <c r="B5014" s="5" t="s">
        <v>9531</v>
      </c>
      <c r="C5014" s="3" t="s">
        <v>5</v>
      </c>
    </row>
    <row r="5015" spans="1:3" ht="15.75" thickBot="1">
      <c r="A5015" s="6" t="s">
        <v>9532</v>
      </c>
      <c r="B5015" s="5" t="s">
        <v>9533</v>
      </c>
      <c r="C5015" s="3" t="s">
        <v>5</v>
      </c>
    </row>
    <row r="5016" spans="1:3">
      <c r="A5016" s="1" t="s">
        <v>9534</v>
      </c>
      <c r="B5016" s="2" t="s">
        <v>9535</v>
      </c>
      <c r="C5016" s="3" t="s">
        <v>5</v>
      </c>
    </row>
    <row r="5017" spans="1:3" ht="15.75" thickBot="1">
      <c r="A5017" s="4"/>
      <c r="B5017" s="5" t="s">
        <v>9536</v>
      </c>
      <c r="C5017" s="3" t="s">
        <v>5</v>
      </c>
    </row>
    <row r="5018" spans="1:3" ht="15.75" thickBot="1">
      <c r="A5018" s="6" t="s">
        <v>9537</v>
      </c>
      <c r="B5018" s="5" t="s">
        <v>9538</v>
      </c>
      <c r="C5018" s="3" t="s">
        <v>5</v>
      </c>
    </row>
    <row r="5019" spans="1:3" ht="15.75" thickBot="1">
      <c r="A5019" s="6" t="s">
        <v>9539</v>
      </c>
      <c r="B5019" s="5" t="s">
        <v>9540</v>
      </c>
      <c r="C5019" s="3" t="s">
        <v>5</v>
      </c>
    </row>
    <row r="5020" spans="1:3" ht="15.75" thickBot="1">
      <c r="A5020" s="6" t="s">
        <v>9541</v>
      </c>
      <c r="B5020" s="5" t="s">
        <v>9542</v>
      </c>
      <c r="C5020" s="3" t="s">
        <v>5</v>
      </c>
    </row>
    <row r="5021" spans="1:3" ht="15.75" thickBot="1">
      <c r="A5021" s="6" t="s">
        <v>9543</v>
      </c>
      <c r="B5021" s="5" t="s">
        <v>9544</v>
      </c>
      <c r="C5021" s="3" t="s">
        <v>5</v>
      </c>
    </row>
    <row r="5022" spans="1:3" ht="15.75" thickBot="1">
      <c r="A5022" s="6" t="s">
        <v>9545</v>
      </c>
      <c r="B5022" s="5" t="s">
        <v>9546</v>
      </c>
      <c r="C5022" s="3" t="s">
        <v>5</v>
      </c>
    </row>
    <row r="5023" spans="1:3">
      <c r="A5023" s="1" t="s">
        <v>9547</v>
      </c>
      <c r="B5023" s="2" t="s">
        <v>9548</v>
      </c>
      <c r="C5023" s="3" t="s">
        <v>5</v>
      </c>
    </row>
    <row r="5024" spans="1:3" ht="15.75" thickBot="1">
      <c r="A5024" s="4"/>
      <c r="B5024" s="5" t="s">
        <v>9549</v>
      </c>
      <c r="C5024" s="3" t="s">
        <v>5</v>
      </c>
    </row>
    <row r="5025" spans="1:3">
      <c r="A5025" s="1" t="s">
        <v>9550</v>
      </c>
      <c r="B5025" s="2" t="s">
        <v>9551</v>
      </c>
      <c r="C5025" s="3" t="s">
        <v>5</v>
      </c>
    </row>
    <row r="5026" spans="1:3" ht="15.75" thickBot="1">
      <c r="A5026" s="4"/>
      <c r="B5026" s="5" t="s">
        <v>9552</v>
      </c>
      <c r="C5026" s="3" t="s">
        <v>5</v>
      </c>
    </row>
    <row r="5027" spans="1:3">
      <c r="A5027" s="1" t="s">
        <v>9553</v>
      </c>
      <c r="B5027" s="2" t="s">
        <v>9554</v>
      </c>
      <c r="C5027" s="3" t="s">
        <v>5</v>
      </c>
    </row>
    <row r="5028" spans="1:3" ht="15.75" thickBot="1">
      <c r="A5028" s="4"/>
      <c r="B5028" s="5" t="s">
        <v>9555</v>
      </c>
      <c r="C5028" s="3" t="s">
        <v>5</v>
      </c>
    </row>
    <row r="5029" spans="1:3" ht="15.75" thickBot="1">
      <c r="A5029" s="6" t="s">
        <v>9556</v>
      </c>
      <c r="B5029" s="5" t="s">
        <v>9557</v>
      </c>
      <c r="C5029" s="3" t="s">
        <v>5</v>
      </c>
    </row>
    <row r="5030" spans="1:3" ht="15.75" thickBot="1">
      <c r="A5030" s="6" t="s">
        <v>9558</v>
      </c>
      <c r="B5030" s="5" t="s">
        <v>9559</v>
      </c>
      <c r="C5030" s="3" t="s">
        <v>5</v>
      </c>
    </row>
    <row r="5031" spans="1:3" ht="15.75" thickBot="1">
      <c r="A5031" s="6" t="s">
        <v>9560</v>
      </c>
      <c r="B5031" s="5" t="s">
        <v>9561</v>
      </c>
      <c r="C5031" s="3" t="s">
        <v>5</v>
      </c>
    </row>
    <row r="5032" spans="1:3" ht="15.75" thickBot="1">
      <c r="A5032" s="6" t="s">
        <v>9562</v>
      </c>
      <c r="B5032" s="5" t="s">
        <v>9563</v>
      </c>
      <c r="C5032" s="3" t="s">
        <v>5</v>
      </c>
    </row>
    <row r="5033" spans="1:3" ht="15.75" thickBot="1">
      <c r="A5033" s="6" t="s">
        <v>9564</v>
      </c>
      <c r="B5033" s="5" t="s">
        <v>9565</v>
      </c>
      <c r="C5033" s="3" t="s">
        <v>5</v>
      </c>
    </row>
    <row r="5034" spans="1:3" ht="15.75" thickBot="1">
      <c r="A5034" s="6" t="s">
        <v>9566</v>
      </c>
      <c r="B5034" s="5" t="s">
        <v>9567</v>
      </c>
      <c r="C5034" s="3" t="s">
        <v>5</v>
      </c>
    </row>
    <row r="5035" spans="1:3" ht="15.75" thickBot="1">
      <c r="A5035" s="6" t="s">
        <v>9568</v>
      </c>
      <c r="B5035" s="5" t="s">
        <v>9569</v>
      </c>
      <c r="C5035" s="3" t="s">
        <v>5</v>
      </c>
    </row>
    <row r="5036" spans="1:3" ht="15.75" thickBot="1">
      <c r="A5036" s="6" t="s">
        <v>9570</v>
      </c>
      <c r="B5036" s="5" t="s">
        <v>9571</v>
      </c>
      <c r="C5036" s="3" t="s">
        <v>5</v>
      </c>
    </row>
    <row r="5037" spans="1:3" ht="15.75" thickBot="1">
      <c r="A5037" s="6" t="s">
        <v>9572</v>
      </c>
      <c r="B5037" s="5" t="s">
        <v>9573</v>
      </c>
      <c r="C5037" s="3" t="s">
        <v>5</v>
      </c>
    </row>
    <row r="5038" spans="1:3" ht="15.75" thickBot="1">
      <c r="A5038" s="6" t="s">
        <v>9574</v>
      </c>
      <c r="B5038" s="5" t="s">
        <v>9575</v>
      </c>
      <c r="C5038" s="3" t="s">
        <v>5</v>
      </c>
    </row>
    <row r="5039" spans="1:3" ht="15.75" thickBot="1">
      <c r="A5039" s="6" t="s">
        <v>9576</v>
      </c>
      <c r="B5039" s="5" t="s">
        <v>9577</v>
      </c>
      <c r="C5039" s="3" t="s">
        <v>5</v>
      </c>
    </row>
    <row r="5040" spans="1:3" ht="15.75" thickBot="1">
      <c r="A5040" s="6" t="s">
        <v>9578</v>
      </c>
      <c r="B5040" s="5" t="s">
        <v>9579</v>
      </c>
      <c r="C5040" s="3" t="s">
        <v>5</v>
      </c>
    </row>
    <row r="5041" spans="1:3" ht="15.75" thickBot="1">
      <c r="A5041" s="6" t="s">
        <v>9580</v>
      </c>
      <c r="B5041" s="5" t="s">
        <v>9581</v>
      </c>
      <c r="C5041" s="3" t="s">
        <v>5</v>
      </c>
    </row>
    <row r="5042" spans="1:3" ht="15.75" thickBot="1">
      <c r="A5042" s="6" t="s">
        <v>9582</v>
      </c>
      <c r="B5042" s="5" t="s">
        <v>9583</v>
      </c>
      <c r="C5042" s="3" t="s">
        <v>5</v>
      </c>
    </row>
    <row r="5043" spans="1:3" ht="15.75" thickBot="1">
      <c r="A5043" s="6" t="s">
        <v>9584</v>
      </c>
      <c r="B5043" s="5" t="s">
        <v>9585</v>
      </c>
      <c r="C5043" s="3" t="s">
        <v>5</v>
      </c>
    </row>
    <row r="5044" spans="1:3" ht="15.75" thickBot="1">
      <c r="A5044" s="6" t="s">
        <v>9586</v>
      </c>
      <c r="B5044" s="5" t="s">
        <v>9587</v>
      </c>
      <c r="C5044" s="3" t="s">
        <v>5</v>
      </c>
    </row>
    <row r="5045" spans="1:3" ht="15.75" thickBot="1">
      <c r="A5045" s="6" t="s">
        <v>9588</v>
      </c>
      <c r="B5045" s="5" t="s">
        <v>9589</v>
      </c>
      <c r="C5045" s="3" t="s">
        <v>5</v>
      </c>
    </row>
    <row r="5046" spans="1:3" ht="15.75" thickBot="1">
      <c r="A5046" s="6" t="s">
        <v>9590</v>
      </c>
      <c r="B5046" s="5" t="s">
        <v>9591</v>
      </c>
      <c r="C5046" s="3" t="s">
        <v>5</v>
      </c>
    </row>
    <row r="5047" spans="1:3" ht="15.75" thickBot="1">
      <c r="A5047" s="6" t="s">
        <v>9592</v>
      </c>
      <c r="B5047" s="5" t="s">
        <v>9593</v>
      </c>
      <c r="C5047" s="3" t="s">
        <v>5</v>
      </c>
    </row>
    <row r="5048" spans="1:3" ht="15.75" thickBot="1">
      <c r="A5048" s="6" t="s">
        <v>9594</v>
      </c>
      <c r="B5048" s="5" t="s">
        <v>9595</v>
      </c>
      <c r="C5048" s="3" t="s">
        <v>5</v>
      </c>
    </row>
    <row r="5049" spans="1:3" ht="15.75" thickBot="1">
      <c r="A5049" s="6" t="s">
        <v>9596</v>
      </c>
      <c r="B5049" s="5" t="s">
        <v>9597</v>
      </c>
      <c r="C5049" s="3" t="s">
        <v>5</v>
      </c>
    </row>
    <row r="5050" spans="1:3" ht="15.75" thickBot="1">
      <c r="A5050" s="6" t="s">
        <v>9598</v>
      </c>
      <c r="B5050" s="5" t="s">
        <v>9599</v>
      </c>
      <c r="C5050" s="3" t="s">
        <v>5</v>
      </c>
    </row>
    <row r="5051" spans="1:3" ht="15.75" thickBot="1">
      <c r="A5051" s="6" t="s">
        <v>9600</v>
      </c>
      <c r="B5051" s="5" t="s">
        <v>9601</v>
      </c>
      <c r="C5051" s="3" t="s">
        <v>5</v>
      </c>
    </row>
    <row r="5052" spans="1:3" ht="15.75" thickBot="1">
      <c r="A5052" s="6" t="s">
        <v>9602</v>
      </c>
      <c r="B5052" s="5" t="s">
        <v>9603</v>
      </c>
      <c r="C5052" s="3" t="s">
        <v>5</v>
      </c>
    </row>
    <row r="5053" spans="1:3" ht="15.75" thickBot="1">
      <c r="A5053" s="6" t="s">
        <v>9604</v>
      </c>
      <c r="B5053" s="5" t="s">
        <v>9605</v>
      </c>
      <c r="C5053" s="3" t="s">
        <v>5</v>
      </c>
    </row>
    <row r="5054" spans="1:3" ht="15.75" thickBot="1">
      <c r="A5054" s="6" t="s">
        <v>9606</v>
      </c>
      <c r="B5054" s="5" t="s">
        <v>9607</v>
      </c>
      <c r="C5054" s="3" t="s">
        <v>5</v>
      </c>
    </row>
    <row r="5055" spans="1:3" ht="15.75" thickBot="1">
      <c r="A5055" s="6" t="s">
        <v>9608</v>
      </c>
      <c r="B5055" s="5" t="s">
        <v>9609</v>
      </c>
      <c r="C5055" s="3" t="s">
        <v>5</v>
      </c>
    </row>
    <row r="5056" spans="1:3" ht="15.75" thickBot="1">
      <c r="A5056" s="6" t="s">
        <v>9610</v>
      </c>
      <c r="B5056" s="5" t="s">
        <v>9611</v>
      </c>
      <c r="C5056" s="3" t="s">
        <v>5</v>
      </c>
    </row>
    <row r="5057" spans="1:3" ht="15.75" thickBot="1">
      <c r="A5057" s="6" t="s">
        <v>9612</v>
      </c>
      <c r="B5057" s="5" t="s">
        <v>9613</v>
      </c>
      <c r="C5057" s="3" t="s">
        <v>5</v>
      </c>
    </row>
    <row r="5058" spans="1:3" ht="15.75" thickBot="1">
      <c r="A5058" s="6" t="s">
        <v>9614</v>
      </c>
      <c r="B5058" s="5" t="s">
        <v>9615</v>
      </c>
      <c r="C5058" s="3" t="s">
        <v>5</v>
      </c>
    </row>
    <row r="5059" spans="1:3" ht="15.75" thickBot="1">
      <c r="A5059" s="6" t="s">
        <v>9616</v>
      </c>
      <c r="B5059" s="5" t="s">
        <v>9617</v>
      </c>
      <c r="C5059" s="3" t="s">
        <v>5</v>
      </c>
    </row>
    <row r="5060" spans="1:3" ht="15.75" thickBot="1">
      <c r="A5060" s="6" t="s">
        <v>9618</v>
      </c>
      <c r="B5060" s="5" t="s">
        <v>9619</v>
      </c>
      <c r="C5060" s="3" t="s">
        <v>5</v>
      </c>
    </row>
    <row r="5061" spans="1:3" ht="15.75" thickBot="1">
      <c r="A5061" s="6" t="s">
        <v>9620</v>
      </c>
      <c r="B5061" s="5" t="s">
        <v>9621</v>
      </c>
      <c r="C5061" s="3" t="s">
        <v>5</v>
      </c>
    </row>
    <row r="5062" spans="1:3" ht="15.75" thickBot="1">
      <c r="A5062" s="6" t="s">
        <v>9622</v>
      </c>
      <c r="B5062" s="5" t="s">
        <v>9623</v>
      </c>
      <c r="C5062" s="3" t="s">
        <v>5</v>
      </c>
    </row>
    <row r="5063" spans="1:3" ht="15.75" thickBot="1">
      <c r="A5063" s="6" t="s">
        <v>9624</v>
      </c>
      <c r="B5063" s="5" t="s">
        <v>9625</v>
      </c>
      <c r="C5063" s="3" t="s">
        <v>5</v>
      </c>
    </row>
    <row r="5064" spans="1:3" ht="15.75" thickBot="1">
      <c r="A5064" s="6" t="s">
        <v>9626</v>
      </c>
      <c r="B5064" s="5" t="s">
        <v>9627</v>
      </c>
      <c r="C5064" s="3" t="s">
        <v>5</v>
      </c>
    </row>
    <row r="5065" spans="1:3" ht="15.75" thickBot="1">
      <c r="A5065" s="6" t="s">
        <v>9628</v>
      </c>
      <c r="B5065" s="5" t="s">
        <v>9629</v>
      </c>
      <c r="C5065" s="3" t="s">
        <v>5</v>
      </c>
    </row>
    <row r="5066" spans="1:3" ht="15.75" thickBot="1">
      <c r="A5066" s="6" t="s">
        <v>9630</v>
      </c>
      <c r="B5066" s="5" t="s">
        <v>9631</v>
      </c>
      <c r="C5066" s="3" t="s">
        <v>5</v>
      </c>
    </row>
    <row r="5067" spans="1:3" ht="15.75" thickBot="1">
      <c r="A5067" s="6" t="s">
        <v>9632</v>
      </c>
      <c r="B5067" s="5" t="s">
        <v>9633</v>
      </c>
      <c r="C5067" s="3" t="s">
        <v>5</v>
      </c>
    </row>
    <row r="5068" spans="1:3" ht="15.75" thickBot="1">
      <c r="A5068" s="6" t="s">
        <v>9634</v>
      </c>
      <c r="B5068" s="5" t="s">
        <v>9635</v>
      </c>
      <c r="C5068" s="3" t="s">
        <v>5</v>
      </c>
    </row>
    <row r="5069" spans="1:3" ht="15.75" thickBot="1">
      <c r="A5069" s="6" t="s">
        <v>9636</v>
      </c>
      <c r="B5069" s="5" t="s">
        <v>9637</v>
      </c>
      <c r="C5069" s="3" t="s">
        <v>5</v>
      </c>
    </row>
    <row r="5070" spans="1:3" ht="15.75" thickBot="1">
      <c r="A5070" s="6" t="s">
        <v>9638</v>
      </c>
      <c r="B5070" s="5" t="s">
        <v>9639</v>
      </c>
      <c r="C5070" s="3" t="s">
        <v>5</v>
      </c>
    </row>
    <row r="5071" spans="1:3" ht="15.75" thickBot="1">
      <c r="A5071" s="6" t="s">
        <v>9640</v>
      </c>
      <c r="B5071" s="5" t="s">
        <v>9641</v>
      </c>
      <c r="C5071" s="3" t="s">
        <v>5</v>
      </c>
    </row>
    <row r="5072" spans="1:3" ht="15.75" thickBot="1">
      <c r="A5072" s="6" t="s">
        <v>9642</v>
      </c>
      <c r="B5072" s="5" t="s">
        <v>9643</v>
      </c>
      <c r="C5072" s="3" t="s">
        <v>5</v>
      </c>
    </row>
    <row r="5073" spans="1:3" ht="15.75" thickBot="1">
      <c r="A5073" s="6" t="s">
        <v>9644</v>
      </c>
      <c r="B5073" s="5" t="s">
        <v>9645</v>
      </c>
      <c r="C5073" s="3" t="s">
        <v>5</v>
      </c>
    </row>
    <row r="5074" spans="1:3" ht="15.75" thickBot="1">
      <c r="A5074" s="6" t="s">
        <v>9646</v>
      </c>
      <c r="B5074" s="5" t="s">
        <v>9647</v>
      </c>
      <c r="C5074" s="3" t="s">
        <v>5</v>
      </c>
    </row>
    <row r="5075" spans="1:3" ht="15.75" thickBot="1">
      <c r="A5075" s="6" t="s">
        <v>9648</v>
      </c>
      <c r="B5075" s="5" t="s">
        <v>9649</v>
      </c>
      <c r="C5075" s="3" t="s">
        <v>5</v>
      </c>
    </row>
    <row r="5076" spans="1:3" ht="15.75" thickBot="1">
      <c r="A5076" s="6" t="s">
        <v>9650</v>
      </c>
      <c r="B5076" s="5" t="s">
        <v>9651</v>
      </c>
      <c r="C5076" s="3" t="s">
        <v>5</v>
      </c>
    </row>
    <row r="5077" spans="1:3" ht="15.75" thickBot="1">
      <c r="A5077" s="6" t="s">
        <v>9652</v>
      </c>
      <c r="B5077" s="5" t="s">
        <v>9653</v>
      </c>
      <c r="C5077" s="3" t="s">
        <v>5</v>
      </c>
    </row>
    <row r="5078" spans="1:3" ht="15.75" thickBot="1">
      <c r="A5078" s="6" t="s">
        <v>9654</v>
      </c>
      <c r="B5078" s="5" t="s">
        <v>9655</v>
      </c>
      <c r="C5078" s="3" t="s">
        <v>5</v>
      </c>
    </row>
    <row r="5079" spans="1:3" ht="15.75" thickBot="1">
      <c r="A5079" s="6" t="s">
        <v>9656</v>
      </c>
      <c r="B5079" s="5" t="s">
        <v>9657</v>
      </c>
      <c r="C5079" s="3" t="s">
        <v>5</v>
      </c>
    </row>
    <row r="5080" spans="1:3" ht="15.75" thickBot="1">
      <c r="A5080" s="6" t="s">
        <v>9658</v>
      </c>
      <c r="B5080" s="5" t="s">
        <v>9659</v>
      </c>
      <c r="C5080" s="3" t="s">
        <v>5</v>
      </c>
    </row>
    <row r="5081" spans="1:3" ht="15.75" thickBot="1">
      <c r="A5081" s="6" t="s">
        <v>9660</v>
      </c>
      <c r="B5081" s="5" t="s">
        <v>9661</v>
      </c>
      <c r="C5081" s="3" t="s">
        <v>5</v>
      </c>
    </row>
    <row r="5082" spans="1:3" ht="15.75" thickBot="1">
      <c r="A5082" s="6" t="s">
        <v>9662</v>
      </c>
      <c r="B5082" s="5" t="s">
        <v>9663</v>
      </c>
      <c r="C5082" s="3" t="s">
        <v>5</v>
      </c>
    </row>
    <row r="5083" spans="1:3" ht="15.75" thickBot="1">
      <c r="A5083" s="6" t="s">
        <v>9664</v>
      </c>
      <c r="B5083" s="5" t="s">
        <v>9665</v>
      </c>
      <c r="C5083" s="3" t="s">
        <v>5</v>
      </c>
    </row>
    <row r="5084" spans="1:3" ht="15.75" thickBot="1">
      <c r="A5084" s="6" t="s">
        <v>9666</v>
      </c>
      <c r="B5084" s="5" t="s">
        <v>9667</v>
      </c>
      <c r="C5084" s="3" t="s">
        <v>5</v>
      </c>
    </row>
    <row r="5085" spans="1:3" ht="15.75" thickBot="1">
      <c r="A5085" s="6" t="s">
        <v>9668</v>
      </c>
      <c r="B5085" s="5" t="s">
        <v>9669</v>
      </c>
      <c r="C5085" s="3" t="s">
        <v>5</v>
      </c>
    </row>
    <row r="5086" spans="1:3" ht="15.75" thickBot="1">
      <c r="A5086" s="6" t="s">
        <v>9670</v>
      </c>
      <c r="B5086" s="5" t="s">
        <v>9671</v>
      </c>
      <c r="C5086" s="3" t="s">
        <v>5</v>
      </c>
    </row>
    <row r="5087" spans="1:3" ht="15.75" thickBot="1">
      <c r="A5087" s="6" t="s">
        <v>9672</v>
      </c>
      <c r="B5087" s="5" t="s">
        <v>9673</v>
      </c>
      <c r="C5087" s="3" t="s">
        <v>5</v>
      </c>
    </row>
    <row r="5088" spans="1:3" ht="15.75" thickBot="1">
      <c r="A5088" s="6" t="s">
        <v>9674</v>
      </c>
      <c r="B5088" s="5" t="s">
        <v>9675</v>
      </c>
      <c r="C5088" s="3" t="s">
        <v>5</v>
      </c>
    </row>
    <row r="5089" spans="1:3" ht="15.75" thickBot="1">
      <c r="A5089" s="6" t="s">
        <v>9676</v>
      </c>
      <c r="B5089" s="5" t="s">
        <v>9677</v>
      </c>
      <c r="C5089" s="3" t="s">
        <v>5</v>
      </c>
    </row>
    <row r="5090" spans="1:3" ht="15.75" thickBot="1">
      <c r="A5090" s="6" t="s">
        <v>9678</v>
      </c>
      <c r="B5090" s="5" t="s">
        <v>9679</v>
      </c>
      <c r="C5090" s="3" t="s">
        <v>5</v>
      </c>
    </row>
    <row r="5091" spans="1:3" ht="15.75" thickBot="1">
      <c r="A5091" s="6" t="s">
        <v>9680</v>
      </c>
      <c r="B5091" s="5" t="e">
        <f xml:space="preserve"> magnetophone</f>
        <v>#NAME?</v>
      </c>
      <c r="C5091" s="3" t="s">
        <v>5</v>
      </c>
    </row>
    <row r="5092" spans="1:3" ht="15.75" thickBot="1">
      <c r="A5092" s="6" t="s">
        <v>9681</v>
      </c>
      <c r="B5092" s="5" t="s">
        <v>9682</v>
      </c>
      <c r="C5092" s="3" t="s">
        <v>5</v>
      </c>
    </row>
    <row r="5093" spans="1:3">
      <c r="A5093" s="1" t="s">
        <v>9683</v>
      </c>
      <c r="B5093" s="2" t="s">
        <v>9684</v>
      </c>
      <c r="C5093" s="3" t="s">
        <v>5</v>
      </c>
    </row>
    <row r="5094" spans="1:3" ht="15.75" thickBot="1">
      <c r="A5094" s="4"/>
      <c r="B5094" s="5" t="s">
        <v>9685</v>
      </c>
      <c r="C5094" s="3" t="s">
        <v>5</v>
      </c>
    </row>
    <row r="5095" spans="1:3" ht="15.75" thickBot="1">
      <c r="A5095" s="6" t="s">
        <v>9686</v>
      </c>
      <c r="B5095" s="5" t="s">
        <v>9687</v>
      </c>
      <c r="C5095" s="3" t="s">
        <v>5</v>
      </c>
    </row>
    <row r="5096" spans="1:3" ht="15.75" thickBot="1">
      <c r="A5096" s="6" t="s">
        <v>9688</v>
      </c>
      <c r="B5096" s="5" t="s">
        <v>9689</v>
      </c>
      <c r="C5096" s="3" t="s">
        <v>5</v>
      </c>
    </row>
    <row r="5097" spans="1:3" ht="15.75" thickBot="1">
      <c r="A5097" s="6" t="s">
        <v>9690</v>
      </c>
      <c r="B5097" s="5" t="s">
        <v>9691</v>
      </c>
      <c r="C5097" s="3" t="s">
        <v>5</v>
      </c>
    </row>
    <row r="5098" spans="1:3" ht="15.75" thickBot="1">
      <c r="A5098" s="6" t="s">
        <v>9692</v>
      </c>
      <c r="B5098" s="5" t="e">
        <f xml:space="preserve"> magnetic remanence</f>
        <v>#NAME?</v>
      </c>
      <c r="C5098" s="3" t="s">
        <v>5</v>
      </c>
    </row>
    <row r="5099" spans="1:3" ht="15.75" thickBot="1">
      <c r="A5099" s="6" t="s">
        <v>9693</v>
      </c>
      <c r="B5099" s="5" t="s">
        <v>9694</v>
      </c>
      <c r="C5099" s="3" t="s">
        <v>5</v>
      </c>
    </row>
    <row r="5100" spans="1:3" ht="26.25" thickBot="1">
      <c r="A5100" s="6" t="s">
        <v>9695</v>
      </c>
      <c r="B5100" s="5" t="s">
        <v>9696</v>
      </c>
      <c r="C5100" s="3" t="s">
        <v>5</v>
      </c>
    </row>
    <row r="5101" spans="1:3" ht="15.75" thickBot="1">
      <c r="A5101" s="6" t="s">
        <v>9697</v>
      </c>
      <c r="B5101" s="5" t="s">
        <v>9698</v>
      </c>
      <c r="C5101" s="3" t="s">
        <v>5</v>
      </c>
    </row>
    <row r="5102" spans="1:3" ht="15.75" thickBot="1">
      <c r="A5102" s="6" t="s">
        <v>9699</v>
      </c>
      <c r="B5102" s="5" t="s">
        <v>9700</v>
      </c>
      <c r="C5102" s="3" t="s">
        <v>5</v>
      </c>
    </row>
    <row r="5103" spans="1:3" ht="15.75" thickBot="1">
      <c r="A5103" s="6" t="s">
        <v>9701</v>
      </c>
      <c r="B5103" s="5" t="s">
        <v>9702</v>
      </c>
      <c r="C5103" s="3" t="s">
        <v>5</v>
      </c>
    </row>
    <row r="5104" spans="1:3" ht="15.75" thickBot="1">
      <c r="A5104" s="6" t="s">
        <v>9703</v>
      </c>
      <c r="B5104" s="5" t="s">
        <v>9704</v>
      </c>
      <c r="C5104" s="3" t="s">
        <v>5</v>
      </c>
    </row>
    <row r="5105" spans="1:3" ht="15.75" thickBot="1">
      <c r="A5105" s="6" t="s">
        <v>9705</v>
      </c>
      <c r="B5105" s="5" t="s">
        <v>9706</v>
      </c>
      <c r="C5105" s="3" t="s">
        <v>5</v>
      </c>
    </row>
    <row r="5106" spans="1:3" ht="15.75" thickBot="1">
      <c r="A5106" s="6" t="s">
        <v>9707</v>
      </c>
      <c r="B5106" s="5" t="s">
        <v>9708</v>
      </c>
      <c r="C5106" s="3" t="s">
        <v>5</v>
      </c>
    </row>
    <row r="5107" spans="1:3" ht="15.75" thickBot="1">
      <c r="A5107" s="6" t="s">
        <v>9709</v>
      </c>
      <c r="B5107" s="5" t="s">
        <v>9710</v>
      </c>
      <c r="C5107" s="3" t="s">
        <v>5</v>
      </c>
    </row>
    <row r="5108" spans="1:3" ht="15.75" thickBot="1">
      <c r="A5108" s="6" t="s">
        <v>9711</v>
      </c>
      <c r="B5108" s="5" t="s">
        <v>9712</v>
      </c>
      <c r="C5108" s="3" t="s">
        <v>5</v>
      </c>
    </row>
    <row r="5109" spans="1:3" ht="15.75" thickBot="1">
      <c r="A5109" s="6" t="s">
        <v>9713</v>
      </c>
      <c r="B5109" s="5" t="s">
        <v>9714</v>
      </c>
      <c r="C5109" s="3" t="s">
        <v>5</v>
      </c>
    </row>
    <row r="5110" spans="1:3" ht="15.75" thickBot="1">
      <c r="A5110" s="6" t="s">
        <v>9715</v>
      </c>
      <c r="B5110" s="5" t="s">
        <v>9716</v>
      </c>
      <c r="C5110" s="3" t="s">
        <v>5</v>
      </c>
    </row>
    <row r="5111" spans="1:3" ht="15.75" thickBot="1">
      <c r="A5111" s="6" t="s">
        <v>9717</v>
      </c>
      <c r="B5111" s="5" t="s">
        <v>9718</v>
      </c>
      <c r="C5111" s="3" t="s">
        <v>5</v>
      </c>
    </row>
    <row r="5112" spans="1:3" ht="51.75" thickBot="1">
      <c r="A5112" s="6" t="s">
        <v>9719</v>
      </c>
      <c r="B5112" s="5" t="s">
        <v>9720</v>
      </c>
      <c r="C5112" s="3" t="s">
        <v>5</v>
      </c>
    </row>
    <row r="5113" spans="1:3" ht="15.75" thickBot="1">
      <c r="A5113" s="6" t="s">
        <v>9721</v>
      </c>
      <c r="B5113" s="5" t="e">
        <f xml:space="preserve"> B/H curve</f>
        <v>#NAME?</v>
      </c>
      <c r="C5113" s="3" t="s">
        <v>5</v>
      </c>
    </row>
    <row r="5114" spans="1:3" ht="15.75" thickBot="1">
      <c r="A5114" s="6" t="s">
        <v>9722</v>
      </c>
      <c r="B5114" s="5" t="s">
        <v>9723</v>
      </c>
      <c r="C5114" s="3" t="s">
        <v>5</v>
      </c>
    </row>
    <row r="5115" spans="1:3" ht="15.75" thickBot="1">
      <c r="A5115" s="6" t="s">
        <v>9724</v>
      </c>
      <c r="B5115" s="5" t="s">
        <v>9725</v>
      </c>
      <c r="C5115" s="3" t="s">
        <v>5</v>
      </c>
    </row>
    <row r="5116" spans="1:3" ht="15.75" thickBot="1">
      <c r="A5116" s="6" t="s">
        <v>9726</v>
      </c>
      <c r="B5116" s="5" t="s">
        <v>9727</v>
      </c>
      <c r="C5116" s="3" t="s">
        <v>5</v>
      </c>
    </row>
    <row r="5117" spans="1:3" ht="15.75" thickBot="1">
      <c r="A5117" s="6" t="s">
        <v>9728</v>
      </c>
      <c r="B5117" s="5" t="s">
        <v>9729</v>
      </c>
      <c r="C5117" s="3" t="s">
        <v>5</v>
      </c>
    </row>
    <row r="5118" spans="1:3" ht="15.75" thickBot="1">
      <c r="A5118" s="6" t="s">
        <v>9730</v>
      </c>
      <c r="B5118" s="5" t="s">
        <v>9731</v>
      </c>
      <c r="C5118" s="3" t="s">
        <v>5</v>
      </c>
    </row>
    <row r="5119" spans="1:3">
      <c r="A5119" s="1" t="s">
        <v>9732</v>
      </c>
      <c r="B5119" s="2" t="s">
        <v>9733</v>
      </c>
      <c r="C5119" s="3" t="s">
        <v>5</v>
      </c>
    </row>
    <row r="5120" spans="1:3" ht="15.75" thickBot="1">
      <c r="A5120" s="4"/>
      <c r="B5120" s="5" t="s">
        <v>9616</v>
      </c>
      <c r="C5120" s="3" t="s">
        <v>5</v>
      </c>
    </row>
    <row r="5121" spans="1:3" ht="15.75" thickBot="1">
      <c r="A5121" s="6" t="s">
        <v>9734</v>
      </c>
      <c r="B5121" s="5" t="s">
        <v>9735</v>
      </c>
      <c r="C5121" s="3" t="s">
        <v>5</v>
      </c>
    </row>
    <row r="5122" spans="1:3">
      <c r="A5122" s="1" t="s">
        <v>9736</v>
      </c>
      <c r="B5122" s="2" t="s">
        <v>9737</v>
      </c>
      <c r="C5122" s="3" t="s">
        <v>5</v>
      </c>
    </row>
    <row r="5123" spans="1:3" ht="15.75" thickBot="1">
      <c r="A5123" s="4"/>
      <c r="B5123" s="5" t="s">
        <v>9738</v>
      </c>
      <c r="C5123" s="3" t="s">
        <v>5</v>
      </c>
    </row>
    <row r="5124" spans="1:3" ht="15.75" thickBot="1">
      <c r="A5124" s="6" t="s">
        <v>9739</v>
      </c>
      <c r="B5124" s="5" t="s">
        <v>9740</v>
      </c>
      <c r="C5124" s="3" t="s">
        <v>5</v>
      </c>
    </row>
    <row r="5125" spans="1:3" ht="15.75" thickBot="1">
      <c r="A5125" s="6" t="s">
        <v>9741</v>
      </c>
      <c r="B5125" s="5" t="s">
        <v>9742</v>
      </c>
      <c r="C5125" s="3" t="s">
        <v>5</v>
      </c>
    </row>
    <row r="5126" spans="1:3" ht="15.75" thickBot="1">
      <c r="A5126" s="6" t="s">
        <v>9743</v>
      </c>
      <c r="B5126" s="5" t="s">
        <v>9744</v>
      </c>
      <c r="C5126" s="3" t="s">
        <v>5</v>
      </c>
    </row>
    <row r="5127" spans="1:3" ht="15.75" thickBot="1">
      <c r="A5127" s="6" t="s">
        <v>9745</v>
      </c>
      <c r="B5127" s="5" t="s">
        <v>9746</v>
      </c>
      <c r="C5127" s="3" t="s">
        <v>5</v>
      </c>
    </row>
    <row r="5128" spans="1:3" ht="15.75" thickBot="1">
      <c r="A5128" s="6" t="s">
        <v>9747</v>
      </c>
      <c r="B5128" s="5" t="e">
        <f xml:space="preserve"> magneto</f>
        <v>#NAME?</v>
      </c>
      <c r="C5128" s="3" t="s">
        <v>5</v>
      </c>
    </row>
    <row r="5129" spans="1:3" ht="15.75" thickBot="1">
      <c r="A5129" s="6" t="s">
        <v>9748</v>
      </c>
      <c r="B5129" s="5" t="s">
        <v>9749</v>
      </c>
      <c r="C5129" s="3" t="s">
        <v>5</v>
      </c>
    </row>
    <row r="5130" spans="1:3" ht="15.75" thickBot="1">
      <c r="A5130" s="6" t="s">
        <v>9750</v>
      </c>
      <c r="B5130" s="5" t="s">
        <v>9751</v>
      </c>
      <c r="C5130" s="3" t="s">
        <v>5</v>
      </c>
    </row>
    <row r="5131" spans="1:3" ht="15.75" thickBot="1">
      <c r="A5131" s="6" t="s">
        <v>9752</v>
      </c>
      <c r="B5131" s="5" t="s">
        <v>9753</v>
      </c>
      <c r="C5131" s="3" t="s">
        <v>5</v>
      </c>
    </row>
    <row r="5132" spans="1:3" ht="15.75" thickBot="1">
      <c r="A5132" s="6" t="s">
        <v>9754</v>
      </c>
      <c r="B5132" s="5" t="s">
        <v>9755</v>
      </c>
      <c r="C5132" s="3" t="s">
        <v>5</v>
      </c>
    </row>
    <row r="5133" spans="1:3" ht="15.75" thickBot="1">
      <c r="A5133" s="6" t="s">
        <v>9756</v>
      </c>
      <c r="B5133" s="5" t="s">
        <v>9757</v>
      </c>
      <c r="C5133" s="3" t="s">
        <v>5</v>
      </c>
    </row>
    <row r="5134" spans="1:3">
      <c r="A5134" s="1" t="s">
        <v>9758</v>
      </c>
      <c r="B5134" s="2" t="s">
        <v>9759</v>
      </c>
      <c r="C5134" s="3" t="s">
        <v>5</v>
      </c>
    </row>
    <row r="5135" spans="1:3" ht="15.75" thickBot="1">
      <c r="A5135" s="4"/>
      <c r="B5135" s="5" t="s">
        <v>9760</v>
      </c>
      <c r="C5135" s="3" t="s">
        <v>5</v>
      </c>
    </row>
    <row r="5136" spans="1:3" ht="15.75" thickBot="1">
      <c r="A5136" s="6" t="s">
        <v>9761</v>
      </c>
      <c r="B5136" s="5" t="s">
        <v>9762</v>
      </c>
      <c r="C5136" s="3" t="s">
        <v>5</v>
      </c>
    </row>
    <row r="5137" spans="1:3" ht="15.75" thickBot="1">
      <c r="A5137" s="6" t="s">
        <v>9763</v>
      </c>
      <c r="B5137" s="5" t="s">
        <v>9764</v>
      </c>
      <c r="C5137" s="3" t="s">
        <v>5</v>
      </c>
    </row>
    <row r="5138" spans="1:3" ht="15.75" thickBot="1">
      <c r="A5138" s="6" t="s">
        <v>9765</v>
      </c>
      <c r="B5138" s="5" t="s">
        <v>9766</v>
      </c>
      <c r="C5138" s="3" t="s">
        <v>5</v>
      </c>
    </row>
    <row r="5139" spans="1:3" ht="15.75" thickBot="1">
      <c r="A5139" s="6" t="s">
        <v>9767</v>
      </c>
      <c r="B5139" s="5" t="s">
        <v>9768</v>
      </c>
      <c r="C5139" s="3" t="s">
        <v>5</v>
      </c>
    </row>
    <row r="5140" spans="1:3" ht="15.75" thickBot="1">
      <c r="A5140" s="6" t="s">
        <v>9769</v>
      </c>
      <c r="B5140" s="5" t="s">
        <v>9770</v>
      </c>
      <c r="C5140" s="3" t="s">
        <v>5</v>
      </c>
    </row>
    <row r="5141" spans="1:3" ht="15.75" thickBot="1">
      <c r="A5141" s="6" t="s">
        <v>9771</v>
      </c>
      <c r="B5141" s="5" t="s">
        <v>9772</v>
      </c>
      <c r="C5141" s="3" t="s">
        <v>5</v>
      </c>
    </row>
    <row r="5142" spans="1:3" ht="15.75" thickBot="1">
      <c r="A5142" s="6" t="s">
        <v>9773</v>
      </c>
      <c r="B5142" s="5" t="s">
        <v>9774</v>
      </c>
      <c r="C5142" s="3" t="s">
        <v>5</v>
      </c>
    </row>
    <row r="5143" spans="1:3" ht="15.75" thickBot="1">
      <c r="A5143" s="6" t="s">
        <v>9775</v>
      </c>
      <c r="B5143" s="5" t="s">
        <v>9776</v>
      </c>
      <c r="C5143" s="3" t="s">
        <v>5</v>
      </c>
    </row>
    <row r="5144" spans="1:3" ht="15.75" thickBot="1">
      <c r="A5144" s="6" t="s">
        <v>9777</v>
      </c>
      <c r="B5144" s="5" t="s">
        <v>9778</v>
      </c>
      <c r="C5144" s="3" t="s">
        <v>5</v>
      </c>
    </row>
    <row r="5145" spans="1:3" ht="15.75" thickBot="1">
      <c r="A5145" s="6" t="s">
        <v>9779</v>
      </c>
      <c r="B5145" s="5" t="s">
        <v>9780</v>
      </c>
      <c r="C5145" s="3" t="s">
        <v>5</v>
      </c>
    </row>
    <row r="5146" spans="1:3" ht="15.75" thickBot="1">
      <c r="A5146" s="6" t="s">
        <v>9781</v>
      </c>
      <c r="B5146" s="5" t="s">
        <v>9782</v>
      </c>
      <c r="C5146" s="3" t="s">
        <v>5</v>
      </c>
    </row>
    <row r="5147" spans="1:3" ht="15.75" thickBot="1">
      <c r="A5147" s="6" t="s">
        <v>9783</v>
      </c>
      <c r="B5147" s="5" t="s">
        <v>9784</v>
      </c>
      <c r="C5147" s="3" t="s">
        <v>5</v>
      </c>
    </row>
    <row r="5148" spans="1:3" ht="15.75" thickBot="1">
      <c r="A5148" s="6" t="s">
        <v>9785</v>
      </c>
      <c r="B5148" s="5" t="s">
        <v>9786</v>
      </c>
      <c r="C5148" s="3" t="s">
        <v>5</v>
      </c>
    </row>
    <row r="5149" spans="1:3" ht="15.75" thickBot="1">
      <c r="A5149" s="6" t="s">
        <v>9787</v>
      </c>
      <c r="B5149" s="5" t="s">
        <v>9788</v>
      </c>
      <c r="C5149" s="3" t="s">
        <v>5</v>
      </c>
    </row>
    <row r="5150" spans="1:3" ht="15.75" thickBot="1">
      <c r="A5150" s="6" t="s">
        <v>9789</v>
      </c>
      <c r="B5150" s="5" t="s">
        <v>9790</v>
      </c>
      <c r="C5150" s="3" t="s">
        <v>5</v>
      </c>
    </row>
    <row r="5151" spans="1:3" ht="15.75" thickBot="1">
      <c r="A5151" s="6" t="s">
        <v>9791</v>
      </c>
      <c r="B5151" s="5" t="s">
        <v>9792</v>
      </c>
      <c r="C5151" s="3" t="s">
        <v>5</v>
      </c>
    </row>
    <row r="5152" spans="1:3" ht="15.75" thickBot="1">
      <c r="A5152" s="6" t="s">
        <v>9793</v>
      </c>
      <c r="B5152" s="5" t="s">
        <v>9794</v>
      </c>
      <c r="C5152" s="3" t="s">
        <v>5</v>
      </c>
    </row>
    <row r="5153" spans="1:3">
      <c r="A5153" s="1" t="s">
        <v>9795</v>
      </c>
      <c r="B5153" s="2" t="s">
        <v>9796</v>
      </c>
      <c r="C5153" s="3" t="s">
        <v>5</v>
      </c>
    </row>
    <row r="5154" spans="1:3" ht="26.25" thickBot="1">
      <c r="A5154" s="4"/>
      <c r="B5154" s="5" t="s">
        <v>9797</v>
      </c>
      <c r="C5154" s="3" t="s">
        <v>5</v>
      </c>
    </row>
    <row r="5155" spans="1:3" ht="15.75" thickBot="1">
      <c r="A5155" s="6" t="s">
        <v>9798</v>
      </c>
      <c r="B5155" s="5" t="s">
        <v>9799</v>
      </c>
      <c r="C5155" s="3" t="s">
        <v>5</v>
      </c>
    </row>
    <row r="5156" spans="1:3" ht="15.75" thickBot="1">
      <c r="A5156" s="6" t="s">
        <v>9800</v>
      </c>
      <c r="B5156" s="5" t="s">
        <v>9801</v>
      </c>
      <c r="C5156" s="3" t="s">
        <v>5</v>
      </c>
    </row>
    <row r="5157" spans="1:3" ht="15.75" thickBot="1">
      <c r="A5157" s="6" t="s">
        <v>9802</v>
      </c>
      <c r="B5157" s="5" t="s">
        <v>9803</v>
      </c>
      <c r="C5157" s="3" t="s">
        <v>5</v>
      </c>
    </row>
    <row r="5158" spans="1:3" ht="15.75" thickBot="1">
      <c r="A5158" s="6" t="s">
        <v>9804</v>
      </c>
      <c r="B5158" s="5" t="s">
        <v>9805</v>
      </c>
      <c r="C5158" s="3" t="s">
        <v>5</v>
      </c>
    </row>
    <row r="5159" spans="1:3" ht="15.75" thickBot="1">
      <c r="A5159" s="6" t="s">
        <v>9806</v>
      </c>
      <c r="B5159" s="5" t="s">
        <v>9807</v>
      </c>
      <c r="C5159" s="3" t="s">
        <v>5</v>
      </c>
    </row>
    <row r="5160" spans="1:3" ht="15.75" thickBot="1">
      <c r="A5160" s="6" t="s">
        <v>9808</v>
      </c>
      <c r="B5160" s="5" t="s">
        <v>9809</v>
      </c>
      <c r="C5160" s="3" t="s">
        <v>5</v>
      </c>
    </row>
    <row r="5161" spans="1:3" ht="15.75" thickBot="1">
      <c r="A5161" s="6" t="s">
        <v>9810</v>
      </c>
      <c r="B5161" s="5" t="s">
        <v>9811</v>
      </c>
      <c r="C5161" s="3" t="s">
        <v>5</v>
      </c>
    </row>
    <row r="5162" spans="1:3" ht="15.75" thickBot="1">
      <c r="A5162" s="6" t="s">
        <v>9812</v>
      </c>
      <c r="B5162" s="5" t="s">
        <v>9813</v>
      </c>
      <c r="C5162" s="3" t="s">
        <v>5</v>
      </c>
    </row>
    <row r="5163" spans="1:3" ht="15.75" thickBot="1">
      <c r="A5163" s="6" t="s">
        <v>9814</v>
      </c>
      <c r="B5163" s="5" t="s">
        <v>9815</v>
      </c>
      <c r="C5163" s="3" t="s">
        <v>5</v>
      </c>
    </row>
    <row r="5164" spans="1:3" ht="15.75" thickBot="1">
      <c r="A5164" s="6" t="s">
        <v>9816</v>
      </c>
      <c r="B5164" s="5" t="s">
        <v>9817</v>
      </c>
      <c r="C5164" s="3" t="s">
        <v>5</v>
      </c>
    </row>
    <row r="5165" spans="1:3" ht="15.75" thickBot="1">
      <c r="A5165" s="6" t="s">
        <v>9818</v>
      </c>
      <c r="B5165" s="5" t="s">
        <v>9819</v>
      </c>
      <c r="C5165" s="3" t="s">
        <v>5</v>
      </c>
    </row>
    <row r="5166" spans="1:3" ht="15.75" thickBot="1">
      <c r="A5166" s="6" t="s">
        <v>9820</v>
      </c>
      <c r="B5166" s="5" t="s">
        <v>9821</v>
      </c>
      <c r="C5166" s="3" t="s">
        <v>5</v>
      </c>
    </row>
    <row r="5167" spans="1:3" ht="15.75" thickBot="1">
      <c r="A5167" s="6" t="s">
        <v>9822</v>
      </c>
      <c r="B5167" s="5" t="s">
        <v>9823</v>
      </c>
      <c r="C5167" s="3" t="s">
        <v>5</v>
      </c>
    </row>
    <row r="5168" spans="1:3" ht="15.75" thickBot="1">
      <c r="A5168" s="6" t="s">
        <v>9824</v>
      </c>
      <c r="B5168" s="5" t="s">
        <v>9825</v>
      </c>
      <c r="C5168" s="3" t="s">
        <v>5</v>
      </c>
    </row>
    <row r="5169" spans="1:3">
      <c r="A5169" s="1" t="s">
        <v>9826</v>
      </c>
      <c r="B5169" s="2" t="s">
        <v>9827</v>
      </c>
      <c r="C5169" s="3" t="s">
        <v>5</v>
      </c>
    </row>
    <row r="5170" spans="1:3" ht="26.25" thickBot="1">
      <c r="A5170" s="4"/>
      <c r="B5170" s="5" t="s">
        <v>9828</v>
      </c>
      <c r="C5170" s="3" t="s">
        <v>5</v>
      </c>
    </row>
    <row r="5171" spans="1:3" ht="15.75" thickBot="1">
      <c r="A5171" s="6" t="s">
        <v>9829</v>
      </c>
      <c r="B5171" s="5" t="s">
        <v>9830</v>
      </c>
      <c r="C5171" s="3" t="s">
        <v>5</v>
      </c>
    </row>
    <row r="5172" spans="1:3" ht="15.75" thickBot="1">
      <c r="A5172" s="6" t="s">
        <v>9831</v>
      </c>
      <c r="B5172" s="5" t="s">
        <v>9832</v>
      </c>
      <c r="C5172" s="3" t="s">
        <v>5</v>
      </c>
    </row>
    <row r="5173" spans="1:3" ht="15.75" thickBot="1">
      <c r="A5173" s="6" t="s">
        <v>9833</v>
      </c>
      <c r="B5173" s="5" t="s">
        <v>9834</v>
      </c>
      <c r="C5173" s="3" t="s">
        <v>5</v>
      </c>
    </row>
    <row r="5174" spans="1:3" ht="15.75" thickBot="1">
      <c r="A5174" s="6" t="s">
        <v>9835</v>
      </c>
      <c r="B5174" s="5" t="s">
        <v>9836</v>
      </c>
      <c r="C5174" s="3" t="s">
        <v>5</v>
      </c>
    </row>
    <row r="5175" spans="1:3" ht="15.75" thickBot="1">
      <c r="A5175" s="6" t="s">
        <v>9837</v>
      </c>
      <c r="B5175" s="5" t="s">
        <v>9838</v>
      </c>
      <c r="C5175" s="3" t="s">
        <v>5</v>
      </c>
    </row>
    <row r="5176" spans="1:3" ht="15.75" thickBot="1">
      <c r="A5176" s="6" t="s">
        <v>9839</v>
      </c>
      <c r="B5176" s="5" t="s">
        <v>9840</v>
      </c>
      <c r="C5176" s="3" t="s">
        <v>5</v>
      </c>
    </row>
    <row r="5177" spans="1:3" ht="15.75" thickBot="1">
      <c r="A5177" s="6" t="s">
        <v>9841</v>
      </c>
      <c r="B5177" s="5" t="s">
        <v>9842</v>
      </c>
      <c r="C5177" s="3" t="s">
        <v>5</v>
      </c>
    </row>
    <row r="5178" spans="1:3" ht="15.75" thickBot="1">
      <c r="A5178" s="6" t="s">
        <v>9843</v>
      </c>
      <c r="B5178" s="5" t="s">
        <v>9844</v>
      </c>
      <c r="C5178" s="3" t="s">
        <v>5</v>
      </c>
    </row>
    <row r="5179" spans="1:3" ht="15.75" thickBot="1">
      <c r="A5179" s="6" t="s">
        <v>9845</v>
      </c>
      <c r="B5179" s="5" t="s">
        <v>9846</v>
      </c>
      <c r="C5179" s="3" t="s">
        <v>5</v>
      </c>
    </row>
    <row r="5180" spans="1:3" ht="15.75" thickBot="1">
      <c r="A5180" s="6" t="s">
        <v>9847</v>
      </c>
      <c r="B5180" s="5" t="s">
        <v>9848</v>
      </c>
      <c r="C5180" s="3" t="s">
        <v>5</v>
      </c>
    </row>
    <row r="5181" spans="1:3" ht="15.75" thickBot="1">
      <c r="A5181" s="6" t="s">
        <v>9849</v>
      </c>
      <c r="B5181" s="5" t="s">
        <v>9850</v>
      </c>
      <c r="C5181" s="3" t="s">
        <v>5</v>
      </c>
    </row>
    <row r="5182" spans="1:3" ht="15.75" thickBot="1">
      <c r="A5182" s="6" t="s">
        <v>9851</v>
      </c>
      <c r="B5182" s="5" t="e">
        <f xml:space="preserve"> balancing</f>
        <v>#NAME?</v>
      </c>
      <c r="C5182" s="3" t="s">
        <v>5</v>
      </c>
    </row>
    <row r="5183" spans="1:3" ht="15.75" thickBot="1">
      <c r="A5183" s="6" t="s">
        <v>9852</v>
      </c>
      <c r="B5183" s="5" t="s">
        <v>9853</v>
      </c>
      <c r="C5183" s="3" t="s">
        <v>5</v>
      </c>
    </row>
    <row r="5184" spans="1:3" ht="15.75" thickBot="1">
      <c r="A5184" s="6" t="s">
        <v>9854</v>
      </c>
      <c r="B5184" s="5" t="s">
        <v>9855</v>
      </c>
      <c r="C5184" s="3" t="s">
        <v>5</v>
      </c>
    </row>
    <row r="5185" spans="1:3" ht="15.75" thickBot="1">
      <c r="A5185" s="6" t="s">
        <v>9856</v>
      </c>
      <c r="B5185" s="5" t="s">
        <v>9857</v>
      </c>
      <c r="C5185" s="3" t="s">
        <v>5</v>
      </c>
    </row>
    <row r="5186" spans="1:3" ht="15.75" thickBot="1">
      <c r="A5186" s="6" t="s">
        <v>9858</v>
      </c>
      <c r="B5186" s="5" t="s">
        <v>9859</v>
      </c>
      <c r="C5186" s="3" t="s">
        <v>5</v>
      </c>
    </row>
    <row r="5187" spans="1:3" ht="15.75" thickBot="1">
      <c r="A5187" s="6" t="s">
        <v>9860</v>
      </c>
      <c r="B5187" s="5" t="s">
        <v>9861</v>
      </c>
      <c r="C5187" s="3" t="s">
        <v>5</v>
      </c>
    </row>
    <row r="5188" spans="1:3" ht="15.75" thickBot="1">
      <c r="A5188" s="6" t="s">
        <v>9862</v>
      </c>
      <c r="B5188" s="5" t="s">
        <v>9863</v>
      </c>
      <c r="C5188" s="3" t="s">
        <v>5</v>
      </c>
    </row>
    <row r="5189" spans="1:3" ht="15.75" thickBot="1">
      <c r="A5189" s="6" t="s">
        <v>9864</v>
      </c>
      <c r="B5189" s="5" t="s">
        <v>9865</v>
      </c>
      <c r="C5189" s="3" t="s">
        <v>5</v>
      </c>
    </row>
    <row r="5190" spans="1:3" ht="15.75" thickBot="1">
      <c r="A5190" s="6" t="s">
        <v>9866</v>
      </c>
      <c r="B5190" s="5" t="s">
        <v>9867</v>
      </c>
      <c r="C5190" s="3" t="s">
        <v>5</v>
      </c>
    </row>
    <row r="5191" spans="1:3" ht="15.75" thickBot="1">
      <c r="A5191" s="6" t="s">
        <v>9868</v>
      </c>
      <c r="B5191" s="5" t="s">
        <v>9869</v>
      </c>
      <c r="C5191" s="3" t="s">
        <v>5</v>
      </c>
    </row>
    <row r="5192" spans="1:3" ht="15.75" thickBot="1">
      <c r="A5192" s="6" t="s">
        <v>9870</v>
      </c>
      <c r="B5192" s="5" t="s">
        <v>9871</v>
      </c>
      <c r="C5192" s="3" t="s">
        <v>5</v>
      </c>
    </row>
    <row r="5193" spans="1:3" ht="15.75" thickBot="1">
      <c r="A5193" s="6" t="s">
        <v>9872</v>
      </c>
      <c r="B5193" s="5" t="s">
        <v>9873</v>
      </c>
      <c r="C5193" s="3" t="s">
        <v>5</v>
      </c>
    </row>
    <row r="5194" spans="1:3" ht="15.75" thickBot="1">
      <c r="A5194" s="6" t="s">
        <v>9874</v>
      </c>
      <c r="B5194" s="5" t="s">
        <v>9875</v>
      </c>
      <c r="C5194" s="3" t="s">
        <v>5</v>
      </c>
    </row>
    <row r="5195" spans="1:3">
      <c r="A5195" s="1" t="s">
        <v>9876</v>
      </c>
      <c r="B5195" s="2" t="s">
        <v>9877</v>
      </c>
      <c r="C5195" s="3" t="s">
        <v>5</v>
      </c>
    </row>
    <row r="5196" spans="1:3" ht="15.75" thickBot="1">
      <c r="A5196" s="4"/>
      <c r="B5196" s="5" t="s">
        <v>9878</v>
      </c>
      <c r="C5196" s="3" t="s">
        <v>5</v>
      </c>
    </row>
    <row r="5197" spans="1:3" ht="15.75" thickBot="1">
      <c r="A5197" s="6" t="s">
        <v>9879</v>
      </c>
      <c r="B5197" s="5" t="s">
        <v>9880</v>
      </c>
      <c r="C5197" s="3" t="s">
        <v>5</v>
      </c>
    </row>
    <row r="5198" spans="1:3" ht="26.25" thickBot="1">
      <c r="A5198" s="6" t="s">
        <v>9881</v>
      </c>
      <c r="B5198" s="5" t="s">
        <v>9882</v>
      </c>
      <c r="C5198" s="3" t="s">
        <v>5</v>
      </c>
    </row>
    <row r="5199" spans="1:3" ht="15.75" thickBot="1">
      <c r="A5199" s="6" t="s">
        <v>9883</v>
      </c>
      <c r="B5199" s="5" t="s">
        <v>9884</v>
      </c>
      <c r="C5199" s="3" t="s">
        <v>5</v>
      </c>
    </row>
    <row r="5200" spans="1:3" ht="15.75" thickBot="1">
      <c r="A5200" s="6" t="s">
        <v>9885</v>
      </c>
      <c r="B5200" s="5" t="s">
        <v>9886</v>
      </c>
      <c r="C5200" s="3" t="s">
        <v>5</v>
      </c>
    </row>
    <row r="5201" spans="1:3" ht="15.75" thickBot="1">
      <c r="A5201" s="6" t="s">
        <v>9887</v>
      </c>
      <c r="B5201" s="5" t="s">
        <v>9888</v>
      </c>
      <c r="C5201" s="3" t="s">
        <v>5</v>
      </c>
    </row>
    <row r="5202" spans="1:3" ht="15.75" thickBot="1">
      <c r="A5202" s="6" t="s">
        <v>9889</v>
      </c>
      <c r="B5202" s="5" t="s">
        <v>9890</v>
      </c>
      <c r="C5202" s="3" t="s">
        <v>5</v>
      </c>
    </row>
    <row r="5203" spans="1:3" ht="15.75" thickBot="1">
      <c r="A5203" s="6" t="s">
        <v>9891</v>
      </c>
      <c r="B5203" s="5" t="s">
        <v>9892</v>
      </c>
      <c r="C5203" s="3" t="s">
        <v>5</v>
      </c>
    </row>
    <row r="5204" spans="1:3" ht="15.75" thickBot="1">
      <c r="A5204" s="6" t="s">
        <v>9893</v>
      </c>
      <c r="B5204" s="5" t="s">
        <v>9894</v>
      </c>
      <c r="C5204" s="3" t="s">
        <v>5</v>
      </c>
    </row>
    <row r="5205" spans="1:3" ht="15.75" thickBot="1">
      <c r="A5205" s="6" t="s">
        <v>9895</v>
      </c>
      <c r="B5205" s="5" t="s">
        <v>9896</v>
      </c>
      <c r="C5205" s="3" t="s">
        <v>5</v>
      </c>
    </row>
    <row r="5206" spans="1:3">
      <c r="A5206" s="1" t="s">
        <v>9897</v>
      </c>
      <c r="B5206" s="2" t="s">
        <v>9898</v>
      </c>
      <c r="C5206" s="3" t="s">
        <v>5</v>
      </c>
    </row>
    <row r="5207" spans="1:3" ht="15.75" thickBot="1">
      <c r="A5207" s="4"/>
      <c r="B5207" s="5" t="s">
        <v>5473</v>
      </c>
      <c r="C5207" s="3" t="s">
        <v>5</v>
      </c>
    </row>
    <row r="5208" spans="1:3" ht="15.75" thickBot="1">
      <c r="A5208" s="6" t="s">
        <v>9899</v>
      </c>
      <c r="B5208" s="5" t="s">
        <v>9900</v>
      </c>
      <c r="C5208" s="3" t="s">
        <v>5</v>
      </c>
    </row>
    <row r="5209" spans="1:3" ht="15.75" thickBot="1">
      <c r="A5209" s="6" t="s">
        <v>9901</v>
      </c>
      <c r="B5209" s="5" t="s">
        <v>9902</v>
      </c>
      <c r="C5209" s="3" t="s">
        <v>5</v>
      </c>
    </row>
    <row r="5210" spans="1:3" ht="15.75" thickBot="1">
      <c r="A5210" s="6" t="s">
        <v>9903</v>
      </c>
      <c r="B5210" s="5" t="s">
        <v>9904</v>
      </c>
      <c r="C5210" s="3" t="s">
        <v>5</v>
      </c>
    </row>
    <row r="5211" spans="1:3" ht="15.75" thickBot="1">
      <c r="A5211" s="6" t="s">
        <v>9905</v>
      </c>
      <c r="B5211" s="5" t="s">
        <v>9906</v>
      </c>
      <c r="C5211" s="3" t="s">
        <v>5</v>
      </c>
    </row>
    <row r="5212" spans="1:3" ht="15.75" thickBot="1">
      <c r="A5212" s="6" t="s">
        <v>9907</v>
      </c>
      <c r="B5212" s="5" t="s">
        <v>9908</v>
      </c>
      <c r="C5212" s="3" t="s">
        <v>5</v>
      </c>
    </row>
    <row r="5213" spans="1:3" ht="15.75" thickBot="1">
      <c r="A5213" s="6" t="s">
        <v>9909</v>
      </c>
      <c r="B5213" s="5" t="s">
        <v>9910</v>
      </c>
      <c r="C5213" s="3" t="s">
        <v>5</v>
      </c>
    </row>
    <row r="5214" spans="1:3" ht="15.75" thickBot="1">
      <c r="A5214" s="6" t="s">
        <v>9911</v>
      </c>
      <c r="B5214" s="5" t="s">
        <v>9912</v>
      </c>
      <c r="C5214" s="3" t="s">
        <v>5</v>
      </c>
    </row>
    <row r="5215" spans="1:3" ht="15.75" thickBot="1">
      <c r="A5215" s="6" t="s">
        <v>9913</v>
      </c>
      <c r="B5215" s="5" t="s">
        <v>9914</v>
      </c>
      <c r="C5215" s="3" t="s">
        <v>5</v>
      </c>
    </row>
    <row r="5216" spans="1:3" ht="15.75" thickBot="1">
      <c r="A5216" s="6" t="s">
        <v>9915</v>
      </c>
      <c r="B5216" s="5" t="s">
        <v>9916</v>
      </c>
      <c r="C5216" s="3" t="s">
        <v>5</v>
      </c>
    </row>
    <row r="5217" spans="1:3" ht="15.75" thickBot="1">
      <c r="A5217" s="6" t="s">
        <v>9915</v>
      </c>
      <c r="B5217" s="5" t="s">
        <v>9917</v>
      </c>
      <c r="C5217" s="3" t="s">
        <v>5</v>
      </c>
    </row>
    <row r="5218" spans="1:3" ht="15.75" thickBot="1">
      <c r="A5218" s="6" t="s">
        <v>9918</v>
      </c>
      <c r="B5218" s="5" t="s">
        <v>9919</v>
      </c>
      <c r="C5218" s="3" t="s">
        <v>5</v>
      </c>
    </row>
    <row r="5219" spans="1:3" ht="15.75" thickBot="1">
      <c r="A5219" s="6" t="s">
        <v>9920</v>
      </c>
      <c r="B5219" s="5" t="s">
        <v>9921</v>
      </c>
      <c r="C5219" s="3" t="s">
        <v>5</v>
      </c>
    </row>
    <row r="5220" spans="1:3" ht="15.75" thickBot="1">
      <c r="A5220" s="6" t="s">
        <v>9922</v>
      </c>
      <c r="B5220" s="5" t="s">
        <v>9923</v>
      </c>
      <c r="C5220" s="3" t="s">
        <v>5</v>
      </c>
    </row>
    <row r="5221" spans="1:3" ht="15.75" thickBot="1">
      <c r="A5221" s="6" t="s">
        <v>9924</v>
      </c>
      <c r="B5221" s="5" t="s">
        <v>9925</v>
      </c>
      <c r="C5221" s="3" t="s">
        <v>5</v>
      </c>
    </row>
    <row r="5222" spans="1:3">
      <c r="A5222" s="1" t="s">
        <v>9926</v>
      </c>
      <c r="B5222" s="2" t="s">
        <v>9927</v>
      </c>
      <c r="C5222" s="3" t="s">
        <v>5</v>
      </c>
    </row>
    <row r="5223" spans="1:3" ht="15.75" thickBot="1">
      <c r="A5223" s="4"/>
      <c r="B5223" s="5" t="s">
        <v>9928</v>
      </c>
      <c r="C5223" s="3" t="s">
        <v>5</v>
      </c>
    </row>
    <row r="5224" spans="1:3" ht="15.75" thickBot="1">
      <c r="A5224" s="6" t="s">
        <v>9929</v>
      </c>
      <c r="B5224" s="5" t="s">
        <v>9930</v>
      </c>
      <c r="C5224" s="3" t="s">
        <v>5</v>
      </c>
    </row>
    <row r="5225" spans="1:3">
      <c r="A5225" s="1" t="s">
        <v>9931</v>
      </c>
      <c r="B5225" s="2" t="s">
        <v>9932</v>
      </c>
      <c r="C5225" s="3" t="s">
        <v>5</v>
      </c>
    </row>
    <row r="5226" spans="1:3" ht="15.75" thickBot="1">
      <c r="A5226" s="4"/>
      <c r="B5226" s="5" t="s">
        <v>9933</v>
      </c>
      <c r="C5226" s="3" t="s">
        <v>5</v>
      </c>
    </row>
    <row r="5227" spans="1:3">
      <c r="A5227" s="1" t="s">
        <v>9934</v>
      </c>
      <c r="B5227" s="2" t="s">
        <v>9935</v>
      </c>
      <c r="C5227" s="3" t="s">
        <v>5</v>
      </c>
    </row>
    <row r="5228" spans="1:3" ht="26.25" thickBot="1">
      <c r="A5228" s="4"/>
      <c r="B5228" s="5" t="s">
        <v>9936</v>
      </c>
      <c r="C5228" s="3" t="s">
        <v>5</v>
      </c>
    </row>
    <row r="5229" spans="1:3">
      <c r="A5229" s="1" t="s">
        <v>9937</v>
      </c>
      <c r="B5229" s="2" t="s">
        <v>9938</v>
      </c>
      <c r="C5229" s="3" t="s">
        <v>5</v>
      </c>
    </row>
    <row r="5230" spans="1:3" ht="15.75" thickBot="1">
      <c r="A5230" s="4"/>
      <c r="B5230" s="5" t="s">
        <v>9939</v>
      </c>
      <c r="C5230" s="3" t="s">
        <v>5</v>
      </c>
    </row>
    <row r="5231" spans="1:3" ht="15.75" thickBot="1">
      <c r="A5231" s="6" t="s">
        <v>9940</v>
      </c>
      <c r="B5231" s="5" t="s">
        <v>9941</v>
      </c>
      <c r="C5231" s="3" t="s">
        <v>5</v>
      </c>
    </row>
    <row r="5232" spans="1:3" ht="15.75" thickBot="1">
      <c r="A5232" s="6" t="s">
        <v>9942</v>
      </c>
      <c r="B5232" s="5" t="s">
        <v>9943</v>
      </c>
      <c r="C5232" s="3" t="s">
        <v>5</v>
      </c>
    </row>
    <row r="5233" spans="1:3" ht="15.75" thickBot="1">
      <c r="A5233" s="6" t="s">
        <v>9944</v>
      </c>
      <c r="B5233" s="5" t="s">
        <v>9945</v>
      </c>
      <c r="C5233" s="3" t="s">
        <v>5</v>
      </c>
    </row>
    <row r="5234" spans="1:3" ht="15.75" thickBot="1">
      <c r="A5234" s="6" t="s">
        <v>9946</v>
      </c>
      <c r="B5234" s="5" t="s">
        <v>9947</v>
      </c>
      <c r="C5234" s="3" t="s">
        <v>5</v>
      </c>
    </row>
    <row r="5235" spans="1:3" ht="15.75" thickBot="1">
      <c r="A5235" s="6" t="s">
        <v>9948</v>
      </c>
      <c r="B5235" s="5" t="s">
        <v>9949</v>
      </c>
      <c r="C5235" s="3" t="s">
        <v>5</v>
      </c>
    </row>
    <row r="5236" spans="1:3" ht="15.75" thickBot="1">
      <c r="A5236" s="6" t="s">
        <v>9950</v>
      </c>
      <c r="B5236" s="5" t="s">
        <v>9951</v>
      </c>
      <c r="C5236" s="3" t="s">
        <v>5</v>
      </c>
    </row>
    <row r="5237" spans="1:3" ht="15.75" thickBot="1">
      <c r="A5237" s="6" t="s">
        <v>9952</v>
      </c>
      <c r="B5237" s="5" t="s">
        <v>9953</v>
      </c>
      <c r="C5237" s="3" t="s">
        <v>5</v>
      </c>
    </row>
    <row r="5238" spans="1:3" ht="15.75" thickBot="1">
      <c r="A5238" s="6" t="s">
        <v>9954</v>
      </c>
      <c r="B5238" s="5" t="s">
        <v>9955</v>
      </c>
      <c r="C5238" s="3" t="s">
        <v>5</v>
      </c>
    </row>
    <row r="5239" spans="1:3" ht="15.75" thickBot="1">
      <c r="A5239" s="6" t="s">
        <v>9956</v>
      </c>
      <c r="B5239" s="5" t="s">
        <v>9957</v>
      </c>
      <c r="C5239" s="3" t="s">
        <v>5</v>
      </c>
    </row>
    <row r="5240" spans="1:3" ht="15.75" thickBot="1">
      <c r="A5240" s="6" t="s">
        <v>9958</v>
      </c>
      <c r="B5240" s="5" t="s">
        <v>9959</v>
      </c>
      <c r="C5240" s="3" t="s">
        <v>5</v>
      </c>
    </row>
    <row r="5241" spans="1:3" ht="15.75" thickBot="1">
      <c r="A5241" s="6" t="s">
        <v>9960</v>
      </c>
      <c r="B5241" s="5" t="s">
        <v>9961</v>
      </c>
      <c r="C5241" s="3" t="s">
        <v>5</v>
      </c>
    </row>
    <row r="5242" spans="1:3" ht="15.75" thickBot="1">
      <c r="A5242" s="6" t="s">
        <v>9962</v>
      </c>
      <c r="B5242" s="5" t="s">
        <v>9963</v>
      </c>
      <c r="C5242" s="3" t="s">
        <v>5</v>
      </c>
    </row>
    <row r="5243" spans="1:3" ht="15.75" thickBot="1">
      <c r="A5243" s="6" t="s">
        <v>9964</v>
      </c>
      <c r="B5243" s="5" t="s">
        <v>9965</v>
      </c>
      <c r="C5243" s="3" t="s">
        <v>5</v>
      </c>
    </row>
    <row r="5244" spans="1:3" ht="15.75" thickBot="1">
      <c r="A5244" s="6" t="s">
        <v>9966</v>
      </c>
      <c r="B5244" s="5" t="s">
        <v>9967</v>
      </c>
      <c r="C5244" s="3" t="s">
        <v>5</v>
      </c>
    </row>
    <row r="5245" spans="1:3" ht="15.75" thickBot="1">
      <c r="A5245" s="6" t="s">
        <v>9968</v>
      </c>
      <c r="B5245" s="5" t="s">
        <v>9969</v>
      </c>
      <c r="C5245" s="3" t="s">
        <v>5</v>
      </c>
    </row>
    <row r="5246" spans="1:3" ht="15.75" thickBot="1">
      <c r="A5246" s="6" t="s">
        <v>9970</v>
      </c>
      <c r="B5246" s="5" t="s">
        <v>9971</v>
      </c>
      <c r="C5246" s="3" t="s">
        <v>5</v>
      </c>
    </row>
    <row r="5247" spans="1:3" ht="15.75" thickBot="1">
      <c r="A5247" s="6" t="s">
        <v>9972</v>
      </c>
      <c r="B5247" s="5" t="s">
        <v>9973</v>
      </c>
      <c r="C5247" s="3" t="s">
        <v>5</v>
      </c>
    </row>
    <row r="5248" spans="1:3" ht="15.75" thickBot="1">
      <c r="A5248" s="6" t="s">
        <v>9974</v>
      </c>
      <c r="B5248" s="5" t="s">
        <v>9975</v>
      </c>
      <c r="C5248" s="3" t="s">
        <v>5</v>
      </c>
    </row>
    <row r="5249" spans="1:3" ht="15.75" thickBot="1">
      <c r="A5249" s="6" t="s">
        <v>9976</v>
      </c>
      <c r="B5249" s="5" t="s">
        <v>9977</v>
      </c>
      <c r="C5249" s="3" t="s">
        <v>5</v>
      </c>
    </row>
    <row r="5250" spans="1:3" ht="15.75" thickBot="1">
      <c r="A5250" s="6" t="s">
        <v>9978</v>
      </c>
      <c r="B5250" s="5" t="s">
        <v>9979</v>
      </c>
      <c r="C5250" s="3" t="s">
        <v>5</v>
      </c>
    </row>
    <row r="5251" spans="1:3" ht="15.75" thickBot="1">
      <c r="A5251" s="6" t="s">
        <v>9980</v>
      </c>
      <c r="B5251" s="5" t="s">
        <v>9981</v>
      </c>
      <c r="C5251" s="3" t="s">
        <v>5</v>
      </c>
    </row>
    <row r="5252" spans="1:3" ht="15.75" thickBot="1">
      <c r="A5252" s="6" t="s">
        <v>9982</v>
      </c>
      <c r="B5252" s="5" t="s">
        <v>9983</v>
      </c>
      <c r="C5252" s="3" t="s">
        <v>5</v>
      </c>
    </row>
    <row r="5253" spans="1:3" ht="15.75" thickBot="1">
      <c r="A5253" s="6" t="s">
        <v>9984</v>
      </c>
      <c r="B5253" s="5" t="s">
        <v>9985</v>
      </c>
      <c r="C5253" s="3" t="s">
        <v>5</v>
      </c>
    </row>
    <row r="5254" spans="1:3" ht="15.75" thickBot="1">
      <c r="A5254" s="6" t="s">
        <v>9986</v>
      </c>
      <c r="B5254" s="5" t="s">
        <v>9987</v>
      </c>
      <c r="C5254" s="3" t="s">
        <v>5</v>
      </c>
    </row>
    <row r="5255" spans="1:3" ht="15.75" thickBot="1">
      <c r="A5255" s="6" t="s">
        <v>9988</v>
      </c>
      <c r="B5255" s="5" t="s">
        <v>9989</v>
      </c>
      <c r="C5255" s="3" t="s">
        <v>5</v>
      </c>
    </row>
    <row r="5256" spans="1:3" ht="15.75" thickBot="1">
      <c r="A5256" s="6" t="s">
        <v>9990</v>
      </c>
      <c r="B5256" s="5" t="s">
        <v>9991</v>
      </c>
      <c r="C5256" s="3" t="s">
        <v>5</v>
      </c>
    </row>
    <row r="5257" spans="1:3" ht="15.75" thickBot="1">
      <c r="A5257" s="6" t="s">
        <v>9992</v>
      </c>
      <c r="B5257" s="5" t="s">
        <v>9993</v>
      </c>
      <c r="C5257" s="3" t="s">
        <v>5</v>
      </c>
    </row>
    <row r="5258" spans="1:3" ht="15.75" thickBot="1">
      <c r="A5258" s="6" t="s">
        <v>9994</v>
      </c>
      <c r="B5258" s="5" t="s">
        <v>9995</v>
      </c>
      <c r="C5258" s="3" t="s">
        <v>5</v>
      </c>
    </row>
    <row r="5259" spans="1:3" ht="15.75" thickBot="1">
      <c r="A5259" s="6" t="s">
        <v>9996</v>
      </c>
      <c r="B5259" s="5" t="s">
        <v>9997</v>
      </c>
      <c r="C5259" s="3" t="s">
        <v>5</v>
      </c>
    </row>
    <row r="5260" spans="1:3" ht="15.75" thickBot="1">
      <c r="A5260" s="6" t="s">
        <v>9998</v>
      </c>
      <c r="B5260" s="5" t="s">
        <v>9999</v>
      </c>
      <c r="C5260" s="3" t="s">
        <v>5</v>
      </c>
    </row>
    <row r="5261" spans="1:3" ht="15.75" thickBot="1">
      <c r="A5261" s="6" t="s">
        <v>10000</v>
      </c>
      <c r="B5261" s="5" t="s">
        <v>10001</v>
      </c>
      <c r="C5261" s="3" t="s">
        <v>5</v>
      </c>
    </row>
    <row r="5262" spans="1:3" ht="15.75" thickBot="1">
      <c r="A5262" s="6" t="s">
        <v>10002</v>
      </c>
      <c r="B5262" s="5" t="s">
        <v>10003</v>
      </c>
      <c r="C5262" s="3" t="s">
        <v>5</v>
      </c>
    </row>
    <row r="5263" spans="1:3" ht="15.75" thickBot="1">
      <c r="A5263" s="6" t="s">
        <v>10004</v>
      </c>
      <c r="B5263" s="5" t="s">
        <v>10005</v>
      </c>
      <c r="C5263" s="3" t="s">
        <v>5</v>
      </c>
    </row>
    <row r="5264" spans="1:3" ht="15.75" thickBot="1">
      <c r="A5264" s="6" t="s">
        <v>10006</v>
      </c>
      <c r="B5264" s="5" t="s">
        <v>10007</v>
      </c>
      <c r="C5264" s="3" t="s">
        <v>5</v>
      </c>
    </row>
    <row r="5265" spans="1:3" ht="15.75" thickBot="1">
      <c r="A5265" s="6" t="s">
        <v>10008</v>
      </c>
      <c r="B5265" s="5" t="s">
        <v>10009</v>
      </c>
      <c r="C5265" s="3" t="s">
        <v>5</v>
      </c>
    </row>
    <row r="5266" spans="1:3" ht="15.75" thickBot="1">
      <c r="A5266" s="6" t="s">
        <v>10010</v>
      </c>
      <c r="B5266" s="5" t="s">
        <v>10011</v>
      </c>
      <c r="C5266" s="3" t="s">
        <v>5</v>
      </c>
    </row>
    <row r="5267" spans="1:3" ht="15.75" thickBot="1">
      <c r="A5267" s="6" t="s">
        <v>10012</v>
      </c>
      <c r="B5267" s="5" t="s">
        <v>10013</v>
      </c>
      <c r="C5267" s="3" t="s">
        <v>5</v>
      </c>
    </row>
    <row r="5268" spans="1:3">
      <c r="A5268" s="1" t="s">
        <v>10014</v>
      </c>
      <c r="B5268" s="2" t="s">
        <v>10015</v>
      </c>
      <c r="C5268" s="3" t="s">
        <v>5</v>
      </c>
    </row>
    <row r="5269" spans="1:3" ht="15.75" thickBot="1">
      <c r="A5269" s="4"/>
      <c r="B5269" s="5" t="s">
        <v>10016</v>
      </c>
      <c r="C5269" s="3" t="s">
        <v>5</v>
      </c>
    </row>
    <row r="5270" spans="1:3" ht="15.75" thickBot="1">
      <c r="A5270" s="6" t="s">
        <v>10017</v>
      </c>
      <c r="B5270" s="5" t="s">
        <v>10018</v>
      </c>
      <c r="C5270" s="3" t="s">
        <v>5</v>
      </c>
    </row>
    <row r="5271" spans="1:3" ht="15.75" thickBot="1">
      <c r="A5271" s="6" t="s">
        <v>10019</v>
      </c>
      <c r="B5271" s="5" t="s">
        <v>10020</v>
      </c>
      <c r="C5271" s="3" t="s">
        <v>5</v>
      </c>
    </row>
    <row r="5272" spans="1:3" ht="15.75" thickBot="1">
      <c r="A5272" s="6" t="s">
        <v>10021</v>
      </c>
      <c r="B5272" s="5" t="s">
        <v>10022</v>
      </c>
      <c r="C5272" s="3" t="s">
        <v>5</v>
      </c>
    </row>
    <row r="5273" spans="1:3" ht="15.75" thickBot="1">
      <c r="A5273" s="6" t="s">
        <v>10023</v>
      </c>
      <c r="B5273" s="5" t="s">
        <v>10024</v>
      </c>
      <c r="C5273" s="3" t="s">
        <v>5</v>
      </c>
    </row>
    <row r="5274" spans="1:3" ht="15.75" thickBot="1">
      <c r="A5274" s="6" t="s">
        <v>10025</v>
      </c>
      <c r="B5274" s="5" t="s">
        <v>10026</v>
      </c>
      <c r="C5274" s="3" t="s">
        <v>5</v>
      </c>
    </row>
    <row r="5275" spans="1:3" ht="15.75" thickBot="1">
      <c r="A5275" s="6" t="s">
        <v>10027</v>
      </c>
      <c r="B5275" s="5" t="s">
        <v>10028</v>
      </c>
      <c r="C5275" s="3" t="s">
        <v>5</v>
      </c>
    </row>
    <row r="5276" spans="1:3" ht="15.75" thickBot="1">
      <c r="A5276" s="6" t="s">
        <v>10029</v>
      </c>
      <c r="B5276" s="5" t="s">
        <v>10030</v>
      </c>
      <c r="C5276" s="3" t="s">
        <v>5</v>
      </c>
    </row>
    <row r="5277" spans="1:3" ht="26.25" thickBot="1">
      <c r="A5277" s="6" t="s">
        <v>10031</v>
      </c>
      <c r="B5277" s="5" t="s">
        <v>10032</v>
      </c>
      <c r="C5277" s="3" t="s">
        <v>5</v>
      </c>
    </row>
    <row r="5278" spans="1:3" ht="15.75" thickBot="1">
      <c r="A5278" s="6" t="s">
        <v>10033</v>
      </c>
      <c r="B5278" s="5" t="s">
        <v>10034</v>
      </c>
      <c r="C5278" s="3" t="s">
        <v>5</v>
      </c>
    </row>
    <row r="5279" spans="1:3" ht="15.75" thickBot="1">
      <c r="A5279" s="6" t="s">
        <v>10035</v>
      </c>
      <c r="B5279" s="5" t="s">
        <v>10036</v>
      </c>
      <c r="C5279" s="3" t="s">
        <v>5</v>
      </c>
    </row>
    <row r="5280" spans="1:3" ht="15.75" thickBot="1">
      <c r="A5280" s="6" t="s">
        <v>10037</v>
      </c>
      <c r="B5280" s="5" t="s">
        <v>10038</v>
      </c>
      <c r="C5280" s="3" t="s">
        <v>5</v>
      </c>
    </row>
    <row r="5281" spans="1:3" ht="15.75" thickBot="1">
      <c r="A5281" s="6" t="s">
        <v>10039</v>
      </c>
      <c r="B5281" s="5" t="s">
        <v>10040</v>
      </c>
      <c r="C5281" s="3" t="s">
        <v>5</v>
      </c>
    </row>
    <row r="5282" spans="1:3" ht="15.75" thickBot="1">
      <c r="A5282" s="6" t="s">
        <v>10041</v>
      </c>
      <c r="B5282" s="5" t="s">
        <v>8399</v>
      </c>
      <c r="C5282" s="3" t="s">
        <v>5</v>
      </c>
    </row>
    <row r="5283" spans="1:3">
      <c r="A5283" s="1" t="s">
        <v>10042</v>
      </c>
      <c r="B5283" s="2" t="s">
        <v>10043</v>
      </c>
      <c r="C5283" s="3" t="s">
        <v>5</v>
      </c>
    </row>
    <row r="5284" spans="1:3" ht="15.75" thickBot="1">
      <c r="A5284" s="4"/>
      <c r="B5284" s="5" t="s">
        <v>10044</v>
      </c>
      <c r="C5284" s="3" t="s">
        <v>5</v>
      </c>
    </row>
    <row r="5285" spans="1:3" ht="15.75" thickBot="1">
      <c r="A5285" s="6" t="s">
        <v>10045</v>
      </c>
      <c r="B5285" s="5" t="s">
        <v>10046</v>
      </c>
      <c r="C5285" s="3" t="s">
        <v>5</v>
      </c>
    </row>
    <row r="5286" spans="1:3" ht="15.75" thickBot="1">
      <c r="A5286" s="6" t="s">
        <v>10047</v>
      </c>
      <c r="B5286" s="5" t="s">
        <v>10048</v>
      </c>
      <c r="C5286" s="3" t="s">
        <v>5</v>
      </c>
    </row>
    <row r="5287" spans="1:3" ht="15.75" thickBot="1">
      <c r="A5287" s="6" t="s">
        <v>10049</v>
      </c>
      <c r="B5287" s="5" t="s">
        <v>10050</v>
      </c>
      <c r="C5287" s="3" t="s">
        <v>5</v>
      </c>
    </row>
    <row r="5288" spans="1:3" ht="15.75" thickBot="1">
      <c r="A5288" s="6" t="s">
        <v>10051</v>
      </c>
      <c r="B5288" s="5" t="s">
        <v>10052</v>
      </c>
      <c r="C5288" s="3" t="s">
        <v>5</v>
      </c>
    </row>
    <row r="5289" spans="1:3" ht="15.75" thickBot="1">
      <c r="A5289" s="6" t="s">
        <v>10053</v>
      </c>
      <c r="B5289" s="5" t="s">
        <v>10054</v>
      </c>
      <c r="C5289" s="3" t="s">
        <v>5</v>
      </c>
    </row>
    <row r="5290" spans="1:3" ht="15.75" thickBot="1">
      <c r="A5290" s="6" t="s">
        <v>10055</v>
      </c>
      <c r="B5290" s="5" t="s">
        <v>10056</v>
      </c>
      <c r="C5290" s="3" t="s">
        <v>5</v>
      </c>
    </row>
    <row r="5291" spans="1:3" ht="26.25" thickBot="1">
      <c r="A5291" s="6" t="s">
        <v>10057</v>
      </c>
      <c r="B5291" s="5" t="s">
        <v>10058</v>
      </c>
      <c r="C5291" s="3" t="s">
        <v>5</v>
      </c>
    </row>
    <row r="5292" spans="1:3" ht="15.75" thickBot="1">
      <c r="A5292" s="6" t="s">
        <v>10059</v>
      </c>
      <c r="B5292" s="5" t="s">
        <v>10060</v>
      </c>
      <c r="C5292" s="3" t="s">
        <v>5</v>
      </c>
    </row>
    <row r="5293" spans="1:3" ht="15.75" thickBot="1">
      <c r="A5293" s="6" t="s">
        <v>10061</v>
      </c>
      <c r="B5293" s="5" t="s">
        <v>10062</v>
      </c>
      <c r="C5293" s="3" t="s">
        <v>5</v>
      </c>
    </row>
    <row r="5294" spans="1:3" ht="15.75" thickBot="1">
      <c r="A5294" s="6" t="s">
        <v>10063</v>
      </c>
      <c r="B5294" s="5" t="s">
        <v>10064</v>
      </c>
      <c r="C5294" s="3" t="s">
        <v>5</v>
      </c>
    </row>
    <row r="5295" spans="1:3" ht="15.75" thickBot="1">
      <c r="A5295" s="6" t="s">
        <v>10065</v>
      </c>
      <c r="B5295" s="5" t="s">
        <v>10066</v>
      </c>
      <c r="C5295" s="3" t="s">
        <v>5</v>
      </c>
    </row>
    <row r="5296" spans="1:3" ht="15.75" thickBot="1">
      <c r="A5296" s="6" t="s">
        <v>10067</v>
      </c>
      <c r="B5296" s="5" t="s">
        <v>10068</v>
      </c>
      <c r="C5296" s="3" t="s">
        <v>5</v>
      </c>
    </row>
    <row r="5297" spans="1:3" ht="15.75" thickBot="1">
      <c r="A5297" s="6" t="s">
        <v>10069</v>
      </c>
      <c r="B5297" s="5" t="s">
        <v>10070</v>
      </c>
      <c r="C5297" s="3" t="s">
        <v>5</v>
      </c>
    </row>
    <row r="5298" spans="1:3" ht="15.75" thickBot="1">
      <c r="A5298" s="6" t="s">
        <v>10071</v>
      </c>
      <c r="B5298" s="5" t="s">
        <v>10072</v>
      </c>
      <c r="C5298" s="3" t="s">
        <v>5</v>
      </c>
    </row>
    <row r="5299" spans="1:3" ht="15.75" thickBot="1">
      <c r="A5299" s="6" t="s">
        <v>10073</v>
      </c>
      <c r="B5299" s="5" t="s">
        <v>10074</v>
      </c>
      <c r="C5299" s="3" t="s">
        <v>5</v>
      </c>
    </row>
    <row r="5300" spans="1:3" ht="15.75" thickBot="1">
      <c r="A5300" s="6" t="s">
        <v>10075</v>
      </c>
      <c r="B5300" s="5" t="s">
        <v>10076</v>
      </c>
      <c r="C5300" s="3" t="s">
        <v>5</v>
      </c>
    </row>
    <row r="5301" spans="1:3" ht="15.75" thickBot="1">
      <c r="A5301" s="6" t="s">
        <v>10077</v>
      </c>
      <c r="B5301" s="5" t="s">
        <v>10078</v>
      </c>
      <c r="C5301" s="3" t="s">
        <v>5</v>
      </c>
    </row>
    <row r="5302" spans="1:3" ht="15.75" thickBot="1">
      <c r="A5302" s="6" t="s">
        <v>10079</v>
      </c>
      <c r="B5302" s="5" t="s">
        <v>10080</v>
      </c>
      <c r="C5302" s="3" t="s">
        <v>5</v>
      </c>
    </row>
    <row r="5303" spans="1:3" ht="15.75" thickBot="1">
      <c r="A5303" s="6" t="s">
        <v>10081</v>
      </c>
      <c r="B5303" s="5" t="s">
        <v>10082</v>
      </c>
      <c r="C5303" s="3" t="s">
        <v>5</v>
      </c>
    </row>
    <row r="5304" spans="1:3" ht="15.75" thickBot="1">
      <c r="A5304" s="6" t="s">
        <v>10083</v>
      </c>
      <c r="B5304" s="5" t="s">
        <v>10084</v>
      </c>
      <c r="C5304" s="3" t="s">
        <v>5</v>
      </c>
    </row>
    <row r="5305" spans="1:3" ht="15.75" thickBot="1">
      <c r="A5305" s="6" t="s">
        <v>10085</v>
      </c>
      <c r="B5305" s="5" t="s">
        <v>10086</v>
      </c>
      <c r="C5305" s="3" t="s">
        <v>5</v>
      </c>
    </row>
    <row r="5306" spans="1:3" ht="15.75" thickBot="1">
      <c r="A5306" s="6" t="s">
        <v>10087</v>
      </c>
      <c r="B5306" s="5" t="s">
        <v>10088</v>
      </c>
      <c r="C5306" s="3" t="s">
        <v>5</v>
      </c>
    </row>
    <row r="5307" spans="1:3" ht="15.75" thickBot="1">
      <c r="A5307" s="6" t="s">
        <v>10089</v>
      </c>
      <c r="B5307" s="5" t="s">
        <v>10090</v>
      </c>
      <c r="C5307" s="3" t="s">
        <v>5</v>
      </c>
    </row>
    <row r="5308" spans="1:3" ht="26.25" thickBot="1">
      <c r="A5308" s="6" t="s">
        <v>10091</v>
      </c>
      <c r="B5308" s="5" t="s">
        <v>10092</v>
      </c>
      <c r="C5308" s="3" t="s">
        <v>5</v>
      </c>
    </row>
    <row r="5309" spans="1:3" ht="15.75" thickBot="1">
      <c r="A5309" s="6" t="s">
        <v>10093</v>
      </c>
      <c r="B5309" s="5" t="s">
        <v>10094</v>
      </c>
      <c r="C5309" s="3" t="s">
        <v>5</v>
      </c>
    </row>
    <row r="5310" spans="1:3">
      <c r="A5310" s="1" t="s">
        <v>10095</v>
      </c>
      <c r="B5310" s="2" t="s">
        <v>10096</v>
      </c>
      <c r="C5310" s="3" t="s">
        <v>5</v>
      </c>
    </row>
    <row r="5311" spans="1:3" ht="15.75" thickBot="1">
      <c r="A5311" s="4"/>
      <c r="B5311" s="5" t="s">
        <v>10097</v>
      </c>
      <c r="C5311" s="3" t="s">
        <v>5</v>
      </c>
    </row>
    <row r="5312" spans="1:3" ht="15.75" thickBot="1">
      <c r="A5312" s="6" t="s">
        <v>10098</v>
      </c>
      <c r="B5312" s="5" t="s">
        <v>10099</v>
      </c>
      <c r="C5312" s="3" t="s">
        <v>5</v>
      </c>
    </row>
    <row r="5313" spans="1:3" ht="15.75" thickBot="1">
      <c r="A5313" s="6" t="s">
        <v>10100</v>
      </c>
      <c r="B5313" s="5" t="s">
        <v>10101</v>
      </c>
      <c r="C5313" s="3" t="s">
        <v>5</v>
      </c>
    </row>
    <row r="5314" spans="1:3" ht="15.75" thickBot="1">
      <c r="A5314" s="6" t="s">
        <v>10102</v>
      </c>
      <c r="B5314" s="5" t="s">
        <v>10103</v>
      </c>
      <c r="C5314" s="3" t="s">
        <v>5</v>
      </c>
    </row>
    <row r="5315" spans="1:3" ht="15.75" thickBot="1">
      <c r="A5315" s="6" t="s">
        <v>10104</v>
      </c>
      <c r="B5315" s="5" t="s">
        <v>10105</v>
      </c>
      <c r="C5315" s="3" t="s">
        <v>5</v>
      </c>
    </row>
    <row r="5316" spans="1:3" ht="15.75" thickBot="1">
      <c r="A5316" s="6" t="s">
        <v>10106</v>
      </c>
      <c r="B5316" s="5" t="s">
        <v>10107</v>
      </c>
      <c r="C5316" s="3" t="s">
        <v>5</v>
      </c>
    </row>
    <row r="5317" spans="1:3" ht="15.75" thickBot="1">
      <c r="A5317" s="6" t="s">
        <v>10108</v>
      </c>
      <c r="B5317" s="5" t="s">
        <v>10109</v>
      </c>
      <c r="C5317" s="3" t="s">
        <v>5</v>
      </c>
    </row>
    <row r="5318" spans="1:3" ht="15.75" thickBot="1">
      <c r="A5318" s="6" t="s">
        <v>10110</v>
      </c>
      <c r="B5318" s="5" t="s">
        <v>10111</v>
      </c>
      <c r="C5318" s="3" t="s">
        <v>5</v>
      </c>
    </row>
    <row r="5319" spans="1:3" ht="15.75" thickBot="1">
      <c r="A5319" s="6" t="s">
        <v>10112</v>
      </c>
      <c r="B5319" s="5" t="s">
        <v>10113</v>
      </c>
      <c r="C5319" s="3" t="s">
        <v>5</v>
      </c>
    </row>
    <row r="5320" spans="1:3" ht="15.75" thickBot="1">
      <c r="A5320" s="6" t="s">
        <v>10114</v>
      </c>
      <c r="B5320" s="5" t="s">
        <v>10115</v>
      </c>
      <c r="C5320" s="3" t="s">
        <v>5</v>
      </c>
    </row>
    <row r="5321" spans="1:3" ht="15.75" thickBot="1">
      <c r="A5321" s="6" t="s">
        <v>10116</v>
      </c>
      <c r="B5321" s="5" t="s">
        <v>10117</v>
      </c>
      <c r="C5321" s="3" t="s">
        <v>5</v>
      </c>
    </row>
    <row r="5322" spans="1:3" ht="15.75" thickBot="1">
      <c r="A5322" s="6" t="s">
        <v>10118</v>
      </c>
      <c r="B5322" s="5" t="s">
        <v>10119</v>
      </c>
      <c r="C5322" s="3" t="s">
        <v>5</v>
      </c>
    </row>
    <row r="5323" spans="1:3" ht="15.75" thickBot="1">
      <c r="A5323" s="6" t="s">
        <v>10120</v>
      </c>
      <c r="B5323" s="5" t="s">
        <v>10121</v>
      </c>
      <c r="C5323" s="3" t="s">
        <v>5</v>
      </c>
    </row>
    <row r="5324" spans="1:3" ht="15.75" thickBot="1">
      <c r="A5324" s="6" t="s">
        <v>10122</v>
      </c>
      <c r="B5324" s="5" t="s">
        <v>10117</v>
      </c>
      <c r="C5324" s="3" t="s">
        <v>5</v>
      </c>
    </row>
    <row r="5325" spans="1:3" ht="15.75" thickBot="1">
      <c r="A5325" s="6" t="s">
        <v>10123</v>
      </c>
      <c r="B5325" s="5" t="s">
        <v>10124</v>
      </c>
      <c r="C5325" s="3" t="s">
        <v>5</v>
      </c>
    </row>
    <row r="5326" spans="1:3" ht="15.75" thickBot="1">
      <c r="A5326" s="6" t="s">
        <v>10125</v>
      </c>
      <c r="B5326" s="5" t="s">
        <v>10126</v>
      </c>
      <c r="C5326" s="3" t="s">
        <v>5</v>
      </c>
    </row>
    <row r="5327" spans="1:3" ht="15.75" thickBot="1">
      <c r="A5327" s="6" t="s">
        <v>10127</v>
      </c>
      <c r="B5327" s="5" t="s">
        <v>10128</v>
      </c>
      <c r="C5327" s="3" t="s">
        <v>5</v>
      </c>
    </row>
    <row r="5328" spans="1:3" ht="15.75" thickBot="1">
      <c r="A5328" s="6" t="s">
        <v>10129</v>
      </c>
      <c r="B5328" s="5" t="s">
        <v>10130</v>
      </c>
      <c r="C5328" s="3" t="s">
        <v>5</v>
      </c>
    </row>
    <row r="5329" spans="1:3">
      <c r="A5329" s="1" t="s">
        <v>10131</v>
      </c>
      <c r="B5329" s="2" t="s">
        <v>10132</v>
      </c>
      <c r="C5329" s="3" t="s">
        <v>5</v>
      </c>
    </row>
    <row r="5330" spans="1:3" ht="15.75" thickBot="1">
      <c r="A5330" s="4"/>
      <c r="B5330" s="5" t="s">
        <v>10133</v>
      </c>
      <c r="C5330" s="3" t="s">
        <v>5</v>
      </c>
    </row>
    <row r="5331" spans="1:3" ht="15.75" thickBot="1">
      <c r="A5331" s="6" t="s">
        <v>10134</v>
      </c>
      <c r="B5331" s="5" t="s">
        <v>10135</v>
      </c>
      <c r="C5331" s="3" t="s">
        <v>5</v>
      </c>
    </row>
    <row r="5332" spans="1:3" ht="15.75" thickBot="1">
      <c r="A5332" s="6" t="s">
        <v>10136</v>
      </c>
      <c r="B5332" s="5" t="s">
        <v>10137</v>
      </c>
      <c r="C5332" s="3" t="s">
        <v>5</v>
      </c>
    </row>
    <row r="5333" spans="1:3" ht="15.75" thickBot="1">
      <c r="A5333" s="6" t="s">
        <v>10138</v>
      </c>
      <c r="B5333" s="5" t="s">
        <v>10139</v>
      </c>
      <c r="C5333" s="3" t="s">
        <v>5</v>
      </c>
    </row>
    <row r="5334" spans="1:3" ht="15.75" thickBot="1">
      <c r="A5334" s="6" t="s">
        <v>10140</v>
      </c>
      <c r="B5334" s="5" t="s">
        <v>10141</v>
      </c>
      <c r="C5334" s="3" t="s">
        <v>5</v>
      </c>
    </row>
    <row r="5335" spans="1:3" ht="15.75" thickBot="1">
      <c r="A5335" s="6" t="s">
        <v>10142</v>
      </c>
      <c r="B5335" s="5" t="s">
        <v>10143</v>
      </c>
      <c r="C5335" s="3" t="s">
        <v>5</v>
      </c>
    </row>
    <row r="5336" spans="1:3" ht="15.75" thickBot="1">
      <c r="A5336" s="6" t="s">
        <v>10144</v>
      </c>
      <c r="B5336" s="5" t="s">
        <v>10145</v>
      </c>
      <c r="C5336" s="3" t="s">
        <v>5</v>
      </c>
    </row>
    <row r="5337" spans="1:3" ht="15.75" thickBot="1">
      <c r="A5337" s="6" t="s">
        <v>10146</v>
      </c>
      <c r="B5337" s="5" t="s">
        <v>10147</v>
      </c>
      <c r="C5337" s="3" t="s">
        <v>5</v>
      </c>
    </row>
    <row r="5338" spans="1:3" ht="15.75" thickBot="1">
      <c r="A5338" s="6" t="s">
        <v>10148</v>
      </c>
      <c r="B5338" s="5" t="s">
        <v>10149</v>
      </c>
      <c r="C5338" s="3" t="s">
        <v>5</v>
      </c>
    </row>
    <row r="5339" spans="1:3" ht="15.75" thickBot="1">
      <c r="A5339" s="6" t="s">
        <v>10150</v>
      </c>
      <c r="B5339" s="5" t="s">
        <v>10151</v>
      </c>
      <c r="C5339" s="3" t="s">
        <v>5</v>
      </c>
    </row>
    <row r="5340" spans="1:3" ht="15.75" thickBot="1">
      <c r="A5340" s="6" t="s">
        <v>10152</v>
      </c>
      <c r="B5340" s="5" t="s">
        <v>10153</v>
      </c>
      <c r="C5340" s="3" t="s">
        <v>5</v>
      </c>
    </row>
    <row r="5341" spans="1:3">
      <c r="A5341" s="1" t="s">
        <v>10133</v>
      </c>
      <c r="B5341" s="2" t="s">
        <v>10154</v>
      </c>
      <c r="C5341" s="3" t="s">
        <v>5</v>
      </c>
    </row>
    <row r="5342" spans="1:3" ht="15.75" thickBot="1">
      <c r="A5342" s="4"/>
      <c r="B5342" s="5" t="s">
        <v>10155</v>
      </c>
      <c r="C5342" s="3" t="s">
        <v>5</v>
      </c>
    </row>
    <row r="5343" spans="1:3" ht="15.75" thickBot="1">
      <c r="A5343" s="6" t="s">
        <v>10156</v>
      </c>
      <c r="B5343" s="5" t="s">
        <v>10157</v>
      </c>
      <c r="C5343" s="3" t="s">
        <v>5</v>
      </c>
    </row>
    <row r="5344" spans="1:3" ht="15.75" thickBot="1">
      <c r="A5344" s="6" t="s">
        <v>10158</v>
      </c>
      <c r="B5344" s="5" t="s">
        <v>10159</v>
      </c>
      <c r="C5344" s="3" t="s">
        <v>5</v>
      </c>
    </row>
    <row r="5345" spans="1:3" ht="15.75" thickBot="1">
      <c r="A5345" s="6" t="s">
        <v>10160</v>
      </c>
      <c r="B5345" s="5" t="s">
        <v>10161</v>
      </c>
      <c r="C5345" s="3" t="s">
        <v>5</v>
      </c>
    </row>
    <row r="5346" spans="1:3" ht="15.75" thickBot="1">
      <c r="A5346" s="6" t="s">
        <v>10162</v>
      </c>
      <c r="B5346" s="5" t="s">
        <v>10163</v>
      </c>
      <c r="C5346" s="3" t="s">
        <v>5</v>
      </c>
    </row>
    <row r="5347" spans="1:3" ht="15.75" thickBot="1">
      <c r="A5347" s="6" t="s">
        <v>10164</v>
      </c>
      <c r="B5347" s="5" t="s">
        <v>10165</v>
      </c>
      <c r="C5347" s="3" t="s">
        <v>5</v>
      </c>
    </row>
    <row r="5348" spans="1:3" ht="15.75" thickBot="1">
      <c r="A5348" s="6" t="s">
        <v>10166</v>
      </c>
      <c r="B5348" s="5" t="s">
        <v>10167</v>
      </c>
      <c r="C5348" s="3" t="s">
        <v>5</v>
      </c>
    </row>
    <row r="5349" spans="1:3" ht="15.75" thickBot="1">
      <c r="A5349" s="6" t="s">
        <v>10168</v>
      </c>
      <c r="B5349" s="5" t="s">
        <v>10169</v>
      </c>
      <c r="C5349" s="3" t="s">
        <v>5</v>
      </c>
    </row>
    <row r="5350" spans="1:3" ht="15.75" thickBot="1">
      <c r="A5350" s="6" t="s">
        <v>10170</v>
      </c>
      <c r="B5350" s="5" t="s">
        <v>10171</v>
      </c>
      <c r="C5350" s="3" t="s">
        <v>5</v>
      </c>
    </row>
    <row r="5351" spans="1:3" ht="15.75" thickBot="1">
      <c r="A5351" s="6" t="s">
        <v>10172</v>
      </c>
      <c r="B5351" s="5" t="s">
        <v>10173</v>
      </c>
      <c r="C5351" s="3" t="s">
        <v>5</v>
      </c>
    </row>
    <row r="5352" spans="1:3" ht="15.75" thickBot="1">
      <c r="A5352" s="6" t="s">
        <v>10174</v>
      </c>
      <c r="B5352" s="5" t="s">
        <v>10175</v>
      </c>
      <c r="C5352" s="3" t="s">
        <v>5</v>
      </c>
    </row>
    <row r="5353" spans="1:3" ht="15.75" thickBot="1">
      <c r="A5353" s="6" t="s">
        <v>10176</v>
      </c>
      <c r="B5353" s="5" t="s">
        <v>10177</v>
      </c>
      <c r="C5353" s="3" t="s">
        <v>5</v>
      </c>
    </row>
    <row r="5354" spans="1:3" ht="15.75" thickBot="1">
      <c r="A5354" s="6" t="s">
        <v>10178</v>
      </c>
      <c r="B5354" s="5" t="s">
        <v>10179</v>
      </c>
      <c r="C5354" s="3" t="s">
        <v>5</v>
      </c>
    </row>
    <row r="5355" spans="1:3" ht="15.75" thickBot="1">
      <c r="A5355" s="6" t="s">
        <v>10180</v>
      </c>
      <c r="B5355" s="5" t="s">
        <v>10181</v>
      </c>
      <c r="C5355" s="3" t="s">
        <v>5</v>
      </c>
    </row>
    <row r="5356" spans="1:3" ht="15.75" thickBot="1">
      <c r="A5356" s="6" t="s">
        <v>10182</v>
      </c>
      <c r="B5356" s="5" t="s">
        <v>10183</v>
      </c>
      <c r="C5356" s="3" t="s">
        <v>5</v>
      </c>
    </row>
    <row r="5357" spans="1:3" ht="15.75" thickBot="1">
      <c r="A5357" s="6" t="s">
        <v>10184</v>
      </c>
      <c r="B5357" s="5" t="s">
        <v>10185</v>
      </c>
      <c r="C5357" s="3" t="s">
        <v>5</v>
      </c>
    </row>
    <row r="5358" spans="1:3" ht="15.75" thickBot="1">
      <c r="A5358" s="6" t="s">
        <v>10186</v>
      </c>
      <c r="B5358" s="5" t="s">
        <v>10187</v>
      </c>
      <c r="C5358" s="3" t="s">
        <v>5</v>
      </c>
    </row>
    <row r="5359" spans="1:3" ht="15.75" thickBot="1">
      <c r="A5359" s="6" t="s">
        <v>10188</v>
      </c>
      <c r="B5359" s="5" t="s">
        <v>10189</v>
      </c>
      <c r="C5359" s="3" t="s">
        <v>5</v>
      </c>
    </row>
    <row r="5360" spans="1:3" ht="15.75" thickBot="1">
      <c r="A5360" s="6" t="s">
        <v>10190</v>
      </c>
      <c r="B5360" s="5" t="s">
        <v>10191</v>
      </c>
      <c r="C5360" s="3" t="s">
        <v>5</v>
      </c>
    </row>
    <row r="5361" spans="1:3" ht="15.75" thickBot="1">
      <c r="A5361" s="6" t="s">
        <v>10192</v>
      </c>
      <c r="B5361" s="5" t="s">
        <v>10193</v>
      </c>
      <c r="C5361" s="3" t="s">
        <v>5</v>
      </c>
    </row>
    <row r="5362" spans="1:3" ht="15.75" thickBot="1">
      <c r="A5362" s="6" t="s">
        <v>10194</v>
      </c>
      <c r="B5362" s="5" t="s">
        <v>10195</v>
      </c>
      <c r="C5362" s="3" t="s">
        <v>5</v>
      </c>
    </row>
    <row r="5363" spans="1:3" ht="15.75" thickBot="1">
      <c r="A5363" s="6" t="s">
        <v>10196</v>
      </c>
      <c r="B5363" s="5" t="s">
        <v>10197</v>
      </c>
      <c r="C5363" s="3" t="s">
        <v>5</v>
      </c>
    </row>
    <row r="5364" spans="1:3" ht="15.75" thickBot="1">
      <c r="A5364" s="6" t="s">
        <v>10198</v>
      </c>
      <c r="B5364" s="5" t="s">
        <v>10199</v>
      </c>
      <c r="C5364" s="3" t="s">
        <v>5</v>
      </c>
    </row>
    <row r="5365" spans="1:3">
      <c r="A5365" s="1" t="s">
        <v>10200</v>
      </c>
      <c r="B5365" s="2" t="s">
        <v>10201</v>
      </c>
      <c r="C5365" s="3" t="s">
        <v>5</v>
      </c>
    </row>
    <row r="5366" spans="1:3" ht="15.75" thickBot="1">
      <c r="A5366" s="4"/>
      <c r="B5366" s="5" t="s">
        <v>10133</v>
      </c>
      <c r="C5366" s="3" t="s">
        <v>5</v>
      </c>
    </row>
    <row r="5367" spans="1:3" ht="15.75" thickBot="1">
      <c r="A5367" s="6" t="s">
        <v>10202</v>
      </c>
      <c r="B5367" s="5" t="s">
        <v>10203</v>
      </c>
      <c r="C5367" s="3" t="s">
        <v>5</v>
      </c>
    </row>
    <row r="5368" spans="1:3" ht="15.75" thickBot="1">
      <c r="A5368" s="6" t="s">
        <v>10204</v>
      </c>
      <c r="B5368" s="5" t="s">
        <v>10205</v>
      </c>
      <c r="C5368" s="3" t="s">
        <v>5</v>
      </c>
    </row>
    <row r="5369" spans="1:3" ht="15.75" thickBot="1">
      <c r="A5369" s="6" t="s">
        <v>10206</v>
      </c>
      <c r="B5369" s="5" t="s">
        <v>10207</v>
      </c>
      <c r="C5369" s="3" t="s">
        <v>5</v>
      </c>
    </row>
    <row r="5370" spans="1:3" ht="15.75" thickBot="1">
      <c r="A5370" s="6" t="s">
        <v>10208</v>
      </c>
      <c r="B5370" s="5" t="s">
        <v>10209</v>
      </c>
      <c r="C5370" s="3" t="s">
        <v>5</v>
      </c>
    </row>
    <row r="5371" spans="1:3" ht="15.75" thickBot="1">
      <c r="A5371" s="6" t="s">
        <v>10210</v>
      </c>
      <c r="B5371" s="5" t="s">
        <v>10211</v>
      </c>
      <c r="C5371" s="3" t="s">
        <v>5</v>
      </c>
    </row>
    <row r="5372" spans="1:3" ht="15.75" thickBot="1">
      <c r="A5372" s="6" t="s">
        <v>10212</v>
      </c>
      <c r="B5372" s="5" t="s">
        <v>10213</v>
      </c>
      <c r="C5372" s="3" t="s">
        <v>5</v>
      </c>
    </row>
    <row r="5373" spans="1:3" ht="15.75" thickBot="1">
      <c r="A5373" s="6" t="s">
        <v>10214</v>
      </c>
      <c r="B5373" s="5" t="s">
        <v>10215</v>
      </c>
      <c r="C5373" s="3" t="s">
        <v>5</v>
      </c>
    </row>
    <row r="5374" spans="1:3" ht="15.75" thickBot="1">
      <c r="A5374" s="6" t="s">
        <v>10216</v>
      </c>
      <c r="B5374" s="5" t="s">
        <v>10217</v>
      </c>
      <c r="C5374" s="3" t="s">
        <v>5</v>
      </c>
    </row>
    <row r="5375" spans="1:3" ht="15.75" thickBot="1">
      <c r="A5375" s="6" t="s">
        <v>10218</v>
      </c>
      <c r="B5375" s="5" t="s">
        <v>10219</v>
      </c>
      <c r="C5375" s="3" t="s">
        <v>5</v>
      </c>
    </row>
    <row r="5376" spans="1:3" ht="15.75" thickBot="1">
      <c r="A5376" s="6" t="s">
        <v>10220</v>
      </c>
      <c r="B5376" s="5" t="s">
        <v>10221</v>
      </c>
      <c r="C5376" s="3" t="s">
        <v>5</v>
      </c>
    </row>
    <row r="5377" spans="1:3" ht="15.75" thickBot="1">
      <c r="A5377" s="6" t="s">
        <v>10222</v>
      </c>
      <c r="B5377" s="5" t="s">
        <v>10223</v>
      </c>
      <c r="C5377" s="3" t="s">
        <v>5</v>
      </c>
    </row>
    <row r="5378" spans="1:3" ht="15.75" thickBot="1">
      <c r="A5378" s="6" t="s">
        <v>10224</v>
      </c>
      <c r="B5378" s="5" t="s">
        <v>10225</v>
      </c>
      <c r="C5378" s="3" t="s">
        <v>5</v>
      </c>
    </row>
    <row r="5379" spans="1:3" ht="15.75" thickBot="1">
      <c r="A5379" s="6" t="s">
        <v>10226</v>
      </c>
      <c r="B5379" s="5" t="s">
        <v>10227</v>
      </c>
      <c r="C5379" s="3" t="s">
        <v>5</v>
      </c>
    </row>
    <row r="5380" spans="1:3" ht="15.75" thickBot="1">
      <c r="A5380" s="6" t="s">
        <v>10228</v>
      </c>
      <c r="B5380" s="5" t="s">
        <v>10229</v>
      </c>
      <c r="C5380" s="3" t="s">
        <v>5</v>
      </c>
    </row>
    <row r="5381" spans="1:3" ht="15.75" thickBot="1">
      <c r="A5381" s="6" t="s">
        <v>10230</v>
      </c>
      <c r="B5381" s="5" t="s">
        <v>10231</v>
      </c>
      <c r="C5381" s="3" t="s">
        <v>5</v>
      </c>
    </row>
    <row r="5382" spans="1:3" ht="15.75" thickBot="1">
      <c r="A5382" s="6" t="s">
        <v>10232</v>
      </c>
      <c r="B5382" s="5" t="s">
        <v>10233</v>
      </c>
      <c r="C5382" s="3" t="s">
        <v>5</v>
      </c>
    </row>
    <row r="5383" spans="1:3" ht="15.75" thickBot="1">
      <c r="A5383" s="6" t="s">
        <v>10234</v>
      </c>
      <c r="B5383" s="5" t="s">
        <v>10235</v>
      </c>
      <c r="C5383" s="3" t="s">
        <v>5</v>
      </c>
    </row>
    <row r="5384" spans="1:3" ht="15.75" thickBot="1">
      <c r="A5384" s="6" t="s">
        <v>10236</v>
      </c>
      <c r="B5384" s="5" t="s">
        <v>10237</v>
      </c>
      <c r="C5384" s="3" t="s">
        <v>5</v>
      </c>
    </row>
    <row r="5385" spans="1:3" ht="15.75" thickBot="1">
      <c r="A5385" s="6" t="s">
        <v>10238</v>
      </c>
      <c r="B5385" s="5" t="s">
        <v>10239</v>
      </c>
      <c r="C5385" s="3" t="s">
        <v>5</v>
      </c>
    </row>
    <row r="5386" spans="1:3" ht="15.75" thickBot="1">
      <c r="A5386" s="6" t="s">
        <v>10240</v>
      </c>
      <c r="B5386" s="5" t="s">
        <v>10241</v>
      </c>
      <c r="C5386" s="3" t="s">
        <v>5</v>
      </c>
    </row>
    <row r="5387" spans="1:3" ht="15.75" thickBot="1">
      <c r="A5387" s="6" t="s">
        <v>10242</v>
      </c>
      <c r="B5387" s="5" t="s">
        <v>10243</v>
      </c>
      <c r="C5387" s="3" t="s">
        <v>5</v>
      </c>
    </row>
    <row r="5388" spans="1:3" ht="15.75" thickBot="1">
      <c r="A5388" s="6" t="s">
        <v>10244</v>
      </c>
      <c r="B5388" s="5" t="s">
        <v>10245</v>
      </c>
      <c r="C5388" s="3" t="s">
        <v>5</v>
      </c>
    </row>
    <row r="5389" spans="1:3" ht="15.75" thickBot="1">
      <c r="A5389" s="6" t="s">
        <v>10246</v>
      </c>
      <c r="B5389" s="5" t="s">
        <v>10247</v>
      </c>
      <c r="C5389" s="3" t="s">
        <v>5</v>
      </c>
    </row>
    <row r="5390" spans="1:3" ht="15.75" thickBot="1">
      <c r="A5390" s="6" t="s">
        <v>10248</v>
      </c>
      <c r="B5390" s="5" t="s">
        <v>10249</v>
      </c>
      <c r="C5390" s="3" t="s">
        <v>5</v>
      </c>
    </row>
    <row r="5391" spans="1:3" ht="15.75" thickBot="1">
      <c r="A5391" s="6" t="s">
        <v>10250</v>
      </c>
      <c r="B5391" s="5" t="s">
        <v>10251</v>
      </c>
      <c r="C5391" s="3" t="s">
        <v>5</v>
      </c>
    </row>
    <row r="5392" spans="1:3" ht="15.75" thickBot="1">
      <c r="A5392" s="6" t="s">
        <v>10252</v>
      </c>
      <c r="B5392" s="5" t="s">
        <v>10253</v>
      </c>
      <c r="C5392" s="3" t="s">
        <v>5</v>
      </c>
    </row>
    <row r="5393" spans="1:3" ht="15.75" thickBot="1">
      <c r="A5393" s="6" t="s">
        <v>10254</v>
      </c>
      <c r="B5393" s="5" t="s">
        <v>10255</v>
      </c>
      <c r="C5393" s="3" t="s">
        <v>5</v>
      </c>
    </row>
    <row r="5394" spans="1:3" ht="15.75" thickBot="1">
      <c r="A5394" s="6" t="s">
        <v>10256</v>
      </c>
      <c r="B5394" s="5" t="s">
        <v>10257</v>
      </c>
      <c r="C5394" s="3" t="s">
        <v>5</v>
      </c>
    </row>
    <row r="5395" spans="1:3" ht="15.75" thickBot="1">
      <c r="A5395" s="6" t="s">
        <v>10258</v>
      </c>
      <c r="B5395" s="5" t="s">
        <v>10259</v>
      </c>
      <c r="C5395" s="3" t="s">
        <v>5</v>
      </c>
    </row>
    <row r="5396" spans="1:3" ht="15.75" thickBot="1">
      <c r="A5396" s="6" t="s">
        <v>10260</v>
      </c>
      <c r="B5396" s="5" t="s">
        <v>10261</v>
      </c>
      <c r="C5396" s="3" t="s">
        <v>5</v>
      </c>
    </row>
    <row r="5397" spans="1:3" ht="15.75" thickBot="1">
      <c r="A5397" s="6" t="s">
        <v>10262</v>
      </c>
      <c r="B5397" s="5" t="s">
        <v>10263</v>
      </c>
      <c r="C5397" s="3" t="s">
        <v>5</v>
      </c>
    </row>
    <row r="5398" spans="1:3" ht="15.75" thickBot="1">
      <c r="A5398" s="6" t="s">
        <v>10264</v>
      </c>
      <c r="B5398" s="5" t="s">
        <v>10265</v>
      </c>
      <c r="C5398" s="3" t="s">
        <v>5</v>
      </c>
    </row>
    <row r="5399" spans="1:3" ht="15.75" thickBot="1">
      <c r="A5399" s="6" t="s">
        <v>10266</v>
      </c>
      <c r="B5399" s="5" t="s">
        <v>10267</v>
      </c>
      <c r="C5399" s="3" t="s">
        <v>5</v>
      </c>
    </row>
    <row r="5400" spans="1:3" ht="15.75" thickBot="1">
      <c r="A5400" s="6" t="s">
        <v>10268</v>
      </c>
      <c r="B5400" s="5" t="s">
        <v>10269</v>
      </c>
      <c r="C5400" s="3" t="s">
        <v>5</v>
      </c>
    </row>
    <row r="5401" spans="1:3" ht="15.75" thickBot="1">
      <c r="A5401" s="6" t="s">
        <v>10270</v>
      </c>
      <c r="B5401" s="5" t="s">
        <v>10271</v>
      </c>
      <c r="C5401" s="3" t="s">
        <v>5</v>
      </c>
    </row>
    <row r="5402" spans="1:3" ht="15.75" thickBot="1">
      <c r="A5402" s="6" t="s">
        <v>10272</v>
      </c>
      <c r="B5402" s="5" t="s">
        <v>10273</v>
      </c>
      <c r="C5402" s="3" t="s">
        <v>5</v>
      </c>
    </row>
    <row r="5403" spans="1:3" ht="15.75" thickBot="1">
      <c r="A5403" s="6" t="s">
        <v>10274</v>
      </c>
      <c r="B5403" s="5" t="s">
        <v>10275</v>
      </c>
      <c r="C5403" s="3" t="s">
        <v>5</v>
      </c>
    </row>
    <row r="5404" spans="1:3" ht="15.75" thickBot="1">
      <c r="A5404" s="6" t="s">
        <v>10276</v>
      </c>
      <c r="B5404" s="5" t="s">
        <v>10277</v>
      </c>
      <c r="C5404" s="3" t="s">
        <v>5</v>
      </c>
    </row>
    <row r="5405" spans="1:3" ht="15.75" thickBot="1">
      <c r="A5405" s="6" t="s">
        <v>10278</v>
      </c>
      <c r="B5405" s="5" t="s">
        <v>10279</v>
      </c>
      <c r="C5405" s="3" t="s">
        <v>5</v>
      </c>
    </row>
    <row r="5406" spans="1:3" ht="15.75" thickBot="1">
      <c r="A5406" s="6" t="s">
        <v>10280</v>
      </c>
      <c r="B5406" s="5" t="s">
        <v>10281</v>
      </c>
      <c r="C5406" s="3" t="s">
        <v>5</v>
      </c>
    </row>
    <row r="5407" spans="1:3" ht="15.75" thickBot="1">
      <c r="A5407" s="6" t="s">
        <v>10282</v>
      </c>
      <c r="B5407" s="5" t="s">
        <v>10283</v>
      </c>
      <c r="C5407" s="3" t="s">
        <v>5</v>
      </c>
    </row>
    <row r="5408" spans="1:3" ht="15.75" thickBot="1">
      <c r="A5408" s="6" t="s">
        <v>10284</v>
      </c>
      <c r="B5408" s="5" t="s">
        <v>10285</v>
      </c>
      <c r="C5408" s="3" t="s">
        <v>5</v>
      </c>
    </row>
    <row r="5409" spans="1:3" ht="15.75" thickBot="1">
      <c r="A5409" s="6" t="s">
        <v>10286</v>
      </c>
      <c r="B5409" s="5" t="s">
        <v>10287</v>
      </c>
      <c r="C5409" s="3" t="s">
        <v>5</v>
      </c>
    </row>
    <row r="5410" spans="1:3" ht="15.75" thickBot="1">
      <c r="A5410" s="6" t="s">
        <v>10288</v>
      </c>
      <c r="B5410" s="5" t="s">
        <v>10289</v>
      </c>
      <c r="C5410" s="3" t="s">
        <v>5</v>
      </c>
    </row>
    <row r="5411" spans="1:3" ht="15.75" thickBot="1">
      <c r="A5411" s="6" t="s">
        <v>10290</v>
      </c>
      <c r="B5411" s="5" t="s">
        <v>10291</v>
      </c>
      <c r="C5411" s="3" t="s">
        <v>5</v>
      </c>
    </row>
    <row r="5412" spans="1:3" ht="15.75" thickBot="1">
      <c r="A5412" s="6" t="s">
        <v>10292</v>
      </c>
      <c r="B5412" s="5" t="s">
        <v>10293</v>
      </c>
      <c r="C5412" s="3" t="s">
        <v>5</v>
      </c>
    </row>
    <row r="5413" spans="1:3" ht="15.75" thickBot="1">
      <c r="A5413" s="6" t="s">
        <v>10294</v>
      </c>
      <c r="B5413" s="5" t="s">
        <v>10295</v>
      </c>
      <c r="C5413" s="3" t="s">
        <v>5</v>
      </c>
    </row>
    <row r="5414" spans="1:3" ht="15.75" thickBot="1">
      <c r="A5414" s="6" t="s">
        <v>10296</v>
      </c>
      <c r="B5414" s="5" t="s">
        <v>10297</v>
      </c>
      <c r="C5414" s="3" t="s">
        <v>5</v>
      </c>
    </row>
    <row r="5415" spans="1:3" ht="15.75" thickBot="1">
      <c r="A5415" s="6" t="s">
        <v>10298</v>
      </c>
      <c r="B5415" s="5" t="s">
        <v>10299</v>
      </c>
      <c r="C5415" s="3" t="s">
        <v>5</v>
      </c>
    </row>
    <row r="5416" spans="1:3" ht="15.75" thickBot="1">
      <c r="A5416" s="6" t="s">
        <v>10300</v>
      </c>
      <c r="B5416" s="5" t="s">
        <v>10301</v>
      </c>
      <c r="C5416" s="3" t="s">
        <v>5</v>
      </c>
    </row>
    <row r="5417" spans="1:3" ht="15.75" thickBot="1">
      <c r="A5417" s="6" t="s">
        <v>10302</v>
      </c>
      <c r="B5417" s="5" t="s">
        <v>10303</v>
      </c>
      <c r="C5417" s="3" t="s">
        <v>5</v>
      </c>
    </row>
    <row r="5418" spans="1:3" ht="15.75" thickBot="1">
      <c r="A5418" s="6" t="s">
        <v>10304</v>
      </c>
      <c r="B5418" s="5" t="s">
        <v>10305</v>
      </c>
      <c r="C5418" s="3" t="s">
        <v>5</v>
      </c>
    </row>
    <row r="5419" spans="1:3" ht="15.75" thickBot="1">
      <c r="A5419" s="6" t="s">
        <v>10306</v>
      </c>
      <c r="B5419" s="5" t="s">
        <v>10307</v>
      </c>
      <c r="C5419" s="3" t="s">
        <v>5</v>
      </c>
    </row>
    <row r="5420" spans="1:3" ht="15.75" thickBot="1">
      <c r="A5420" s="6" t="s">
        <v>10308</v>
      </c>
      <c r="B5420" s="5" t="s">
        <v>10309</v>
      </c>
      <c r="C5420" s="3" t="s">
        <v>5</v>
      </c>
    </row>
    <row r="5421" spans="1:3" ht="15.75" thickBot="1">
      <c r="A5421" s="6" t="s">
        <v>10310</v>
      </c>
      <c r="B5421" s="5" t="s">
        <v>10311</v>
      </c>
      <c r="C5421" s="3" t="s">
        <v>5</v>
      </c>
    </row>
    <row r="5422" spans="1:3" ht="15.75" thickBot="1">
      <c r="A5422" s="6" t="s">
        <v>10312</v>
      </c>
      <c r="B5422" s="5" t="s">
        <v>10313</v>
      </c>
      <c r="C5422" s="3" t="s">
        <v>5</v>
      </c>
    </row>
    <row r="5423" spans="1:3" ht="15.75" thickBot="1">
      <c r="A5423" s="6" t="s">
        <v>10314</v>
      </c>
      <c r="B5423" s="5" t="s">
        <v>10315</v>
      </c>
      <c r="C5423" s="3" t="s">
        <v>5</v>
      </c>
    </row>
    <row r="5424" spans="1:3">
      <c r="A5424" s="1" t="s">
        <v>10316</v>
      </c>
      <c r="B5424" s="2" t="s">
        <v>10317</v>
      </c>
      <c r="C5424" s="3" t="s">
        <v>5</v>
      </c>
    </row>
    <row r="5425" spans="1:3" ht="15.75" thickBot="1">
      <c r="A5425" s="4"/>
      <c r="B5425" s="5" t="s">
        <v>10318</v>
      </c>
      <c r="C5425" s="3" t="s">
        <v>5</v>
      </c>
    </row>
    <row r="5426" spans="1:3" ht="15.75" thickBot="1">
      <c r="A5426" s="6" t="s">
        <v>10319</v>
      </c>
      <c r="B5426" s="5" t="s">
        <v>10320</v>
      </c>
      <c r="C5426" s="3" t="s">
        <v>5</v>
      </c>
    </row>
    <row r="5427" spans="1:3" ht="15.75" thickBot="1">
      <c r="A5427" s="6" t="s">
        <v>10321</v>
      </c>
      <c r="B5427" s="5" t="s">
        <v>10322</v>
      </c>
      <c r="C5427" s="3" t="s">
        <v>5</v>
      </c>
    </row>
    <row r="5428" spans="1:3" ht="15.75" thickBot="1">
      <c r="A5428" s="6" t="s">
        <v>10323</v>
      </c>
      <c r="B5428" s="5" t="s">
        <v>10324</v>
      </c>
      <c r="C5428" s="3" t="s">
        <v>5</v>
      </c>
    </row>
    <row r="5429" spans="1:3" ht="15.75" thickBot="1">
      <c r="A5429" s="6" t="s">
        <v>10325</v>
      </c>
      <c r="B5429" s="5" t="s">
        <v>10324</v>
      </c>
      <c r="C5429" s="3" t="s">
        <v>5</v>
      </c>
    </row>
    <row r="5430" spans="1:3" ht="15.75" thickBot="1">
      <c r="A5430" s="6" t="s">
        <v>10326</v>
      </c>
      <c r="B5430" s="5" t="s">
        <v>10327</v>
      </c>
      <c r="C5430" s="3" t="s">
        <v>5</v>
      </c>
    </row>
    <row r="5431" spans="1:3" ht="15.75" thickBot="1">
      <c r="A5431" s="6" t="s">
        <v>10328</v>
      </c>
      <c r="B5431" s="5" t="s">
        <v>10329</v>
      </c>
      <c r="C5431" s="3" t="s">
        <v>5</v>
      </c>
    </row>
    <row r="5432" spans="1:3" ht="15.75" thickBot="1">
      <c r="A5432" s="6" t="s">
        <v>10330</v>
      </c>
      <c r="B5432" s="5" t="s">
        <v>10331</v>
      </c>
      <c r="C5432" s="3" t="s">
        <v>5</v>
      </c>
    </row>
    <row r="5433" spans="1:3" ht="15.75" thickBot="1">
      <c r="A5433" s="6" t="s">
        <v>10332</v>
      </c>
      <c r="B5433" s="5" t="s">
        <v>10333</v>
      </c>
      <c r="C5433" s="3" t="s">
        <v>5</v>
      </c>
    </row>
    <row r="5434" spans="1:3" ht="15.75" thickBot="1">
      <c r="A5434" s="6" t="s">
        <v>10334</v>
      </c>
      <c r="B5434" s="5" t="s">
        <v>10335</v>
      </c>
      <c r="C5434" s="3" t="s">
        <v>5</v>
      </c>
    </row>
    <row r="5435" spans="1:3" ht="15.75" thickBot="1">
      <c r="A5435" s="6" t="s">
        <v>10336</v>
      </c>
      <c r="B5435" s="5" t="s">
        <v>10337</v>
      </c>
      <c r="C5435" s="3" t="s">
        <v>5</v>
      </c>
    </row>
    <row r="5436" spans="1:3" ht="15.75" thickBot="1">
      <c r="A5436" s="6" t="s">
        <v>10338</v>
      </c>
      <c r="B5436" s="5" t="s">
        <v>10339</v>
      </c>
      <c r="C5436" s="3" t="s">
        <v>5</v>
      </c>
    </row>
    <row r="5437" spans="1:3" ht="15.75" thickBot="1">
      <c r="A5437" s="6" t="s">
        <v>10340</v>
      </c>
      <c r="B5437" s="5" t="s">
        <v>10341</v>
      </c>
      <c r="C5437" s="3" t="s">
        <v>5</v>
      </c>
    </row>
    <row r="5438" spans="1:3" ht="15.75" thickBot="1">
      <c r="A5438" s="6" t="s">
        <v>10342</v>
      </c>
      <c r="B5438" s="5" t="s">
        <v>10343</v>
      </c>
      <c r="C5438" s="3" t="s">
        <v>5</v>
      </c>
    </row>
    <row r="5439" spans="1:3" ht="15.75" thickBot="1">
      <c r="A5439" s="6" t="s">
        <v>10344</v>
      </c>
      <c r="B5439" s="5" t="s">
        <v>10345</v>
      </c>
      <c r="C5439" s="3" t="s">
        <v>5</v>
      </c>
    </row>
    <row r="5440" spans="1:3" ht="15.75" thickBot="1">
      <c r="A5440" s="6" t="s">
        <v>10346</v>
      </c>
      <c r="B5440" s="5" t="s">
        <v>10347</v>
      </c>
      <c r="C5440" s="3" t="s">
        <v>5</v>
      </c>
    </row>
    <row r="5441" spans="1:3" ht="15.75" thickBot="1">
      <c r="A5441" s="6" t="s">
        <v>10348</v>
      </c>
      <c r="B5441" s="5" t="s">
        <v>10349</v>
      </c>
      <c r="C5441" s="3" t="s">
        <v>5</v>
      </c>
    </row>
    <row r="5442" spans="1:3">
      <c r="A5442" s="1" t="s">
        <v>10350</v>
      </c>
      <c r="B5442" s="2" t="s">
        <v>10351</v>
      </c>
      <c r="C5442" s="3" t="s">
        <v>5</v>
      </c>
    </row>
    <row r="5443" spans="1:3" ht="15.75" thickBot="1">
      <c r="A5443" s="4"/>
      <c r="B5443" s="5" t="s">
        <v>10352</v>
      </c>
      <c r="C5443" s="3" t="s">
        <v>5</v>
      </c>
    </row>
    <row r="5444" spans="1:3" ht="25.5">
      <c r="A5444" s="1" t="s">
        <v>10353</v>
      </c>
      <c r="B5444" s="2" t="s">
        <v>10354</v>
      </c>
      <c r="C5444" s="3" t="s">
        <v>5</v>
      </c>
    </row>
    <row r="5445" spans="1:3" ht="15.75" thickBot="1">
      <c r="A5445" s="4"/>
      <c r="B5445" s="5" t="s">
        <v>10355</v>
      </c>
      <c r="C5445" s="3" t="s">
        <v>5</v>
      </c>
    </row>
    <row r="5446" spans="1:3" ht="15.75" thickBot="1">
      <c r="A5446" s="6" t="s">
        <v>10356</v>
      </c>
      <c r="B5446" s="5" t="s">
        <v>10357</v>
      </c>
      <c r="C5446" s="3" t="s">
        <v>5</v>
      </c>
    </row>
    <row r="5447" spans="1:3" ht="15.75" thickBot="1">
      <c r="A5447" s="6" t="s">
        <v>10358</v>
      </c>
      <c r="B5447" s="5" t="s">
        <v>10359</v>
      </c>
      <c r="C5447" s="3" t="s">
        <v>5</v>
      </c>
    </row>
    <row r="5448" spans="1:3" ht="15.75" thickBot="1">
      <c r="A5448" s="6" t="s">
        <v>10360</v>
      </c>
      <c r="B5448" s="5" t="s">
        <v>10361</v>
      </c>
      <c r="C5448" s="3" t="s">
        <v>5</v>
      </c>
    </row>
    <row r="5449" spans="1:3" ht="15.75" thickBot="1">
      <c r="A5449" s="6" t="s">
        <v>10362</v>
      </c>
      <c r="B5449" s="5" t="e">
        <f xml:space="preserve"> Napierian logarithms</f>
        <v>#NAME?</v>
      </c>
      <c r="C5449" s="3" t="s">
        <v>5</v>
      </c>
    </row>
    <row r="5450" spans="1:3" ht="15.75" thickBot="1">
      <c r="A5450" s="6" t="s">
        <v>10363</v>
      </c>
      <c r="B5450" s="5" t="s">
        <v>10364</v>
      </c>
      <c r="C5450" s="3" t="s">
        <v>5</v>
      </c>
    </row>
    <row r="5451" spans="1:3" ht="15.75" thickBot="1">
      <c r="A5451" s="6" t="s">
        <v>10365</v>
      </c>
      <c r="B5451" s="5" t="s">
        <v>10366</v>
      </c>
      <c r="C5451" s="3" t="s">
        <v>5</v>
      </c>
    </row>
    <row r="5452" spans="1:3" ht="15.75" thickBot="1">
      <c r="A5452" s="6" t="s">
        <v>10367</v>
      </c>
      <c r="B5452" s="5" t="s">
        <v>10368</v>
      </c>
      <c r="C5452" s="3" t="s">
        <v>5</v>
      </c>
    </row>
    <row r="5453" spans="1:3" ht="15.75" thickBot="1">
      <c r="A5453" s="6" t="s">
        <v>10369</v>
      </c>
      <c r="B5453" s="5" t="s">
        <v>10370</v>
      </c>
      <c r="C5453" s="3" t="s">
        <v>5</v>
      </c>
    </row>
    <row r="5454" spans="1:3" ht="15.75" thickBot="1">
      <c r="A5454" s="6" t="s">
        <v>10371</v>
      </c>
      <c r="B5454" s="5" t="s">
        <v>10372</v>
      </c>
      <c r="C5454" s="3" t="s">
        <v>5</v>
      </c>
    </row>
    <row r="5455" spans="1:3" ht="15.75" thickBot="1">
      <c r="A5455" s="6" t="s">
        <v>10373</v>
      </c>
      <c r="B5455" s="5" t="s">
        <v>10374</v>
      </c>
      <c r="C5455" s="3" t="s">
        <v>5</v>
      </c>
    </row>
    <row r="5456" spans="1:3" ht="15.75" thickBot="1">
      <c r="A5456" s="6" t="s">
        <v>10375</v>
      </c>
      <c r="B5456" s="5" t="s">
        <v>10376</v>
      </c>
      <c r="C5456" s="3" t="s">
        <v>5</v>
      </c>
    </row>
    <row r="5457" spans="1:3" ht="15.75" thickBot="1">
      <c r="A5457" s="6" t="s">
        <v>10377</v>
      </c>
      <c r="B5457" s="5" t="s">
        <v>10378</v>
      </c>
      <c r="C5457" s="3" t="s">
        <v>5</v>
      </c>
    </row>
    <row r="5458" spans="1:3" ht="15.75" thickBot="1">
      <c r="A5458" s="6" t="s">
        <v>10379</v>
      </c>
      <c r="B5458" s="5" t="s">
        <v>10380</v>
      </c>
      <c r="C5458" s="3" t="s">
        <v>5</v>
      </c>
    </row>
    <row r="5459" spans="1:3" ht="15.75" thickBot="1">
      <c r="A5459" s="6" t="s">
        <v>10381</v>
      </c>
      <c r="B5459" s="5" t="s">
        <v>10382</v>
      </c>
      <c r="C5459" s="3" t="s">
        <v>5</v>
      </c>
    </row>
    <row r="5460" spans="1:3" ht="15.75" thickBot="1">
      <c r="A5460" s="6" t="s">
        <v>10383</v>
      </c>
      <c r="B5460" s="5" t="s">
        <v>10384</v>
      </c>
      <c r="C5460" s="3" t="s">
        <v>5</v>
      </c>
    </row>
    <row r="5461" spans="1:3" ht="15.75" thickBot="1">
      <c r="A5461" s="6" t="s">
        <v>10385</v>
      </c>
      <c r="B5461" s="5" t="s">
        <v>10386</v>
      </c>
      <c r="C5461" s="3" t="s">
        <v>5</v>
      </c>
    </row>
    <row r="5462" spans="1:3" ht="15.75" thickBot="1">
      <c r="A5462" s="6" t="s">
        <v>10387</v>
      </c>
      <c r="B5462" s="5" t="s">
        <v>10388</v>
      </c>
      <c r="C5462" s="3" t="s">
        <v>5</v>
      </c>
    </row>
    <row r="5463" spans="1:3" ht="15.75" thickBot="1">
      <c r="A5463" s="6" t="s">
        <v>10389</v>
      </c>
      <c r="B5463" s="5" t="s">
        <v>10390</v>
      </c>
      <c r="C5463" s="3" t="s">
        <v>5</v>
      </c>
    </row>
    <row r="5464" spans="1:3" ht="15.75" thickBot="1">
      <c r="A5464" s="6" t="s">
        <v>10391</v>
      </c>
      <c r="B5464" s="5" t="s">
        <v>10392</v>
      </c>
      <c r="C5464" s="3" t="s">
        <v>5</v>
      </c>
    </row>
    <row r="5465" spans="1:3" ht="15.75" thickBot="1">
      <c r="A5465" s="6" t="s">
        <v>10393</v>
      </c>
      <c r="B5465" s="5" t="s">
        <v>10394</v>
      </c>
      <c r="C5465" s="3" t="s">
        <v>5</v>
      </c>
    </row>
    <row r="5466" spans="1:3" ht="15.75" thickBot="1">
      <c r="A5466" s="6" t="s">
        <v>10395</v>
      </c>
      <c r="B5466" s="5" t="s">
        <v>10396</v>
      </c>
      <c r="C5466" s="3" t="s">
        <v>5</v>
      </c>
    </row>
    <row r="5467" spans="1:3" ht="15.75" thickBot="1">
      <c r="A5467" s="6" t="s">
        <v>10397</v>
      </c>
      <c r="B5467" s="5" t="s">
        <v>10398</v>
      </c>
      <c r="C5467" s="3" t="s">
        <v>5</v>
      </c>
    </row>
    <row r="5468" spans="1:3" ht="15.75" thickBot="1">
      <c r="A5468" s="6" t="s">
        <v>10399</v>
      </c>
      <c r="B5468" s="5" t="s">
        <v>10400</v>
      </c>
      <c r="C5468" s="3" t="s">
        <v>5</v>
      </c>
    </row>
    <row r="5469" spans="1:3" ht="15.75" thickBot="1">
      <c r="A5469" s="6" t="s">
        <v>10401</v>
      </c>
      <c r="B5469" s="5" t="s">
        <v>10402</v>
      </c>
      <c r="C5469" s="3" t="s">
        <v>5</v>
      </c>
    </row>
    <row r="5470" spans="1:3" ht="15.75" thickBot="1">
      <c r="A5470" s="6" t="s">
        <v>10403</v>
      </c>
      <c r="B5470" s="5" t="s">
        <v>10404</v>
      </c>
      <c r="C5470" s="3" t="s">
        <v>5</v>
      </c>
    </row>
    <row r="5471" spans="1:3" ht="15.75" thickBot="1">
      <c r="A5471" s="6" t="s">
        <v>10405</v>
      </c>
      <c r="B5471" s="5" t="s">
        <v>10406</v>
      </c>
      <c r="C5471" s="3" t="s">
        <v>5</v>
      </c>
    </row>
    <row r="5472" spans="1:3" ht="15.75" thickBot="1">
      <c r="A5472" s="6" t="s">
        <v>10407</v>
      </c>
      <c r="B5472" s="5" t="s">
        <v>10408</v>
      </c>
      <c r="C5472" s="3" t="s">
        <v>5</v>
      </c>
    </row>
    <row r="5473" spans="1:3" ht="15.75" thickBot="1">
      <c r="A5473" s="6" t="s">
        <v>10409</v>
      </c>
      <c r="B5473" s="5" t="s">
        <v>10410</v>
      </c>
      <c r="C5473" s="3" t="s">
        <v>5</v>
      </c>
    </row>
    <row r="5474" spans="1:3" ht="15.75" thickBot="1">
      <c r="A5474" s="6" t="s">
        <v>10411</v>
      </c>
      <c r="B5474" s="5" t="s">
        <v>10412</v>
      </c>
      <c r="C5474" s="3" t="s">
        <v>5</v>
      </c>
    </row>
    <row r="5475" spans="1:3" ht="15.75" thickBot="1">
      <c r="A5475" s="6" t="s">
        <v>10413</v>
      </c>
      <c r="B5475" s="5" t="s">
        <v>10414</v>
      </c>
      <c r="C5475" s="3" t="s">
        <v>5</v>
      </c>
    </row>
    <row r="5476" spans="1:3" ht="15.75" thickBot="1">
      <c r="A5476" s="6" t="s">
        <v>10415</v>
      </c>
      <c r="B5476" s="5" t="s">
        <v>10416</v>
      </c>
      <c r="C5476" s="3" t="s">
        <v>5</v>
      </c>
    </row>
    <row r="5477" spans="1:3" ht="15.75" thickBot="1">
      <c r="A5477" s="6" t="s">
        <v>10417</v>
      </c>
      <c r="B5477" s="5" t="s">
        <v>10418</v>
      </c>
      <c r="C5477" s="3" t="s">
        <v>5</v>
      </c>
    </row>
    <row r="5478" spans="1:3" ht="15.75" thickBot="1">
      <c r="A5478" s="6" t="s">
        <v>10419</v>
      </c>
      <c r="B5478" s="5" t="s">
        <v>10420</v>
      </c>
      <c r="C5478" s="3" t="s">
        <v>5</v>
      </c>
    </row>
    <row r="5479" spans="1:3" ht="15.75" thickBot="1">
      <c r="A5479" s="6" t="s">
        <v>10419</v>
      </c>
      <c r="B5479" s="5" t="s">
        <v>10421</v>
      </c>
      <c r="C5479" s="3" t="s">
        <v>5</v>
      </c>
    </row>
    <row r="5480" spans="1:3" ht="15.75" thickBot="1">
      <c r="A5480" s="6" t="s">
        <v>10422</v>
      </c>
      <c r="B5480" s="5" t="e">
        <f xml:space="preserve"> commercial efficiency</f>
        <v>#NAME?</v>
      </c>
      <c r="C5480" s="3" t="s">
        <v>5</v>
      </c>
    </row>
    <row r="5481" spans="1:3" ht="15.75" thickBot="1">
      <c r="A5481" s="6" t="s">
        <v>10423</v>
      </c>
      <c r="B5481" s="5" t="s">
        <v>10424</v>
      </c>
      <c r="C5481" s="3" t="s">
        <v>5</v>
      </c>
    </row>
    <row r="5482" spans="1:3" ht="15.75" thickBot="1">
      <c r="A5482" s="6" t="s">
        <v>10425</v>
      </c>
      <c r="B5482" s="5" t="s">
        <v>10426</v>
      </c>
      <c r="C5482" s="3" t="s">
        <v>5</v>
      </c>
    </row>
    <row r="5483" spans="1:3" ht="26.25" thickBot="1">
      <c r="A5483" s="6" t="s">
        <v>10427</v>
      </c>
      <c r="B5483" s="5" t="s">
        <v>10428</v>
      </c>
      <c r="C5483" s="3" t="s">
        <v>5</v>
      </c>
    </row>
    <row r="5484" spans="1:3" ht="26.25" thickBot="1">
      <c r="A5484" s="6" t="s">
        <v>10429</v>
      </c>
      <c r="B5484" s="5" t="s">
        <v>10430</v>
      </c>
      <c r="C5484" s="3" t="s">
        <v>5</v>
      </c>
    </row>
    <row r="5485" spans="1:3" ht="15.75" thickBot="1">
      <c r="A5485" s="6" t="s">
        <v>10431</v>
      </c>
      <c r="B5485" s="5" t="s">
        <v>10432</v>
      </c>
      <c r="C5485" s="3" t="s">
        <v>5</v>
      </c>
    </row>
    <row r="5486" spans="1:3" ht="15.75" thickBot="1">
      <c r="A5486" s="6" t="s">
        <v>10433</v>
      </c>
      <c r="B5486" s="5" t="s">
        <v>10434</v>
      </c>
      <c r="C5486" s="3" t="s">
        <v>5</v>
      </c>
    </row>
    <row r="5487" spans="1:3" ht="15.75" thickBot="1">
      <c r="A5487" s="6" t="s">
        <v>10435</v>
      </c>
      <c r="B5487" s="5" t="s">
        <v>10436</v>
      </c>
      <c r="C5487" s="3" t="s">
        <v>5</v>
      </c>
    </row>
    <row r="5488" spans="1:3">
      <c r="A5488" s="1" t="s">
        <v>10437</v>
      </c>
      <c r="B5488" s="2" t="s">
        <v>10438</v>
      </c>
      <c r="C5488" s="3" t="s">
        <v>5</v>
      </c>
    </row>
    <row r="5489" spans="1:3" ht="15.75" thickBot="1">
      <c r="A5489" s="4"/>
      <c r="B5489" s="5" t="s">
        <v>10439</v>
      </c>
      <c r="C5489" s="3" t="s">
        <v>5</v>
      </c>
    </row>
    <row r="5490" spans="1:3" ht="15.75" thickBot="1">
      <c r="A5490" s="6" t="s">
        <v>10437</v>
      </c>
      <c r="B5490" s="5" t="s">
        <v>10440</v>
      </c>
      <c r="C5490" s="3" t="s">
        <v>5</v>
      </c>
    </row>
    <row r="5491" spans="1:3" ht="15.75" thickBot="1">
      <c r="A5491" s="6" t="s">
        <v>10441</v>
      </c>
      <c r="B5491" s="5" t="s">
        <v>10442</v>
      </c>
      <c r="C5491" s="3" t="s">
        <v>5</v>
      </c>
    </row>
    <row r="5492" spans="1:3" ht="15.75" thickBot="1">
      <c r="A5492" s="6" t="s">
        <v>10443</v>
      </c>
      <c r="B5492" s="5" t="s">
        <v>10444</v>
      </c>
      <c r="C5492" s="3" t="s">
        <v>5</v>
      </c>
    </row>
    <row r="5493" spans="1:3" ht="15.75" thickBot="1">
      <c r="A5493" s="6" t="s">
        <v>10445</v>
      </c>
      <c r="B5493" s="5" t="s">
        <v>10446</v>
      </c>
      <c r="C5493" s="3" t="s">
        <v>5</v>
      </c>
    </row>
    <row r="5494" spans="1:3" ht="15.75" thickBot="1">
      <c r="A5494" s="6" t="s">
        <v>10447</v>
      </c>
      <c r="B5494" s="5" t="s">
        <v>10448</v>
      </c>
      <c r="C5494" s="3" t="s">
        <v>5</v>
      </c>
    </row>
    <row r="5495" spans="1:3">
      <c r="A5495" s="1" t="s">
        <v>10449</v>
      </c>
      <c r="B5495" s="2" t="s">
        <v>10450</v>
      </c>
      <c r="C5495" s="3" t="s">
        <v>5</v>
      </c>
    </row>
    <row r="5496" spans="1:3" ht="15.75" thickBot="1">
      <c r="A5496" s="4"/>
      <c r="B5496" s="5" t="s">
        <v>10451</v>
      </c>
      <c r="C5496" s="3" t="s">
        <v>5</v>
      </c>
    </row>
    <row r="5497" spans="1:3" ht="15.75" thickBot="1">
      <c r="A5497" s="6" t="s">
        <v>10452</v>
      </c>
      <c r="B5497" s="5" t="s">
        <v>10453</v>
      </c>
      <c r="C5497" s="3" t="s">
        <v>5</v>
      </c>
    </row>
    <row r="5498" spans="1:3" ht="15.75" thickBot="1">
      <c r="A5498" s="6" t="s">
        <v>10454</v>
      </c>
      <c r="B5498" s="5" t="s">
        <v>10455</v>
      </c>
      <c r="C5498" s="3" t="s">
        <v>5</v>
      </c>
    </row>
    <row r="5499" spans="1:3" ht="15.75" thickBot="1">
      <c r="A5499" s="6" t="s">
        <v>10456</v>
      </c>
      <c r="B5499" s="5" t="s">
        <v>10457</v>
      </c>
      <c r="C5499" s="3" t="s">
        <v>5</v>
      </c>
    </row>
    <row r="5500" spans="1:3" ht="15.75" thickBot="1">
      <c r="A5500" s="6" t="s">
        <v>10458</v>
      </c>
      <c r="B5500" s="5" t="s">
        <v>10459</v>
      </c>
      <c r="C5500" s="3" t="s">
        <v>5</v>
      </c>
    </row>
    <row r="5501" spans="1:3" ht="15.75" thickBot="1">
      <c r="A5501" s="6" t="s">
        <v>10460</v>
      </c>
      <c r="B5501" s="5" t="s">
        <v>10461</v>
      </c>
      <c r="C5501" s="3" t="s">
        <v>5</v>
      </c>
    </row>
    <row r="5502" spans="1:3">
      <c r="A5502" s="1" t="s">
        <v>10462</v>
      </c>
      <c r="B5502" s="2" t="s">
        <v>10463</v>
      </c>
      <c r="C5502" s="3" t="s">
        <v>5</v>
      </c>
    </row>
    <row r="5503" spans="1:3" ht="15.75" thickBot="1">
      <c r="A5503" s="4"/>
      <c r="B5503" s="5" t="s">
        <v>5473</v>
      </c>
      <c r="C5503" s="3" t="s">
        <v>5</v>
      </c>
    </row>
    <row r="5504" spans="1:3" ht="15.75" thickBot="1">
      <c r="A5504" s="6" t="s">
        <v>10464</v>
      </c>
      <c r="B5504" s="5" t="s">
        <v>10465</v>
      </c>
      <c r="C5504" s="3" t="s">
        <v>5</v>
      </c>
    </row>
    <row r="5505" spans="1:3" ht="15.75" thickBot="1">
      <c r="A5505" s="6" t="s">
        <v>10466</v>
      </c>
      <c r="B5505" s="5" t="s">
        <v>10467</v>
      </c>
      <c r="C5505" s="3" t="s">
        <v>5</v>
      </c>
    </row>
    <row r="5506" spans="1:3" ht="15.75" thickBot="1">
      <c r="A5506" s="6" t="s">
        <v>10468</v>
      </c>
      <c r="B5506" s="5" t="s">
        <v>10469</v>
      </c>
      <c r="C5506" s="3" t="s">
        <v>5</v>
      </c>
    </row>
    <row r="5507" spans="1:3" ht="15.75" thickBot="1">
      <c r="A5507" s="6" t="s">
        <v>10470</v>
      </c>
      <c r="B5507" s="5" t="s">
        <v>10471</v>
      </c>
      <c r="C5507" s="3" t="s">
        <v>5</v>
      </c>
    </row>
    <row r="5508" spans="1:3" ht="15.75" thickBot="1">
      <c r="A5508" s="6" t="s">
        <v>10472</v>
      </c>
      <c r="B5508" s="5" t="s">
        <v>10473</v>
      </c>
      <c r="C5508" s="3" t="s">
        <v>5</v>
      </c>
    </row>
    <row r="5509" spans="1:3" ht="15.75" thickBot="1">
      <c r="A5509" s="6" t="s">
        <v>10474</v>
      </c>
      <c r="B5509" s="5" t="s">
        <v>10475</v>
      </c>
      <c r="C5509" s="3" t="s">
        <v>5</v>
      </c>
    </row>
    <row r="5510" spans="1:3" ht="15.75" thickBot="1">
      <c r="A5510" s="6" t="s">
        <v>10476</v>
      </c>
      <c r="B5510" s="5" t="s">
        <v>10477</v>
      </c>
      <c r="C5510" s="3" t="s">
        <v>5</v>
      </c>
    </row>
    <row r="5511" spans="1:3" ht="15.75" thickBot="1">
      <c r="A5511" s="6" t="s">
        <v>10478</v>
      </c>
      <c r="B5511" s="5" t="s">
        <v>10479</v>
      </c>
      <c r="C5511" s="3" t="s">
        <v>5</v>
      </c>
    </row>
    <row r="5512" spans="1:3" ht="15.75" thickBot="1">
      <c r="A5512" s="6" t="s">
        <v>10480</v>
      </c>
      <c r="B5512" s="5" t="s">
        <v>10481</v>
      </c>
      <c r="C5512" s="3" t="s">
        <v>5</v>
      </c>
    </row>
    <row r="5513" spans="1:3" ht="15.75" thickBot="1">
      <c r="A5513" s="6" t="s">
        <v>10482</v>
      </c>
      <c r="B5513" s="5" t="s">
        <v>10483</v>
      </c>
      <c r="C5513" s="3" t="s">
        <v>5</v>
      </c>
    </row>
    <row r="5514" spans="1:3" ht="15.75" thickBot="1">
      <c r="A5514" s="6" t="s">
        <v>10484</v>
      </c>
      <c r="B5514" s="5" t="s">
        <v>10485</v>
      </c>
      <c r="C5514" s="3" t="s">
        <v>5</v>
      </c>
    </row>
    <row r="5515" spans="1:3" ht="15.75" thickBot="1">
      <c r="A5515" s="6" t="s">
        <v>10486</v>
      </c>
      <c r="B5515" s="5" t="s">
        <v>10487</v>
      </c>
      <c r="C5515" s="3" t="s">
        <v>5</v>
      </c>
    </row>
    <row r="5516" spans="1:3" ht="15.75" thickBot="1">
      <c r="A5516" s="6" t="s">
        <v>10488</v>
      </c>
      <c r="B5516" s="5" t="s">
        <v>10489</v>
      </c>
      <c r="C5516" s="3" t="s">
        <v>5</v>
      </c>
    </row>
    <row r="5517" spans="1:3" ht="39" thickBot="1">
      <c r="A5517" s="6" t="s">
        <v>10490</v>
      </c>
      <c r="B5517" s="5" t="s">
        <v>10491</v>
      </c>
      <c r="C5517" s="3" t="s">
        <v>5</v>
      </c>
    </row>
    <row r="5518" spans="1:3">
      <c r="A5518" s="1" t="s">
        <v>10492</v>
      </c>
      <c r="B5518" s="2" t="s">
        <v>10493</v>
      </c>
      <c r="C5518" s="3" t="s">
        <v>5</v>
      </c>
    </row>
    <row r="5519" spans="1:3" ht="15.75" thickBot="1">
      <c r="A5519" s="4"/>
      <c r="B5519" s="5" t="s">
        <v>7423</v>
      </c>
      <c r="C5519" s="3" t="s">
        <v>5</v>
      </c>
    </row>
    <row r="5520" spans="1:3">
      <c r="A5520" s="1" t="s">
        <v>10494</v>
      </c>
      <c r="B5520" s="2" t="s">
        <v>10495</v>
      </c>
      <c r="C5520" s="3" t="s">
        <v>5</v>
      </c>
    </row>
    <row r="5521" spans="1:3" ht="15.75" thickBot="1">
      <c r="A5521" s="4"/>
      <c r="B5521" s="5" t="e">
        <f xml:space="preserve"> noise figure</f>
        <v>#NAME?</v>
      </c>
      <c r="C5521" s="3" t="s">
        <v>5</v>
      </c>
    </row>
    <row r="5522" spans="1:3" ht="15.75" thickBot="1">
      <c r="A5522" s="6" t="s">
        <v>10496</v>
      </c>
      <c r="B5522" s="5" t="s">
        <v>10497</v>
      </c>
      <c r="C5522" s="3" t="s">
        <v>5</v>
      </c>
    </row>
    <row r="5523" spans="1:3" ht="15.75" thickBot="1">
      <c r="A5523" s="6" t="s">
        <v>10498</v>
      </c>
      <c r="B5523" s="5" t="s">
        <v>10499</v>
      </c>
      <c r="C5523" s="3" t="s">
        <v>5</v>
      </c>
    </row>
    <row r="5524" spans="1:3" ht="15.75" thickBot="1">
      <c r="A5524" s="6" t="s">
        <v>10500</v>
      </c>
      <c r="B5524" s="5" t="s">
        <v>10501</v>
      </c>
      <c r="C5524" s="3" t="s">
        <v>5</v>
      </c>
    </row>
    <row r="5525" spans="1:3" ht="15.75" thickBot="1">
      <c r="A5525" s="6" t="s">
        <v>10502</v>
      </c>
      <c r="B5525" s="5" t="s">
        <v>10503</v>
      </c>
      <c r="C5525" s="3" t="s">
        <v>5</v>
      </c>
    </row>
    <row r="5526" spans="1:3" ht="15.75" thickBot="1">
      <c r="A5526" s="6" t="s">
        <v>10504</v>
      </c>
      <c r="B5526" s="5" t="s">
        <v>10505</v>
      </c>
      <c r="C5526" s="3" t="s">
        <v>5</v>
      </c>
    </row>
    <row r="5527" spans="1:3" ht="15.75" thickBot="1">
      <c r="A5527" s="6" t="s">
        <v>10506</v>
      </c>
      <c r="B5527" s="5" t="s">
        <v>10507</v>
      </c>
      <c r="C5527" s="3" t="s">
        <v>5</v>
      </c>
    </row>
    <row r="5528" spans="1:3" ht="15.75" thickBot="1">
      <c r="A5528" s="6" t="s">
        <v>10508</v>
      </c>
      <c r="B5528" s="5" t="s">
        <v>10509</v>
      </c>
      <c r="C5528" s="3" t="s">
        <v>5</v>
      </c>
    </row>
    <row r="5529" spans="1:3" ht="15.75" thickBot="1">
      <c r="A5529" s="6" t="s">
        <v>10510</v>
      </c>
      <c r="B5529" s="5" t="s">
        <v>10511</v>
      </c>
      <c r="C5529" s="3" t="s">
        <v>5</v>
      </c>
    </row>
    <row r="5530" spans="1:3" ht="15.75" thickBot="1">
      <c r="A5530" s="6" t="s">
        <v>10512</v>
      </c>
      <c r="B5530" s="5" t="s">
        <v>10513</v>
      </c>
      <c r="C5530" s="3" t="s">
        <v>5</v>
      </c>
    </row>
    <row r="5531" spans="1:3" ht="15.75" thickBot="1">
      <c r="A5531" s="6" t="s">
        <v>10514</v>
      </c>
      <c r="B5531" s="5" t="s">
        <v>10515</v>
      </c>
      <c r="C5531" s="3" t="s">
        <v>5</v>
      </c>
    </row>
    <row r="5532" spans="1:3" ht="15.75" thickBot="1">
      <c r="A5532" s="6" t="s">
        <v>10516</v>
      </c>
      <c r="B5532" s="5" t="s">
        <v>10517</v>
      </c>
      <c r="C5532" s="3" t="s">
        <v>5</v>
      </c>
    </row>
    <row r="5533" spans="1:3" ht="15.75" thickBot="1">
      <c r="A5533" s="6" t="s">
        <v>10518</v>
      </c>
      <c r="B5533" s="5" t="s">
        <v>10519</v>
      </c>
      <c r="C5533" s="3" t="s">
        <v>5</v>
      </c>
    </row>
    <row r="5534" spans="1:3" ht="15.75" thickBot="1">
      <c r="A5534" s="6" t="s">
        <v>10520</v>
      </c>
      <c r="B5534" s="5" t="s">
        <v>10521</v>
      </c>
      <c r="C5534" s="3" t="s">
        <v>5</v>
      </c>
    </row>
    <row r="5535" spans="1:3" ht="15.75" thickBot="1">
      <c r="A5535" s="6" t="s">
        <v>10522</v>
      </c>
      <c r="B5535" s="5" t="s">
        <v>10523</v>
      </c>
      <c r="C5535" s="3" t="s">
        <v>5</v>
      </c>
    </row>
    <row r="5536" spans="1:3" ht="15.75" thickBot="1">
      <c r="A5536" s="6" t="s">
        <v>10524</v>
      </c>
      <c r="B5536" s="5" t="s">
        <v>10525</v>
      </c>
      <c r="C5536" s="3" t="s">
        <v>5</v>
      </c>
    </row>
    <row r="5537" spans="1:3" ht="15.75" thickBot="1">
      <c r="A5537" s="6" t="s">
        <v>10526</v>
      </c>
      <c r="B5537" s="5" t="s">
        <v>10527</v>
      </c>
      <c r="C5537" s="3" t="s">
        <v>5</v>
      </c>
    </row>
    <row r="5538" spans="1:3" ht="15.75" thickBot="1">
      <c r="A5538" s="6" t="s">
        <v>10528</v>
      </c>
      <c r="B5538" s="5" t="s">
        <v>10529</v>
      </c>
      <c r="C5538" s="3" t="s">
        <v>5</v>
      </c>
    </row>
    <row r="5539" spans="1:3" ht="15.75" thickBot="1">
      <c r="A5539" s="6" t="s">
        <v>10530</v>
      </c>
      <c r="B5539" s="5" t="s">
        <v>10531</v>
      </c>
      <c r="C5539" s="3" t="s">
        <v>5</v>
      </c>
    </row>
    <row r="5540" spans="1:3" ht="15.75" thickBot="1">
      <c r="A5540" s="6" t="s">
        <v>10532</v>
      </c>
      <c r="B5540" s="5" t="s">
        <v>10533</v>
      </c>
      <c r="C5540" s="3" t="s">
        <v>5</v>
      </c>
    </row>
    <row r="5541" spans="1:3" ht="15.75" thickBot="1">
      <c r="A5541" s="6" t="s">
        <v>10532</v>
      </c>
      <c r="B5541" s="5" t="s">
        <v>10533</v>
      </c>
      <c r="C5541" s="3" t="s">
        <v>5</v>
      </c>
    </row>
    <row r="5542" spans="1:3" ht="15.75" thickBot="1">
      <c r="A5542" s="6" t="s">
        <v>10534</v>
      </c>
      <c r="B5542" s="5" t="s">
        <v>10535</v>
      </c>
      <c r="C5542" s="3" t="s">
        <v>5</v>
      </c>
    </row>
    <row r="5543" spans="1:3" ht="15.75" thickBot="1">
      <c r="A5543" s="6" t="s">
        <v>10536</v>
      </c>
      <c r="B5543" s="5" t="s">
        <v>10537</v>
      </c>
      <c r="C5543" s="3" t="s">
        <v>5</v>
      </c>
    </row>
    <row r="5544" spans="1:3" ht="15.75" thickBot="1">
      <c r="A5544" s="6" t="s">
        <v>10538</v>
      </c>
      <c r="B5544" s="5" t="s">
        <v>10539</v>
      </c>
      <c r="C5544" s="3" t="s">
        <v>5</v>
      </c>
    </row>
    <row r="5545" spans="1:3" ht="15.75" thickBot="1">
      <c r="A5545" s="6" t="s">
        <v>10540</v>
      </c>
      <c r="B5545" s="5" t="s">
        <v>10541</v>
      </c>
      <c r="C5545" s="3" t="s">
        <v>5</v>
      </c>
    </row>
    <row r="5546" spans="1:3" ht="15.75" thickBot="1">
      <c r="A5546" s="6" t="s">
        <v>10542</v>
      </c>
      <c r="B5546" s="5" t="s">
        <v>10543</v>
      </c>
      <c r="C5546" s="3" t="s">
        <v>5</v>
      </c>
    </row>
    <row r="5547" spans="1:3" ht="15.75" thickBot="1">
      <c r="A5547" s="6" t="s">
        <v>10544</v>
      </c>
      <c r="B5547" s="5" t="s">
        <v>10545</v>
      </c>
      <c r="C5547" s="3" t="s">
        <v>5</v>
      </c>
    </row>
    <row r="5548" spans="1:3" ht="15.75" thickBot="1">
      <c r="A5548" s="6" t="s">
        <v>10546</v>
      </c>
      <c r="B5548" s="5" t="s">
        <v>10547</v>
      </c>
      <c r="C5548" s="3" t="s">
        <v>5</v>
      </c>
    </row>
    <row r="5549" spans="1:3" ht="15.75" thickBot="1">
      <c r="A5549" s="6" t="s">
        <v>10548</v>
      </c>
      <c r="B5549" s="5" t="s">
        <v>10549</v>
      </c>
      <c r="C5549" s="3" t="s">
        <v>5</v>
      </c>
    </row>
    <row r="5550" spans="1:3" ht="15.75" thickBot="1">
      <c r="A5550" s="6" t="s">
        <v>10550</v>
      </c>
      <c r="B5550" s="5" t="s">
        <v>10551</v>
      </c>
      <c r="C5550" s="3" t="s">
        <v>5</v>
      </c>
    </row>
    <row r="5551" spans="1:3" ht="15.75" thickBot="1">
      <c r="A5551" s="6" t="s">
        <v>10552</v>
      </c>
      <c r="B5551" s="5" t="s">
        <v>10553</v>
      </c>
      <c r="C5551" s="3" t="s">
        <v>5</v>
      </c>
    </row>
    <row r="5552" spans="1:3" ht="15.75" thickBot="1">
      <c r="A5552" s="6" t="s">
        <v>10554</v>
      </c>
      <c r="B5552" s="5" t="s">
        <v>988</v>
      </c>
      <c r="C5552" s="3" t="s">
        <v>5</v>
      </c>
    </row>
    <row r="5553" spans="1:3" ht="15.75" thickBot="1">
      <c r="A5553" s="6" t="s">
        <v>10555</v>
      </c>
      <c r="B5553" s="5" t="s">
        <v>10556</v>
      </c>
      <c r="C5553" s="3" t="s">
        <v>5</v>
      </c>
    </row>
    <row r="5554" spans="1:3" ht="15.75" thickBot="1">
      <c r="A5554" s="6" t="s">
        <v>10557</v>
      </c>
      <c r="B5554" s="5" t="s">
        <v>10558</v>
      </c>
      <c r="C5554" s="3" t="s">
        <v>5</v>
      </c>
    </row>
    <row r="5555" spans="1:3" ht="15.75" thickBot="1">
      <c r="A5555" s="6" t="s">
        <v>10559</v>
      </c>
      <c r="B5555" s="5" t="s">
        <v>10560</v>
      </c>
      <c r="C5555" s="3" t="s">
        <v>5</v>
      </c>
    </row>
    <row r="5556" spans="1:3" ht="15.75" thickBot="1">
      <c r="A5556" s="6" t="s">
        <v>10561</v>
      </c>
      <c r="B5556" s="5" t="s">
        <v>10562</v>
      </c>
      <c r="C5556" s="3" t="s">
        <v>5</v>
      </c>
    </row>
    <row r="5557" spans="1:3" ht="15.75" thickBot="1">
      <c r="A5557" s="6" t="s">
        <v>10563</v>
      </c>
      <c r="B5557" s="5" t="s">
        <v>10564</v>
      </c>
      <c r="C5557" s="3" t="s">
        <v>5</v>
      </c>
    </row>
    <row r="5558" spans="1:3" ht="15.75" thickBot="1">
      <c r="A5558" s="6" t="s">
        <v>10565</v>
      </c>
      <c r="B5558" s="5" t="s">
        <v>10566</v>
      </c>
      <c r="C5558" s="3" t="s">
        <v>5</v>
      </c>
    </row>
    <row r="5559" spans="1:3">
      <c r="A5559" s="1" t="s">
        <v>10567</v>
      </c>
      <c r="B5559" s="2" t="s">
        <v>10568</v>
      </c>
      <c r="C5559" s="3" t="s">
        <v>5</v>
      </c>
    </row>
    <row r="5560" spans="1:3" ht="15.75" thickBot="1">
      <c r="A5560" s="4"/>
      <c r="B5560" s="5" t="s">
        <v>10569</v>
      </c>
      <c r="C5560" s="3" t="s">
        <v>5</v>
      </c>
    </row>
    <row r="5561" spans="1:3" ht="15.75" thickBot="1">
      <c r="A5561" s="6" t="s">
        <v>10570</v>
      </c>
      <c r="B5561" s="5" t="s">
        <v>10571</v>
      </c>
      <c r="C5561" s="3" t="s">
        <v>5</v>
      </c>
    </row>
    <row r="5562" spans="1:3" ht="15.75" thickBot="1">
      <c r="A5562" s="6" t="s">
        <v>10572</v>
      </c>
      <c r="B5562" s="5" t="s">
        <v>10573</v>
      </c>
      <c r="C5562" s="3" t="s">
        <v>5</v>
      </c>
    </row>
    <row r="5563" spans="1:3" ht="15.75" thickBot="1">
      <c r="A5563" s="6" t="s">
        <v>10574</v>
      </c>
      <c r="B5563" s="5" t="s">
        <v>10575</v>
      </c>
      <c r="C5563" s="3" t="s">
        <v>5</v>
      </c>
    </row>
    <row r="5564" spans="1:3" ht="15.75" thickBot="1">
      <c r="A5564" s="6" t="s">
        <v>10576</v>
      </c>
      <c r="B5564" s="5" t="s">
        <v>10577</v>
      </c>
      <c r="C5564" s="3" t="s">
        <v>5</v>
      </c>
    </row>
    <row r="5565" spans="1:3" ht="15.75" thickBot="1">
      <c r="A5565" s="6" t="s">
        <v>10578</v>
      </c>
      <c r="B5565" s="5" t="s">
        <v>10579</v>
      </c>
      <c r="C5565" s="3" t="s">
        <v>5</v>
      </c>
    </row>
    <row r="5566" spans="1:3" ht="15.75" thickBot="1">
      <c r="A5566" s="6" t="s">
        <v>10580</v>
      </c>
      <c r="B5566" s="5" t="s">
        <v>10581</v>
      </c>
      <c r="C5566" s="3" t="s">
        <v>5</v>
      </c>
    </row>
    <row r="5567" spans="1:3" ht="15.75" thickBot="1">
      <c r="A5567" s="6" t="s">
        <v>10582</v>
      </c>
      <c r="B5567" s="5" t="s">
        <v>10583</v>
      </c>
      <c r="C5567" s="3" t="s">
        <v>5</v>
      </c>
    </row>
    <row r="5568" spans="1:3" ht="15.75" thickBot="1">
      <c r="A5568" s="6" t="s">
        <v>10584</v>
      </c>
      <c r="B5568" s="5" t="s">
        <v>10585</v>
      </c>
      <c r="C5568" s="3" t="s">
        <v>5</v>
      </c>
    </row>
    <row r="5569" spans="1:3" ht="15.75" thickBot="1">
      <c r="A5569" s="6" t="s">
        <v>10586</v>
      </c>
      <c r="B5569" s="5" t="e">
        <f xml:space="preserve"> accelerating period</f>
        <v>#NAME?</v>
      </c>
      <c r="C5569" s="3" t="s">
        <v>5</v>
      </c>
    </row>
    <row r="5570" spans="1:3">
      <c r="A5570" s="1" t="s">
        <v>10587</v>
      </c>
      <c r="B5570" s="2" t="s">
        <v>10588</v>
      </c>
      <c r="C5570" s="3" t="s">
        <v>5</v>
      </c>
    </row>
    <row r="5571" spans="1:3" ht="15.75" thickBot="1">
      <c r="A5571" s="4"/>
      <c r="B5571" s="5" t="s">
        <v>7423</v>
      </c>
      <c r="C5571" s="3" t="s">
        <v>5</v>
      </c>
    </row>
    <row r="5572" spans="1:3" ht="15.75" thickBot="1">
      <c r="A5572" s="6" t="s">
        <v>10589</v>
      </c>
      <c r="B5572" s="5" t="s">
        <v>10590</v>
      </c>
      <c r="C5572" s="3" t="s">
        <v>5</v>
      </c>
    </row>
    <row r="5573" spans="1:3" ht="15.75" thickBot="1">
      <c r="A5573" s="6" t="s">
        <v>10591</v>
      </c>
      <c r="B5573" s="5" t="s">
        <v>10592</v>
      </c>
      <c r="C5573" s="3" t="s">
        <v>5</v>
      </c>
    </row>
    <row r="5574" spans="1:3" ht="15.75" thickBot="1">
      <c r="A5574" s="6" t="s">
        <v>10593</v>
      </c>
      <c r="B5574" s="5" t="s">
        <v>10594</v>
      </c>
      <c r="C5574" s="3" t="s">
        <v>5</v>
      </c>
    </row>
    <row r="5575" spans="1:3" ht="15.75" thickBot="1">
      <c r="A5575" s="6" t="s">
        <v>10595</v>
      </c>
      <c r="B5575" s="5" t="s">
        <v>10596</v>
      </c>
      <c r="C5575" s="3" t="s">
        <v>5</v>
      </c>
    </row>
    <row r="5576" spans="1:3" ht="15.75" thickBot="1">
      <c r="A5576" s="6" t="s">
        <v>10597</v>
      </c>
      <c r="B5576" s="5" t="s">
        <v>10598</v>
      </c>
      <c r="C5576" s="3" t="s">
        <v>5</v>
      </c>
    </row>
    <row r="5577" spans="1:3">
      <c r="A5577" s="1" t="s">
        <v>10599</v>
      </c>
      <c r="B5577" s="2" t="s">
        <v>10600</v>
      </c>
      <c r="C5577" s="3" t="s">
        <v>5</v>
      </c>
    </row>
    <row r="5578" spans="1:3" ht="15.75" thickBot="1">
      <c r="A5578" s="4"/>
      <c r="B5578" s="5" t="s">
        <v>5473</v>
      </c>
      <c r="C5578" s="3" t="s">
        <v>5</v>
      </c>
    </row>
    <row r="5579" spans="1:3" ht="15.75" thickBot="1">
      <c r="A5579" s="6" t="s">
        <v>10601</v>
      </c>
      <c r="B5579" s="5" t="s">
        <v>10602</v>
      </c>
      <c r="C5579" s="3" t="s">
        <v>5</v>
      </c>
    </row>
    <row r="5580" spans="1:3" ht="15.75" thickBot="1">
      <c r="A5580" s="6" t="s">
        <v>10603</v>
      </c>
      <c r="B5580" s="5" t="s">
        <v>10604</v>
      </c>
      <c r="C5580" s="3" t="s">
        <v>5</v>
      </c>
    </row>
    <row r="5581" spans="1:3" ht="15.75" thickBot="1">
      <c r="A5581" s="6" t="s">
        <v>10605</v>
      </c>
      <c r="B5581" s="5" t="s">
        <v>10606</v>
      </c>
      <c r="C5581" s="3" t="s">
        <v>5</v>
      </c>
    </row>
    <row r="5582" spans="1:3" ht="15.75" thickBot="1">
      <c r="A5582" s="6" t="s">
        <v>10607</v>
      </c>
      <c r="B5582" s="5" t="s">
        <v>10608</v>
      </c>
      <c r="C5582" s="3" t="s">
        <v>5</v>
      </c>
    </row>
    <row r="5583" spans="1:3" ht="15.75" thickBot="1">
      <c r="A5583" s="6" t="s">
        <v>10609</v>
      </c>
      <c r="B5583" s="5" t="s">
        <v>10610</v>
      </c>
      <c r="C5583" s="3" t="s">
        <v>5</v>
      </c>
    </row>
    <row r="5584" spans="1:3" ht="15.75" thickBot="1">
      <c r="A5584" s="6" t="s">
        <v>10611</v>
      </c>
      <c r="B5584" s="5" t="s">
        <v>10612</v>
      </c>
      <c r="C5584" s="3" t="s">
        <v>5</v>
      </c>
    </row>
    <row r="5585" spans="1:3" ht="15.75" thickBot="1">
      <c r="A5585" s="6" t="s">
        <v>10613</v>
      </c>
      <c r="B5585" s="5" t="s">
        <v>10614</v>
      </c>
      <c r="C5585" s="3" t="s">
        <v>5</v>
      </c>
    </row>
    <row r="5586" spans="1:3" ht="15.75" thickBot="1">
      <c r="A5586" s="6" t="s">
        <v>10615</v>
      </c>
      <c r="B5586" s="5" t="s">
        <v>10616</v>
      </c>
      <c r="C5586" s="3" t="s">
        <v>5</v>
      </c>
    </row>
    <row r="5587" spans="1:3" ht="15.75" thickBot="1">
      <c r="A5587" s="6" t="s">
        <v>10617</v>
      </c>
      <c r="B5587" s="5" t="s">
        <v>10618</v>
      </c>
      <c r="C5587" s="3" t="s">
        <v>5</v>
      </c>
    </row>
    <row r="5588" spans="1:3" ht="15.75" thickBot="1">
      <c r="A5588" s="6" t="s">
        <v>10619</v>
      </c>
      <c r="B5588" s="5" t="s">
        <v>10620</v>
      </c>
      <c r="C5588" s="3" t="s">
        <v>5</v>
      </c>
    </row>
    <row r="5589" spans="1:3" ht="15.75" thickBot="1">
      <c r="A5589" s="6" t="s">
        <v>10621</v>
      </c>
      <c r="B5589" s="5" t="s">
        <v>10622</v>
      </c>
      <c r="C5589" s="3" t="s">
        <v>5</v>
      </c>
    </row>
    <row r="5590" spans="1:3" ht="15.75" thickBot="1">
      <c r="A5590" s="6" t="s">
        <v>10623</v>
      </c>
      <c r="B5590" s="5" t="s">
        <v>10624</v>
      </c>
      <c r="C5590" s="3" t="s">
        <v>5</v>
      </c>
    </row>
    <row r="5591" spans="1:3" ht="15.75" thickBot="1">
      <c r="A5591" s="6" t="s">
        <v>10625</v>
      </c>
      <c r="B5591" s="5" t="s">
        <v>10626</v>
      </c>
      <c r="C5591" s="3" t="s">
        <v>5</v>
      </c>
    </row>
    <row r="5592" spans="1:3" ht="15.75" thickBot="1">
      <c r="A5592" s="6" t="s">
        <v>10627</v>
      </c>
      <c r="B5592" s="5" t="s">
        <v>10628</v>
      </c>
      <c r="C5592" s="3" t="s">
        <v>5</v>
      </c>
    </row>
    <row r="5593" spans="1:3">
      <c r="A5593" s="1" t="s">
        <v>10629</v>
      </c>
      <c r="B5593" s="2" t="s">
        <v>10630</v>
      </c>
      <c r="C5593" s="3" t="s">
        <v>5</v>
      </c>
    </row>
    <row r="5594" spans="1:3" ht="15.75" thickBot="1">
      <c r="A5594" s="4"/>
      <c r="B5594" s="5" t="e">
        <f xml:space="preserve"> off load tap changer</f>
        <v>#NAME?</v>
      </c>
      <c r="C5594" s="3" t="s">
        <v>5</v>
      </c>
    </row>
    <row r="5595" spans="1:3" ht="15.75" thickBot="1">
      <c r="A5595" s="6" t="s">
        <v>10631</v>
      </c>
      <c r="B5595" s="5" t="s">
        <v>10632</v>
      </c>
      <c r="C5595" s="3" t="s">
        <v>5</v>
      </c>
    </row>
    <row r="5596" spans="1:3" ht="15.75" thickBot="1">
      <c r="A5596" s="6" t="s">
        <v>10633</v>
      </c>
      <c r="B5596" s="5" t="s">
        <v>10634</v>
      </c>
      <c r="C5596" s="3" t="s">
        <v>5</v>
      </c>
    </row>
    <row r="5597" spans="1:3" ht="15.75" thickBot="1">
      <c r="A5597" s="6" t="s">
        <v>10635</v>
      </c>
      <c r="B5597" s="5" t="s">
        <v>10636</v>
      </c>
      <c r="C5597" s="3" t="s">
        <v>5</v>
      </c>
    </row>
    <row r="5598" spans="1:3" ht="15.75" thickBot="1">
      <c r="A5598" s="6" t="s">
        <v>10637</v>
      </c>
      <c r="B5598" s="5" t="s">
        <v>10638</v>
      </c>
      <c r="C5598" s="3" t="s">
        <v>5</v>
      </c>
    </row>
    <row r="5599" spans="1:3" ht="15.75" thickBot="1">
      <c r="A5599" s="6" t="s">
        <v>10639</v>
      </c>
      <c r="B5599" s="5" t="s">
        <v>10640</v>
      </c>
      <c r="C5599" s="3" t="s">
        <v>5</v>
      </c>
    </row>
    <row r="5600" spans="1:3" ht="15.75" thickBot="1">
      <c r="A5600" s="6" t="s">
        <v>10641</v>
      </c>
      <c r="B5600" s="5" t="s">
        <v>10642</v>
      </c>
      <c r="C5600" s="3" t="s">
        <v>5</v>
      </c>
    </row>
    <row r="5601" spans="1:3" ht="15.75" thickBot="1">
      <c r="A5601" s="6" t="s">
        <v>10643</v>
      </c>
      <c r="B5601" s="5" t="s">
        <v>10644</v>
      </c>
      <c r="C5601" s="3" t="s">
        <v>5</v>
      </c>
    </row>
    <row r="5602" spans="1:3">
      <c r="A5602" s="1" t="s">
        <v>10645</v>
      </c>
      <c r="B5602" s="2" t="s">
        <v>10646</v>
      </c>
      <c r="C5602" s="3" t="s">
        <v>5</v>
      </c>
    </row>
    <row r="5603" spans="1:3" ht="15.75" thickBot="1">
      <c r="A5603" s="4"/>
      <c r="B5603" s="5" t="s">
        <v>10647</v>
      </c>
      <c r="C5603" s="3" t="s">
        <v>5</v>
      </c>
    </row>
    <row r="5604" spans="1:3" ht="15.75" thickBot="1">
      <c r="A5604" s="6" t="s">
        <v>10648</v>
      </c>
      <c r="B5604" s="5" t="s">
        <v>10649</v>
      </c>
      <c r="C5604" s="3" t="s">
        <v>5</v>
      </c>
    </row>
    <row r="5605" spans="1:3" ht="15.75" thickBot="1">
      <c r="A5605" s="6" t="s">
        <v>10650</v>
      </c>
      <c r="B5605" s="5" t="s">
        <v>10651</v>
      </c>
      <c r="C5605" s="3" t="s">
        <v>5</v>
      </c>
    </row>
    <row r="5606" spans="1:3" ht="15.75" thickBot="1">
      <c r="A5606" s="6" t="s">
        <v>10652</v>
      </c>
      <c r="B5606" s="5" t="s">
        <v>10653</v>
      </c>
      <c r="C5606" s="3" t="s">
        <v>5</v>
      </c>
    </row>
    <row r="5607" spans="1:3" ht="15.75" thickBot="1">
      <c r="A5607" s="6" t="s">
        <v>10654</v>
      </c>
      <c r="B5607" s="5" t="s">
        <v>10655</v>
      </c>
      <c r="C5607" s="3" t="s">
        <v>5</v>
      </c>
    </row>
    <row r="5608" spans="1:3" ht="15.75" thickBot="1">
      <c r="A5608" s="6" t="s">
        <v>10656</v>
      </c>
      <c r="B5608" s="5" t="s">
        <v>10657</v>
      </c>
      <c r="C5608" s="3" t="s">
        <v>5</v>
      </c>
    </row>
    <row r="5609" spans="1:3" ht="15.75" thickBot="1">
      <c r="A5609" s="6" t="s">
        <v>10658</v>
      </c>
      <c r="B5609" s="5" t="s">
        <v>10659</v>
      </c>
      <c r="C5609" s="3" t="s">
        <v>5</v>
      </c>
    </row>
    <row r="5610" spans="1:3" ht="15.75" thickBot="1">
      <c r="A5610" s="6" t="s">
        <v>10660</v>
      </c>
      <c r="B5610" s="5" t="s">
        <v>10661</v>
      </c>
      <c r="C5610" s="3" t="s">
        <v>5</v>
      </c>
    </row>
    <row r="5611" spans="1:3" ht="15.75" thickBot="1">
      <c r="A5611" s="6" t="s">
        <v>10662</v>
      </c>
      <c r="B5611" s="5" t="s">
        <v>10663</v>
      </c>
      <c r="C5611" s="3" t="s">
        <v>5</v>
      </c>
    </row>
    <row r="5612" spans="1:3" ht="15.75" thickBot="1">
      <c r="A5612" s="6" t="s">
        <v>10664</v>
      </c>
      <c r="B5612" s="5" t="s">
        <v>10665</v>
      </c>
      <c r="C5612" s="3" t="s">
        <v>5</v>
      </c>
    </row>
    <row r="5613" spans="1:3" ht="15.75" thickBot="1">
      <c r="A5613" s="6" t="s">
        <v>10666</v>
      </c>
      <c r="B5613" s="5" t="s">
        <v>10667</v>
      </c>
      <c r="C5613" s="3" t="s">
        <v>5</v>
      </c>
    </row>
    <row r="5614" spans="1:3" ht="15.75" thickBot="1">
      <c r="A5614" s="6" t="s">
        <v>10668</v>
      </c>
      <c r="B5614" s="5" t="s">
        <v>10669</v>
      </c>
      <c r="C5614" s="3" t="s">
        <v>5</v>
      </c>
    </row>
    <row r="5615" spans="1:3" ht="15.75" thickBot="1">
      <c r="A5615" s="6" t="s">
        <v>10670</v>
      </c>
      <c r="B5615" s="5" t="s">
        <v>10671</v>
      </c>
      <c r="C5615" s="3" t="s">
        <v>5</v>
      </c>
    </row>
    <row r="5616" spans="1:3" ht="15.75" thickBot="1">
      <c r="A5616" s="6" t="s">
        <v>10672</v>
      </c>
      <c r="B5616" s="5" t="s">
        <v>10673</v>
      </c>
      <c r="C5616" s="3" t="s">
        <v>5</v>
      </c>
    </row>
    <row r="5617" spans="1:3" ht="15.75" thickBot="1">
      <c r="A5617" s="6" t="s">
        <v>10674</v>
      </c>
      <c r="B5617" s="5" t="s">
        <v>10675</v>
      </c>
      <c r="C5617" s="3" t="s">
        <v>5</v>
      </c>
    </row>
    <row r="5618" spans="1:3" ht="15.75" thickBot="1">
      <c r="A5618" s="6" t="s">
        <v>10676</v>
      </c>
      <c r="B5618" s="5" t="s">
        <v>10677</v>
      </c>
      <c r="C5618" s="3" t="s">
        <v>5</v>
      </c>
    </row>
    <row r="5619" spans="1:3" ht="15.75" thickBot="1">
      <c r="A5619" s="6" t="s">
        <v>10678</v>
      </c>
      <c r="B5619" s="5" t="s">
        <v>10679</v>
      </c>
      <c r="C5619" s="3" t="s">
        <v>5</v>
      </c>
    </row>
    <row r="5620" spans="1:3" ht="15.75" thickBot="1">
      <c r="A5620" s="6" t="s">
        <v>10680</v>
      </c>
      <c r="B5620" s="5" t="s">
        <v>10681</v>
      </c>
      <c r="C5620" s="3" t="s">
        <v>5</v>
      </c>
    </row>
    <row r="5621" spans="1:3" ht="15.75" thickBot="1">
      <c r="A5621" s="6" t="s">
        <v>10682</v>
      </c>
      <c r="B5621" s="5" t="s">
        <v>10683</v>
      </c>
      <c r="C5621" s="3" t="s">
        <v>5</v>
      </c>
    </row>
    <row r="5622" spans="1:3" ht="15.75" thickBot="1">
      <c r="A5622" s="6" t="s">
        <v>10684</v>
      </c>
      <c r="B5622" s="5" t="s">
        <v>10685</v>
      </c>
      <c r="C5622" s="3" t="s">
        <v>5</v>
      </c>
    </row>
    <row r="5623" spans="1:3" ht="15.75" thickBot="1">
      <c r="A5623" s="6" t="s">
        <v>10686</v>
      </c>
      <c r="B5623" s="5" t="s">
        <v>10687</v>
      </c>
      <c r="C5623" s="3" t="s">
        <v>5</v>
      </c>
    </row>
    <row r="5624" spans="1:3" ht="15.75" thickBot="1">
      <c r="A5624" s="6" t="s">
        <v>10688</v>
      </c>
      <c r="B5624" s="5" t="s">
        <v>10689</v>
      </c>
      <c r="C5624" s="3" t="s">
        <v>5</v>
      </c>
    </row>
    <row r="5625" spans="1:3" ht="15.75" thickBot="1">
      <c r="A5625" s="6" t="s">
        <v>10690</v>
      </c>
      <c r="B5625" s="5" t="s">
        <v>10691</v>
      </c>
      <c r="C5625" s="3" t="s">
        <v>5</v>
      </c>
    </row>
    <row r="5626" spans="1:3" ht="15.75" thickBot="1">
      <c r="A5626" s="6" t="s">
        <v>10692</v>
      </c>
      <c r="B5626" s="5" t="s">
        <v>10693</v>
      </c>
      <c r="C5626" s="3" t="s">
        <v>5</v>
      </c>
    </row>
    <row r="5627" spans="1:3" ht="15.75" thickBot="1">
      <c r="A5627" s="6" t="s">
        <v>10694</v>
      </c>
      <c r="B5627" s="5" t="s">
        <v>10695</v>
      </c>
      <c r="C5627" s="3" t="s">
        <v>5</v>
      </c>
    </row>
    <row r="5628" spans="1:3" ht="15.75" thickBot="1">
      <c r="A5628" s="6" t="s">
        <v>10696</v>
      </c>
      <c r="B5628" s="5" t="s">
        <v>10697</v>
      </c>
      <c r="C5628" s="3" t="s">
        <v>5</v>
      </c>
    </row>
    <row r="5629" spans="1:3" ht="15.75" thickBot="1">
      <c r="A5629" s="6" t="s">
        <v>10698</v>
      </c>
      <c r="B5629" s="5" t="s">
        <v>10699</v>
      </c>
      <c r="C5629" s="3" t="s">
        <v>5</v>
      </c>
    </row>
    <row r="5630" spans="1:3" ht="15.75" thickBot="1">
      <c r="A5630" s="6" t="s">
        <v>10700</v>
      </c>
      <c r="B5630" s="5" t="s">
        <v>10701</v>
      </c>
      <c r="C5630" s="3" t="s">
        <v>5</v>
      </c>
    </row>
    <row r="5631" spans="1:3" ht="15.75" thickBot="1">
      <c r="A5631" s="6" t="s">
        <v>10702</v>
      </c>
      <c r="B5631" s="5" t="s">
        <v>10703</v>
      </c>
      <c r="C5631" s="3" t="s">
        <v>5</v>
      </c>
    </row>
    <row r="5632" spans="1:3" ht="15.75" thickBot="1">
      <c r="A5632" s="6" t="s">
        <v>10704</v>
      </c>
      <c r="B5632" s="5" t="s">
        <v>10705</v>
      </c>
      <c r="C5632" s="3" t="s">
        <v>5</v>
      </c>
    </row>
    <row r="5633" spans="1:3" ht="15.75" thickBot="1">
      <c r="A5633" s="6" t="s">
        <v>10706</v>
      </c>
      <c r="B5633" s="5" t="s">
        <v>10707</v>
      </c>
      <c r="C5633" s="3" t="s">
        <v>5</v>
      </c>
    </row>
    <row r="5634" spans="1:3" ht="15.75" thickBot="1">
      <c r="A5634" s="6" t="s">
        <v>10708</v>
      </c>
      <c r="B5634" s="5" t="s">
        <v>10709</v>
      </c>
      <c r="C5634" s="3" t="s">
        <v>5</v>
      </c>
    </row>
    <row r="5635" spans="1:3" ht="15.75" thickBot="1">
      <c r="A5635" s="6" t="s">
        <v>10710</v>
      </c>
      <c r="B5635" s="5" t="s">
        <v>10711</v>
      </c>
      <c r="C5635" s="3" t="s">
        <v>5</v>
      </c>
    </row>
    <row r="5636" spans="1:3" ht="15.75" thickBot="1">
      <c r="A5636" s="6" t="s">
        <v>10712</v>
      </c>
      <c r="B5636" s="5" t="s">
        <v>10713</v>
      </c>
      <c r="C5636" s="3" t="s">
        <v>5</v>
      </c>
    </row>
    <row r="5637" spans="1:3" ht="15.75" thickBot="1">
      <c r="A5637" s="6" t="s">
        <v>10714</v>
      </c>
      <c r="B5637" s="5" t="s">
        <v>10715</v>
      </c>
      <c r="C5637" s="3" t="s">
        <v>5</v>
      </c>
    </row>
    <row r="5638" spans="1:3" ht="15.75" thickBot="1">
      <c r="A5638" s="6" t="s">
        <v>10716</v>
      </c>
      <c r="B5638" s="5" t="s">
        <v>10717</v>
      </c>
      <c r="C5638" s="3" t="s">
        <v>5</v>
      </c>
    </row>
    <row r="5639" spans="1:3" ht="15.75" thickBot="1">
      <c r="A5639" s="6" t="s">
        <v>10718</v>
      </c>
      <c r="B5639" s="5" t="s">
        <v>10719</v>
      </c>
      <c r="C5639" s="3" t="s">
        <v>5</v>
      </c>
    </row>
    <row r="5640" spans="1:3" ht="15.75" thickBot="1">
      <c r="A5640" s="6" t="s">
        <v>10720</v>
      </c>
      <c r="B5640" s="5" t="s">
        <v>10721</v>
      </c>
      <c r="C5640" s="3" t="s">
        <v>5</v>
      </c>
    </row>
    <row r="5641" spans="1:3" ht="15.75" thickBot="1">
      <c r="A5641" s="6" t="s">
        <v>10722</v>
      </c>
      <c r="B5641" s="5" t="s">
        <v>10723</v>
      </c>
      <c r="C5641" s="3" t="s">
        <v>5</v>
      </c>
    </row>
    <row r="5642" spans="1:3" ht="15.75" thickBot="1">
      <c r="A5642" s="6" t="s">
        <v>10724</v>
      </c>
      <c r="B5642" s="5" t="s">
        <v>10725</v>
      </c>
      <c r="C5642" s="3" t="s">
        <v>5</v>
      </c>
    </row>
    <row r="5643" spans="1:3">
      <c r="A5643" s="1" t="s">
        <v>10726</v>
      </c>
      <c r="B5643" s="2" t="s">
        <v>10727</v>
      </c>
      <c r="C5643" s="3" t="s">
        <v>5</v>
      </c>
    </row>
    <row r="5644" spans="1:3" ht="26.25" thickBot="1">
      <c r="A5644" s="4"/>
      <c r="B5644" s="5" t="s">
        <v>10728</v>
      </c>
      <c r="C5644" s="3" t="s">
        <v>5</v>
      </c>
    </row>
    <row r="5645" spans="1:3" ht="15.75" thickBot="1">
      <c r="A5645" s="6" t="s">
        <v>10729</v>
      </c>
      <c r="B5645" s="5" t="s">
        <v>10727</v>
      </c>
      <c r="C5645" s="3" t="s">
        <v>5</v>
      </c>
    </row>
    <row r="5646" spans="1:3" ht="15.75" thickBot="1">
      <c r="A5646" s="6" t="s">
        <v>10730</v>
      </c>
      <c r="B5646" s="5" t="s">
        <v>10731</v>
      </c>
      <c r="C5646" s="3" t="s">
        <v>5</v>
      </c>
    </row>
    <row r="5647" spans="1:3" ht="15.75" thickBot="1">
      <c r="A5647" s="6" t="s">
        <v>10732</v>
      </c>
      <c r="B5647" s="5" t="s">
        <v>10733</v>
      </c>
      <c r="C5647" s="3" t="s">
        <v>5</v>
      </c>
    </row>
    <row r="5648" spans="1:3" ht="15.75" thickBot="1">
      <c r="A5648" s="6" t="s">
        <v>10734</v>
      </c>
      <c r="B5648" s="5" t="s">
        <v>10735</v>
      </c>
      <c r="C5648" s="3" t="s">
        <v>5</v>
      </c>
    </row>
    <row r="5649" spans="1:3" ht="15.75" thickBot="1">
      <c r="A5649" s="6" t="s">
        <v>10736</v>
      </c>
      <c r="B5649" s="5" t="s">
        <v>10737</v>
      </c>
      <c r="C5649" s="3" t="s">
        <v>5</v>
      </c>
    </row>
    <row r="5650" spans="1:3" ht="15.75" thickBot="1">
      <c r="A5650" s="6" t="s">
        <v>10738</v>
      </c>
      <c r="B5650" s="5" t="s">
        <v>10739</v>
      </c>
      <c r="C5650" s="3" t="s">
        <v>5</v>
      </c>
    </row>
    <row r="5651" spans="1:3" ht="15.75" thickBot="1">
      <c r="A5651" s="6" t="s">
        <v>10740</v>
      </c>
      <c r="B5651" s="5" t="s">
        <v>10741</v>
      </c>
      <c r="C5651" s="3" t="s">
        <v>5</v>
      </c>
    </row>
    <row r="5652" spans="1:3" ht="15.75" thickBot="1">
      <c r="A5652" s="6" t="s">
        <v>10742</v>
      </c>
      <c r="B5652" s="5" t="s">
        <v>10743</v>
      </c>
      <c r="C5652" s="3" t="s">
        <v>5</v>
      </c>
    </row>
    <row r="5653" spans="1:3" ht="15.75" thickBot="1">
      <c r="A5653" s="6" t="s">
        <v>10744</v>
      </c>
      <c r="B5653" s="5" t="s">
        <v>10745</v>
      </c>
      <c r="C5653" s="3" t="s">
        <v>5</v>
      </c>
    </row>
    <row r="5654" spans="1:3" ht="15.75" thickBot="1">
      <c r="A5654" s="6" t="s">
        <v>10746</v>
      </c>
      <c r="B5654" s="5" t="s">
        <v>10747</v>
      </c>
      <c r="C5654" s="3" t="s">
        <v>5</v>
      </c>
    </row>
    <row r="5655" spans="1:3" ht="15.75" thickBot="1">
      <c r="A5655" s="6" t="s">
        <v>10748</v>
      </c>
      <c r="B5655" s="5" t="s">
        <v>10749</v>
      </c>
      <c r="C5655" s="3" t="s">
        <v>5</v>
      </c>
    </row>
    <row r="5656" spans="1:3" ht="15.75" thickBot="1">
      <c r="A5656" s="6" t="s">
        <v>10750</v>
      </c>
      <c r="B5656" s="5" t="s">
        <v>10751</v>
      </c>
      <c r="C5656" s="3" t="s">
        <v>5</v>
      </c>
    </row>
    <row r="5657" spans="1:3" ht="15.75" thickBot="1">
      <c r="A5657" s="6" t="s">
        <v>10752</v>
      </c>
      <c r="B5657" s="5" t="s">
        <v>10753</v>
      </c>
      <c r="C5657" s="3" t="s">
        <v>5</v>
      </c>
    </row>
    <row r="5658" spans="1:3" ht="15.75" thickBot="1">
      <c r="A5658" s="6" t="s">
        <v>10754</v>
      </c>
      <c r="B5658" s="5" t="s">
        <v>10755</v>
      </c>
      <c r="C5658" s="3" t="s">
        <v>5</v>
      </c>
    </row>
    <row r="5659" spans="1:3" ht="15.75" thickBot="1">
      <c r="A5659" s="6" t="s">
        <v>10756</v>
      </c>
      <c r="B5659" s="5" t="s">
        <v>10757</v>
      </c>
      <c r="C5659" s="3" t="s">
        <v>5</v>
      </c>
    </row>
    <row r="5660" spans="1:3" ht="15.75" thickBot="1">
      <c r="A5660" s="6" t="s">
        <v>10758</v>
      </c>
      <c r="B5660" s="5" t="s">
        <v>10759</v>
      </c>
      <c r="C5660" s="3" t="s">
        <v>5</v>
      </c>
    </row>
    <row r="5661" spans="1:3" ht="15.75" thickBot="1">
      <c r="A5661" s="6" t="s">
        <v>10760</v>
      </c>
      <c r="B5661" s="5" t="s">
        <v>10761</v>
      </c>
      <c r="C5661" s="3" t="s">
        <v>5</v>
      </c>
    </row>
    <row r="5662" spans="1:3" ht="15.75" thickBot="1">
      <c r="A5662" s="6" t="s">
        <v>10762</v>
      </c>
      <c r="B5662" s="5" t="s">
        <v>10763</v>
      </c>
      <c r="C5662" s="3" t="s">
        <v>5</v>
      </c>
    </row>
    <row r="5663" spans="1:3" ht="26.25" thickBot="1">
      <c r="A5663" s="6" t="s">
        <v>10764</v>
      </c>
      <c r="B5663" s="5" t="s">
        <v>10765</v>
      </c>
      <c r="C5663" s="3" t="s">
        <v>5</v>
      </c>
    </row>
    <row r="5664" spans="1:3" ht="15.75" thickBot="1">
      <c r="A5664" s="6" t="s">
        <v>10766</v>
      </c>
      <c r="B5664" s="5" t="s">
        <v>10767</v>
      </c>
      <c r="C5664" s="3" t="s">
        <v>5</v>
      </c>
    </row>
    <row r="5665" spans="1:3" ht="15.75" thickBot="1">
      <c r="A5665" s="6" t="s">
        <v>10768</v>
      </c>
      <c r="B5665" s="5" t="s">
        <v>10769</v>
      </c>
      <c r="C5665" s="3" t="s">
        <v>5</v>
      </c>
    </row>
    <row r="5666" spans="1:3" ht="15.75" thickBot="1">
      <c r="A5666" s="6" t="s">
        <v>10770</v>
      </c>
      <c r="B5666" s="5" t="s">
        <v>10771</v>
      </c>
      <c r="C5666" s="3" t="s">
        <v>5</v>
      </c>
    </row>
    <row r="5667" spans="1:3" ht="15.75" thickBot="1">
      <c r="A5667" s="6" t="s">
        <v>10772</v>
      </c>
      <c r="B5667" s="5" t="s">
        <v>10773</v>
      </c>
      <c r="C5667" s="3" t="s">
        <v>5</v>
      </c>
    </row>
    <row r="5668" spans="1:3" ht="15.75" thickBot="1">
      <c r="A5668" s="6" t="s">
        <v>10774</v>
      </c>
      <c r="B5668" s="5" t="s">
        <v>10775</v>
      </c>
      <c r="C5668" s="3" t="s">
        <v>5</v>
      </c>
    </row>
    <row r="5669" spans="1:3" ht="15.75" thickBot="1">
      <c r="A5669" s="6" t="s">
        <v>10776</v>
      </c>
      <c r="B5669" s="5" t="s">
        <v>10777</v>
      </c>
      <c r="C5669" s="3" t="s">
        <v>5</v>
      </c>
    </row>
    <row r="5670" spans="1:3" ht="15.75" thickBot="1">
      <c r="A5670" s="6" t="s">
        <v>10778</v>
      </c>
      <c r="B5670" s="5" t="s">
        <v>10779</v>
      </c>
      <c r="C5670" s="3" t="s">
        <v>5</v>
      </c>
    </row>
    <row r="5671" spans="1:3" ht="15.75" thickBot="1">
      <c r="A5671" s="6" t="s">
        <v>10780</v>
      </c>
      <c r="B5671" s="5" t="s">
        <v>10781</v>
      </c>
      <c r="C5671" s="3" t="s">
        <v>5</v>
      </c>
    </row>
    <row r="5672" spans="1:3" ht="15.75" thickBot="1">
      <c r="A5672" s="6" t="s">
        <v>10782</v>
      </c>
      <c r="B5672" s="5" t="s">
        <v>10783</v>
      </c>
      <c r="C5672" s="3" t="s">
        <v>5</v>
      </c>
    </row>
    <row r="5673" spans="1:3" ht="15.75" thickBot="1">
      <c r="A5673" s="6" t="s">
        <v>10784</v>
      </c>
      <c r="B5673" s="5" t="s">
        <v>10785</v>
      </c>
      <c r="C5673" s="3" t="s">
        <v>5</v>
      </c>
    </row>
    <row r="5674" spans="1:3" ht="15.75" thickBot="1">
      <c r="A5674" s="6" t="s">
        <v>10786</v>
      </c>
      <c r="B5674" s="5" t="s">
        <v>10787</v>
      </c>
      <c r="C5674" s="3" t="s">
        <v>5</v>
      </c>
    </row>
    <row r="5675" spans="1:3" ht="15.75" thickBot="1">
      <c r="A5675" s="6" t="s">
        <v>10788</v>
      </c>
      <c r="B5675" s="5" t="s">
        <v>10789</v>
      </c>
      <c r="C5675" s="3" t="s">
        <v>5</v>
      </c>
    </row>
    <row r="5676" spans="1:3" ht="15.75" thickBot="1">
      <c r="A5676" s="6" t="s">
        <v>10790</v>
      </c>
      <c r="B5676" s="5" t="s">
        <v>10791</v>
      </c>
      <c r="C5676" s="3" t="s">
        <v>5</v>
      </c>
    </row>
    <row r="5677" spans="1:3" ht="15.75" thickBot="1">
      <c r="A5677" s="6" t="s">
        <v>10792</v>
      </c>
      <c r="B5677" s="5" t="s">
        <v>10793</v>
      </c>
      <c r="C5677" s="3" t="s">
        <v>5</v>
      </c>
    </row>
    <row r="5678" spans="1:3" ht="15.75" thickBot="1">
      <c r="A5678" s="6" t="s">
        <v>10794</v>
      </c>
      <c r="B5678" s="5" t="s">
        <v>10795</v>
      </c>
      <c r="C5678" s="3" t="s">
        <v>5</v>
      </c>
    </row>
    <row r="5679" spans="1:3">
      <c r="A5679" s="1" t="s">
        <v>10796</v>
      </c>
      <c r="B5679" s="2" t="s">
        <v>10797</v>
      </c>
      <c r="C5679" s="3" t="s">
        <v>5</v>
      </c>
    </row>
    <row r="5680" spans="1:3" ht="15.75" thickBot="1">
      <c r="A5680" s="4"/>
      <c r="B5680" s="5" t="s">
        <v>10798</v>
      </c>
      <c r="C5680" s="3" t="s">
        <v>5</v>
      </c>
    </row>
    <row r="5681" spans="1:3" ht="15.75" thickBot="1">
      <c r="A5681" s="6" t="s">
        <v>10799</v>
      </c>
      <c r="B5681" s="5" t="s">
        <v>10800</v>
      </c>
      <c r="C5681" s="3" t="s">
        <v>5</v>
      </c>
    </row>
    <row r="5682" spans="1:3" ht="15.75" thickBot="1">
      <c r="A5682" s="6" t="s">
        <v>10801</v>
      </c>
      <c r="B5682" s="5" t="s">
        <v>10802</v>
      </c>
      <c r="C5682" s="3" t="s">
        <v>5</v>
      </c>
    </row>
    <row r="5683" spans="1:3" ht="15.75" thickBot="1">
      <c r="A5683" s="6" t="s">
        <v>10803</v>
      </c>
      <c r="B5683" s="5" t="s">
        <v>10804</v>
      </c>
      <c r="C5683" s="3" t="s">
        <v>5</v>
      </c>
    </row>
    <row r="5684" spans="1:3" ht="15.75" thickBot="1">
      <c r="A5684" s="6" t="s">
        <v>10805</v>
      </c>
      <c r="B5684" s="5" t="s">
        <v>10806</v>
      </c>
      <c r="C5684" s="3" t="s">
        <v>5</v>
      </c>
    </row>
    <row r="5685" spans="1:3" ht="15.75" thickBot="1">
      <c r="A5685" s="6" t="s">
        <v>10807</v>
      </c>
      <c r="B5685" s="5" t="s">
        <v>10808</v>
      </c>
      <c r="C5685" s="3" t="s">
        <v>5</v>
      </c>
    </row>
    <row r="5686" spans="1:3" ht="15.75" thickBot="1">
      <c r="A5686" s="6" t="s">
        <v>10809</v>
      </c>
      <c r="B5686" s="5" t="s">
        <v>10810</v>
      </c>
      <c r="C5686" s="3" t="s">
        <v>5</v>
      </c>
    </row>
    <row r="5687" spans="1:3" ht="15.75" thickBot="1">
      <c r="A5687" s="6" t="s">
        <v>10811</v>
      </c>
      <c r="B5687" s="5" t="s">
        <v>10812</v>
      </c>
      <c r="C5687" s="3" t="s">
        <v>5</v>
      </c>
    </row>
    <row r="5688" spans="1:3" ht="15.75" thickBot="1">
      <c r="A5688" s="6" t="s">
        <v>10813</v>
      </c>
      <c r="B5688" s="5" t="s">
        <v>10814</v>
      </c>
      <c r="C5688" s="3" t="s">
        <v>5</v>
      </c>
    </row>
    <row r="5689" spans="1:3" ht="15.75" thickBot="1">
      <c r="A5689" s="6" t="s">
        <v>10815</v>
      </c>
      <c r="B5689" s="5" t="s">
        <v>10816</v>
      </c>
      <c r="C5689" s="3" t="s">
        <v>5</v>
      </c>
    </row>
    <row r="5690" spans="1:3" ht="15.75" thickBot="1">
      <c r="A5690" s="6" t="s">
        <v>10817</v>
      </c>
      <c r="B5690" s="5" t="s">
        <v>10818</v>
      </c>
      <c r="C5690" s="3" t="s">
        <v>5</v>
      </c>
    </row>
    <row r="5691" spans="1:3" ht="15.75" thickBot="1">
      <c r="A5691" s="6" t="s">
        <v>10819</v>
      </c>
      <c r="B5691" s="5" t="s">
        <v>10820</v>
      </c>
      <c r="C5691" s="3" t="s">
        <v>5</v>
      </c>
    </row>
    <row r="5692" spans="1:3" ht="15.75" thickBot="1">
      <c r="A5692" s="6" t="s">
        <v>10821</v>
      </c>
      <c r="B5692" s="5" t="s">
        <v>10822</v>
      </c>
      <c r="C5692" s="3" t="s">
        <v>5</v>
      </c>
    </row>
    <row r="5693" spans="1:3" ht="15.75" thickBot="1">
      <c r="A5693" s="6" t="s">
        <v>10823</v>
      </c>
      <c r="B5693" s="5" t="s">
        <v>10824</v>
      </c>
      <c r="C5693" s="3" t="s">
        <v>5</v>
      </c>
    </row>
    <row r="5694" spans="1:3" ht="15.75" thickBot="1">
      <c r="A5694" s="6" t="s">
        <v>10825</v>
      </c>
      <c r="B5694" s="5" t="s">
        <v>10826</v>
      </c>
      <c r="C5694" s="3" t="s">
        <v>5</v>
      </c>
    </row>
    <row r="5695" spans="1:3" ht="15.75" thickBot="1">
      <c r="A5695" s="6" t="s">
        <v>10827</v>
      </c>
      <c r="B5695" s="5" t="s">
        <v>10828</v>
      </c>
      <c r="C5695" s="3" t="s">
        <v>5</v>
      </c>
    </row>
    <row r="5696" spans="1:3" ht="15.75" thickBot="1">
      <c r="A5696" s="6" t="s">
        <v>10829</v>
      </c>
      <c r="B5696" s="5" t="s">
        <v>10830</v>
      </c>
      <c r="C5696" s="3" t="s">
        <v>5</v>
      </c>
    </row>
    <row r="5697" spans="1:3" ht="15.75" thickBot="1">
      <c r="A5697" s="6" t="s">
        <v>10831</v>
      </c>
      <c r="B5697" s="5" t="s">
        <v>10832</v>
      </c>
      <c r="C5697" s="3" t="s">
        <v>5</v>
      </c>
    </row>
    <row r="5698" spans="1:3" ht="15.75" thickBot="1">
      <c r="A5698" s="6" t="s">
        <v>10833</v>
      </c>
      <c r="B5698" s="5" t="s">
        <v>10834</v>
      </c>
      <c r="C5698" s="3" t="s">
        <v>5</v>
      </c>
    </row>
    <row r="5699" spans="1:3" ht="15.75" thickBot="1">
      <c r="A5699" s="6" t="s">
        <v>10835</v>
      </c>
      <c r="B5699" s="5" t="s">
        <v>10836</v>
      </c>
      <c r="C5699" s="3" t="s">
        <v>5</v>
      </c>
    </row>
    <row r="5700" spans="1:3" ht="15.75" thickBot="1">
      <c r="A5700" s="6" t="s">
        <v>10837</v>
      </c>
      <c r="B5700" s="5" t="s">
        <v>10838</v>
      </c>
      <c r="C5700" s="3" t="s">
        <v>5</v>
      </c>
    </row>
    <row r="5701" spans="1:3" ht="15.75" thickBot="1">
      <c r="A5701" s="6" t="s">
        <v>10839</v>
      </c>
      <c r="B5701" s="5" t="s">
        <v>10840</v>
      </c>
      <c r="C5701" s="3" t="s">
        <v>5</v>
      </c>
    </row>
    <row r="5702" spans="1:3" ht="15.75" thickBot="1">
      <c r="A5702" s="6" t="s">
        <v>10841</v>
      </c>
      <c r="B5702" s="5" t="s">
        <v>10842</v>
      </c>
      <c r="C5702" s="3" t="s">
        <v>5</v>
      </c>
    </row>
    <row r="5703" spans="1:3">
      <c r="A5703" s="1" t="s">
        <v>10843</v>
      </c>
      <c r="B5703" s="2" t="s">
        <v>10844</v>
      </c>
      <c r="C5703" s="3" t="s">
        <v>5</v>
      </c>
    </row>
    <row r="5704" spans="1:3" ht="15.75" thickBot="1">
      <c r="A5704" s="4"/>
      <c r="B5704" s="5" t="s">
        <v>10845</v>
      </c>
      <c r="C5704" s="3" t="s">
        <v>5</v>
      </c>
    </row>
    <row r="5705" spans="1:3" ht="15.75" thickBot="1">
      <c r="A5705" s="6" t="s">
        <v>10846</v>
      </c>
      <c r="B5705" s="5" t="s">
        <v>10847</v>
      </c>
      <c r="C5705" s="3" t="s">
        <v>5</v>
      </c>
    </row>
    <row r="5706" spans="1:3" ht="15.75" thickBot="1">
      <c r="A5706" s="6" t="s">
        <v>10848</v>
      </c>
      <c r="B5706" s="5" t="s">
        <v>10849</v>
      </c>
      <c r="C5706" s="3" t="s">
        <v>5</v>
      </c>
    </row>
    <row r="5707" spans="1:3" ht="15.75" thickBot="1">
      <c r="A5707" s="6" t="s">
        <v>10850</v>
      </c>
      <c r="B5707" s="5" t="s">
        <v>10851</v>
      </c>
      <c r="C5707" s="3" t="s">
        <v>5</v>
      </c>
    </row>
    <row r="5708" spans="1:3" ht="15.75" thickBot="1">
      <c r="A5708" s="6" t="s">
        <v>10852</v>
      </c>
      <c r="B5708" s="5" t="s">
        <v>10853</v>
      </c>
      <c r="C5708" s="3" t="s">
        <v>5</v>
      </c>
    </row>
    <row r="5709" spans="1:3" ht="15.75" thickBot="1">
      <c r="A5709" s="6" t="s">
        <v>10854</v>
      </c>
      <c r="B5709" s="5" t="s">
        <v>10855</v>
      </c>
      <c r="C5709" s="3" t="s">
        <v>5</v>
      </c>
    </row>
    <row r="5710" spans="1:3" ht="15.75" thickBot="1">
      <c r="A5710" s="6" t="s">
        <v>10856</v>
      </c>
      <c r="B5710" s="5" t="s">
        <v>10857</v>
      </c>
      <c r="C5710" s="3" t="s">
        <v>5</v>
      </c>
    </row>
    <row r="5711" spans="1:3" ht="15.75" thickBot="1">
      <c r="A5711" s="6" t="s">
        <v>10858</v>
      </c>
      <c r="B5711" s="5" t="s">
        <v>10859</v>
      </c>
      <c r="C5711" s="3" t="s">
        <v>5</v>
      </c>
    </row>
    <row r="5712" spans="1:3" ht="15.75" thickBot="1">
      <c r="A5712" s="6" t="s">
        <v>10860</v>
      </c>
      <c r="B5712" s="5" t="s">
        <v>10861</v>
      </c>
      <c r="C5712" s="3" t="s">
        <v>5</v>
      </c>
    </row>
    <row r="5713" spans="1:3" ht="15.75" thickBot="1">
      <c r="A5713" s="6" t="s">
        <v>10862</v>
      </c>
      <c r="B5713" s="5" t="s">
        <v>10863</v>
      </c>
      <c r="C5713" s="3" t="s">
        <v>5</v>
      </c>
    </row>
    <row r="5714" spans="1:3" ht="15.75" thickBot="1">
      <c r="A5714" s="6" t="s">
        <v>10864</v>
      </c>
      <c r="B5714" s="5" t="s">
        <v>10865</v>
      </c>
      <c r="C5714" s="3" t="s">
        <v>5</v>
      </c>
    </row>
    <row r="5715" spans="1:3" ht="15.75" thickBot="1">
      <c r="A5715" s="6" t="s">
        <v>10866</v>
      </c>
      <c r="B5715" s="5" t="s">
        <v>10867</v>
      </c>
      <c r="C5715" s="3" t="s">
        <v>5</v>
      </c>
    </row>
    <row r="5716" spans="1:3" ht="15.75" thickBot="1">
      <c r="A5716" s="6" t="s">
        <v>10868</v>
      </c>
      <c r="B5716" s="5" t="s">
        <v>10869</v>
      </c>
      <c r="C5716" s="3" t="s">
        <v>5</v>
      </c>
    </row>
    <row r="5717" spans="1:3" ht="15.75" thickBot="1">
      <c r="A5717" s="6" t="s">
        <v>10870</v>
      </c>
      <c r="B5717" s="5" t="s">
        <v>10871</v>
      </c>
      <c r="C5717" s="3" t="s">
        <v>5</v>
      </c>
    </row>
    <row r="5718" spans="1:3" ht="15.75" thickBot="1">
      <c r="A5718" s="6" t="s">
        <v>10872</v>
      </c>
      <c r="B5718" s="5" t="s">
        <v>10873</v>
      </c>
      <c r="C5718" s="3" t="s">
        <v>5</v>
      </c>
    </row>
    <row r="5719" spans="1:3" ht="15.75" thickBot="1">
      <c r="A5719" s="6" t="s">
        <v>10874</v>
      </c>
      <c r="B5719" s="5" t="s">
        <v>10875</v>
      </c>
      <c r="C5719" s="3" t="s">
        <v>5</v>
      </c>
    </row>
    <row r="5720" spans="1:3" ht="15.75" thickBot="1">
      <c r="A5720" s="6" t="s">
        <v>10876</v>
      </c>
      <c r="B5720" s="5" t="s">
        <v>10877</v>
      </c>
      <c r="C5720" s="3" t="s">
        <v>5</v>
      </c>
    </row>
    <row r="5721" spans="1:3" ht="15.75" thickBot="1">
      <c r="A5721" s="6" t="s">
        <v>10878</v>
      </c>
      <c r="B5721" s="5" t="s">
        <v>10879</v>
      </c>
      <c r="C5721" s="3" t="s">
        <v>5</v>
      </c>
    </row>
    <row r="5722" spans="1:3" ht="15.75" thickBot="1">
      <c r="A5722" s="6" t="s">
        <v>10880</v>
      </c>
      <c r="B5722" s="5" t="s">
        <v>10881</v>
      </c>
      <c r="C5722" s="3" t="s">
        <v>5</v>
      </c>
    </row>
    <row r="5723" spans="1:3" ht="15.75" thickBot="1">
      <c r="A5723" s="6" t="s">
        <v>10882</v>
      </c>
      <c r="B5723" s="5" t="s">
        <v>10883</v>
      </c>
      <c r="C5723" s="3" t="s">
        <v>5</v>
      </c>
    </row>
    <row r="5724" spans="1:3" ht="15.75" thickBot="1">
      <c r="A5724" s="6" t="s">
        <v>10884</v>
      </c>
      <c r="B5724" s="5" t="s">
        <v>10885</v>
      </c>
      <c r="C5724" s="3" t="s">
        <v>5</v>
      </c>
    </row>
    <row r="5725" spans="1:3" ht="15.75" thickBot="1">
      <c r="A5725" s="6" t="s">
        <v>10886</v>
      </c>
      <c r="B5725" s="5" t="s">
        <v>10887</v>
      </c>
      <c r="C5725" s="3" t="s">
        <v>5</v>
      </c>
    </row>
    <row r="5726" spans="1:3" ht="15.75" thickBot="1">
      <c r="A5726" s="6" t="s">
        <v>10888</v>
      </c>
      <c r="B5726" s="5" t="s">
        <v>10889</v>
      </c>
      <c r="C5726" s="3" t="s">
        <v>5</v>
      </c>
    </row>
    <row r="5727" spans="1:3" ht="15.75" thickBot="1">
      <c r="A5727" s="6" t="s">
        <v>10890</v>
      </c>
      <c r="B5727" s="5" t="s">
        <v>10891</v>
      </c>
      <c r="C5727" s="3" t="s">
        <v>5</v>
      </c>
    </row>
    <row r="5728" spans="1:3">
      <c r="A5728" s="1" t="s">
        <v>10892</v>
      </c>
      <c r="B5728" s="2" t="s">
        <v>10893</v>
      </c>
      <c r="C5728" s="3" t="s">
        <v>5</v>
      </c>
    </row>
    <row r="5729" spans="1:3" ht="15.75" thickBot="1">
      <c r="A5729" s="4"/>
      <c r="B5729" s="5" t="s">
        <v>10894</v>
      </c>
      <c r="C5729" s="3" t="s">
        <v>5</v>
      </c>
    </row>
    <row r="5730" spans="1:3">
      <c r="A5730" s="1" t="s">
        <v>10895</v>
      </c>
      <c r="B5730" s="2" t="s">
        <v>10896</v>
      </c>
      <c r="C5730" s="3" t="s">
        <v>5</v>
      </c>
    </row>
    <row r="5731" spans="1:3" ht="15.75" thickBot="1">
      <c r="A5731" s="4"/>
      <c r="B5731" s="5" t="e">
        <f xml:space="preserve"> package airconditioning</f>
        <v>#NAME?</v>
      </c>
      <c r="C5731" s="3" t="s">
        <v>5</v>
      </c>
    </row>
    <row r="5732" spans="1:3" ht="15.75" thickBot="1">
      <c r="A5732" s="6" t="s">
        <v>10897</v>
      </c>
      <c r="B5732" s="5" t="s">
        <v>10898</v>
      </c>
      <c r="C5732" s="3" t="s">
        <v>5</v>
      </c>
    </row>
    <row r="5733" spans="1:3" ht="15.75" thickBot="1">
      <c r="A5733" s="6" t="s">
        <v>10899</v>
      </c>
      <c r="B5733" s="5" t="s">
        <v>10900</v>
      </c>
      <c r="C5733" s="3" t="s">
        <v>5</v>
      </c>
    </row>
    <row r="5734" spans="1:3" ht="15.75" thickBot="1">
      <c r="A5734" s="6" t="s">
        <v>10901</v>
      </c>
      <c r="B5734" s="5" t="s">
        <v>10902</v>
      </c>
      <c r="C5734" s="3" t="s">
        <v>5</v>
      </c>
    </row>
    <row r="5735" spans="1:3" ht="15.75" thickBot="1">
      <c r="A5735" s="6" t="s">
        <v>10903</v>
      </c>
      <c r="B5735" s="5" t="s">
        <v>10904</v>
      </c>
      <c r="C5735" s="3" t="s">
        <v>5</v>
      </c>
    </row>
    <row r="5736" spans="1:3" ht="15.75" thickBot="1">
      <c r="A5736" s="6" t="s">
        <v>10905</v>
      </c>
      <c r="B5736" s="5" t="s">
        <v>10906</v>
      </c>
      <c r="C5736" s="3" t="s">
        <v>5</v>
      </c>
    </row>
    <row r="5737" spans="1:3" ht="15.75" thickBot="1">
      <c r="A5737" s="6" t="s">
        <v>10907</v>
      </c>
      <c r="B5737" s="5" t="s">
        <v>10908</v>
      </c>
      <c r="C5737" s="3" t="s">
        <v>5</v>
      </c>
    </row>
    <row r="5738" spans="1:3" ht="15.75" thickBot="1">
      <c r="A5738" s="6" t="s">
        <v>10909</v>
      </c>
      <c r="B5738" s="5" t="s">
        <v>10910</v>
      </c>
      <c r="C5738" s="3" t="s">
        <v>5</v>
      </c>
    </row>
    <row r="5739" spans="1:3" ht="15.75" thickBot="1">
      <c r="A5739" s="6" t="s">
        <v>10911</v>
      </c>
      <c r="B5739" s="5" t="e">
        <f xml:space="preserve"> panel board = board</f>
        <v>#NAME?</v>
      </c>
      <c r="C5739" s="3" t="s">
        <v>5</v>
      </c>
    </row>
    <row r="5740" spans="1:3" ht="15.75" thickBot="1">
      <c r="A5740" s="6" t="s">
        <v>10912</v>
      </c>
      <c r="B5740" s="5" t="s">
        <v>10913</v>
      </c>
      <c r="C5740" s="3" t="s">
        <v>5</v>
      </c>
    </row>
    <row r="5741" spans="1:3">
      <c r="A5741" s="1" t="s">
        <v>10914</v>
      </c>
      <c r="B5741" s="2" t="s">
        <v>10915</v>
      </c>
      <c r="C5741" s="3" t="s">
        <v>5</v>
      </c>
    </row>
    <row r="5742" spans="1:3" ht="15.75" thickBot="1">
      <c r="A5742" s="4"/>
      <c r="B5742" s="5" t="s">
        <v>10916</v>
      </c>
      <c r="C5742" s="3" t="s">
        <v>5</v>
      </c>
    </row>
    <row r="5743" spans="1:3" ht="15.75" thickBot="1">
      <c r="A5743" s="6" t="s">
        <v>10917</v>
      </c>
      <c r="B5743" s="5" t="s">
        <v>10918</v>
      </c>
      <c r="C5743" s="3" t="s">
        <v>5</v>
      </c>
    </row>
    <row r="5744" spans="1:3" ht="15.75" thickBot="1">
      <c r="A5744" s="6" t="s">
        <v>10919</v>
      </c>
      <c r="B5744" s="5" t="s">
        <v>10920</v>
      </c>
      <c r="C5744" s="3" t="s">
        <v>5</v>
      </c>
    </row>
    <row r="5745" spans="1:3" ht="15.75" thickBot="1">
      <c r="A5745" s="6" t="s">
        <v>10921</v>
      </c>
      <c r="B5745" s="5" t="s">
        <v>10922</v>
      </c>
      <c r="C5745" s="3" t="s">
        <v>5</v>
      </c>
    </row>
    <row r="5746" spans="1:3" ht="15.75" thickBot="1">
      <c r="A5746" s="6" t="s">
        <v>10923</v>
      </c>
      <c r="B5746" s="5" t="s">
        <v>10924</v>
      </c>
      <c r="C5746" s="3" t="s">
        <v>5</v>
      </c>
    </row>
    <row r="5747" spans="1:3" ht="15.75" thickBot="1">
      <c r="A5747" s="6" t="s">
        <v>10925</v>
      </c>
      <c r="B5747" s="5" t="s">
        <v>10926</v>
      </c>
      <c r="C5747" s="3" t="s">
        <v>5</v>
      </c>
    </row>
    <row r="5748" spans="1:3" ht="15.75" thickBot="1">
      <c r="A5748" s="6" t="s">
        <v>10927</v>
      </c>
      <c r="B5748" s="5" t="s">
        <v>10928</v>
      </c>
      <c r="C5748" s="3" t="s">
        <v>5</v>
      </c>
    </row>
    <row r="5749" spans="1:3" ht="15.75" thickBot="1">
      <c r="A5749" s="6" t="s">
        <v>10929</v>
      </c>
      <c r="B5749" s="5" t="s">
        <v>10930</v>
      </c>
      <c r="C5749" s="3" t="s">
        <v>5</v>
      </c>
    </row>
    <row r="5750" spans="1:3">
      <c r="A5750" s="1" t="s">
        <v>10931</v>
      </c>
      <c r="B5750" s="2" t="s">
        <v>10932</v>
      </c>
      <c r="C5750" s="3" t="s">
        <v>5</v>
      </c>
    </row>
    <row r="5751" spans="1:3" ht="15.75" thickBot="1">
      <c r="A5751" s="4"/>
      <c r="B5751" s="5" t="s">
        <v>10933</v>
      </c>
      <c r="C5751" s="3" t="s">
        <v>5</v>
      </c>
    </row>
    <row r="5752" spans="1:3" ht="15.75" thickBot="1">
      <c r="A5752" s="6" t="s">
        <v>10934</v>
      </c>
      <c r="B5752" s="5" t="s">
        <v>10935</v>
      </c>
      <c r="C5752" s="3" t="s">
        <v>5</v>
      </c>
    </row>
    <row r="5753" spans="1:3" ht="15.75" thickBot="1">
      <c r="A5753" s="6" t="s">
        <v>10936</v>
      </c>
      <c r="B5753" s="5" t="s">
        <v>10937</v>
      </c>
      <c r="C5753" s="3" t="s">
        <v>5</v>
      </c>
    </row>
    <row r="5754" spans="1:3" ht="15.75" thickBot="1">
      <c r="A5754" s="6" t="s">
        <v>10938</v>
      </c>
      <c r="B5754" s="5" t="s">
        <v>10939</v>
      </c>
      <c r="C5754" s="3" t="s">
        <v>5</v>
      </c>
    </row>
    <row r="5755" spans="1:3" ht="15.75" thickBot="1">
      <c r="A5755" s="6" t="s">
        <v>10940</v>
      </c>
      <c r="B5755" s="5" t="s">
        <v>10941</v>
      </c>
      <c r="C5755" s="3" t="s">
        <v>5</v>
      </c>
    </row>
    <row r="5756" spans="1:3" ht="15.75" thickBot="1">
      <c r="A5756" s="6" t="s">
        <v>10942</v>
      </c>
      <c r="B5756" s="5" t="s">
        <v>10943</v>
      </c>
      <c r="C5756" s="3" t="s">
        <v>5</v>
      </c>
    </row>
    <row r="5757" spans="1:3" ht="15.75" thickBot="1">
      <c r="A5757" s="6" t="s">
        <v>10944</v>
      </c>
      <c r="B5757" s="5" t="s">
        <v>10945</v>
      </c>
      <c r="C5757" s="3" t="s">
        <v>5</v>
      </c>
    </row>
    <row r="5758" spans="1:3" ht="15.75" thickBot="1">
      <c r="A5758" s="6" t="s">
        <v>10946</v>
      </c>
      <c r="B5758" s="5" t="s">
        <v>10947</v>
      </c>
      <c r="C5758" s="3" t="s">
        <v>5</v>
      </c>
    </row>
    <row r="5759" spans="1:3" ht="15.75" thickBot="1">
      <c r="A5759" s="6" t="s">
        <v>10948</v>
      </c>
      <c r="B5759" s="5" t="s">
        <v>10949</v>
      </c>
      <c r="C5759" s="3" t="s">
        <v>5</v>
      </c>
    </row>
    <row r="5760" spans="1:3" ht="15.75" thickBot="1">
      <c r="A5760" s="6" t="s">
        <v>10950</v>
      </c>
      <c r="B5760" s="5" t="s">
        <v>10951</v>
      </c>
      <c r="C5760" s="3" t="s">
        <v>5</v>
      </c>
    </row>
    <row r="5761" spans="1:3" ht="15.75" thickBot="1">
      <c r="A5761" s="6" t="s">
        <v>10952</v>
      </c>
      <c r="B5761" s="5" t="s">
        <v>10953</v>
      </c>
      <c r="C5761" s="3" t="s">
        <v>5</v>
      </c>
    </row>
    <row r="5762" spans="1:3" ht="15.75" thickBot="1">
      <c r="A5762" s="6" t="s">
        <v>10954</v>
      </c>
      <c r="B5762" s="5" t="s">
        <v>10955</v>
      </c>
      <c r="C5762" s="3" t="s">
        <v>5</v>
      </c>
    </row>
    <row r="5763" spans="1:3" ht="15.75" thickBot="1">
      <c r="A5763" s="6" t="s">
        <v>10956</v>
      </c>
      <c r="B5763" s="5" t="s">
        <v>10957</v>
      </c>
      <c r="C5763" s="3" t="s">
        <v>5</v>
      </c>
    </row>
    <row r="5764" spans="1:3" ht="15.75" thickBot="1">
      <c r="A5764" s="6" t="s">
        <v>10958</v>
      </c>
      <c r="B5764" s="5" t="s">
        <v>10957</v>
      </c>
      <c r="C5764" s="3" t="s">
        <v>5</v>
      </c>
    </row>
    <row r="5765" spans="1:3" ht="15.75" thickBot="1">
      <c r="A5765" s="6" t="s">
        <v>10959</v>
      </c>
      <c r="B5765" s="5" t="s">
        <v>10960</v>
      </c>
      <c r="C5765" s="3" t="s">
        <v>5</v>
      </c>
    </row>
    <row r="5766" spans="1:3" ht="15.75" thickBot="1">
      <c r="A5766" s="6" t="s">
        <v>10961</v>
      </c>
      <c r="B5766" s="5" t="s">
        <v>10962</v>
      </c>
      <c r="C5766" s="3" t="s">
        <v>5</v>
      </c>
    </row>
    <row r="5767" spans="1:3" ht="15.75" thickBot="1">
      <c r="A5767" s="6" t="s">
        <v>10963</v>
      </c>
      <c r="B5767" s="5" t="s">
        <v>10964</v>
      </c>
      <c r="C5767" s="3" t="s">
        <v>5</v>
      </c>
    </row>
    <row r="5768" spans="1:3" ht="15.75" thickBot="1">
      <c r="A5768" s="6" t="s">
        <v>10965</v>
      </c>
      <c r="B5768" s="5" t="s">
        <v>10966</v>
      </c>
      <c r="C5768" s="3" t="s">
        <v>5</v>
      </c>
    </row>
    <row r="5769" spans="1:3" ht="15.75" thickBot="1">
      <c r="A5769" s="6" t="s">
        <v>10967</v>
      </c>
      <c r="B5769" s="5" t="s">
        <v>10968</v>
      </c>
      <c r="C5769" s="3" t="s">
        <v>5</v>
      </c>
    </row>
    <row r="5770" spans="1:3" ht="15.75" thickBot="1">
      <c r="A5770" s="6" t="s">
        <v>10969</v>
      </c>
      <c r="B5770" s="5" t="s">
        <v>10970</v>
      </c>
      <c r="C5770" s="3" t="s">
        <v>5</v>
      </c>
    </row>
    <row r="5771" spans="1:3" ht="15.75" thickBot="1">
      <c r="A5771" s="6" t="s">
        <v>10971</v>
      </c>
      <c r="B5771" s="5" t="e">
        <f xml:space="preserve"> corpuscle</f>
        <v>#NAME?</v>
      </c>
      <c r="C5771" s="3" t="s">
        <v>5</v>
      </c>
    </row>
    <row r="5772" spans="1:3" ht="15.75" thickBot="1">
      <c r="A5772" s="6" t="s">
        <v>10972</v>
      </c>
      <c r="B5772" s="5" t="s">
        <v>10973</v>
      </c>
      <c r="C5772" s="3" t="s">
        <v>5</v>
      </c>
    </row>
    <row r="5773" spans="1:3" ht="15.75" thickBot="1">
      <c r="A5773" s="6" t="s">
        <v>10974</v>
      </c>
      <c r="B5773" s="5" t="s">
        <v>10975</v>
      </c>
      <c r="C5773" s="3" t="s">
        <v>5</v>
      </c>
    </row>
    <row r="5774" spans="1:3" ht="15.75" thickBot="1">
      <c r="A5774" s="6" t="s">
        <v>10976</v>
      </c>
      <c r="B5774" s="5" t="s">
        <v>10977</v>
      </c>
      <c r="C5774" s="3" t="s">
        <v>5</v>
      </c>
    </row>
    <row r="5775" spans="1:3" ht="15.75" thickBot="1">
      <c r="A5775" s="6" t="s">
        <v>10978</v>
      </c>
      <c r="B5775" s="5" t="s">
        <v>10979</v>
      </c>
      <c r="C5775" s="3" t="s">
        <v>5</v>
      </c>
    </row>
    <row r="5776" spans="1:3" ht="15.75" thickBot="1">
      <c r="A5776" s="6" t="s">
        <v>10980</v>
      </c>
      <c r="B5776" s="5" t="s">
        <v>10981</v>
      </c>
      <c r="C5776" s="3" t="s">
        <v>5</v>
      </c>
    </row>
    <row r="5777" spans="1:3" ht="15.75" thickBot="1">
      <c r="A5777" s="6" t="s">
        <v>10982</v>
      </c>
      <c r="B5777" s="5" t="s">
        <v>10983</v>
      </c>
      <c r="C5777" s="3" t="s">
        <v>5</v>
      </c>
    </row>
    <row r="5778" spans="1:3" ht="15.75" thickBot="1">
      <c r="A5778" s="6" t="s">
        <v>10984</v>
      </c>
      <c r="B5778" s="5" t="s">
        <v>10985</v>
      </c>
      <c r="C5778" s="3" t="s">
        <v>5</v>
      </c>
    </row>
    <row r="5779" spans="1:3" ht="15.75" thickBot="1">
      <c r="A5779" s="6" t="s">
        <v>10986</v>
      </c>
      <c r="B5779" s="5" t="s">
        <v>10987</v>
      </c>
      <c r="C5779" s="3" t="s">
        <v>5</v>
      </c>
    </row>
    <row r="5780" spans="1:3" ht="15.75" thickBot="1">
      <c r="A5780" s="6" t="s">
        <v>10988</v>
      </c>
      <c r="B5780" s="5" t="s">
        <v>10989</v>
      </c>
      <c r="C5780" s="3" t="s">
        <v>5</v>
      </c>
    </row>
    <row r="5781" spans="1:3" ht="15.75" thickBot="1">
      <c r="A5781" s="6" t="s">
        <v>10990</v>
      </c>
      <c r="B5781" s="5" t="s">
        <v>10991</v>
      </c>
      <c r="C5781" s="3" t="s">
        <v>5</v>
      </c>
    </row>
    <row r="5782" spans="1:3" ht="15.75" thickBot="1">
      <c r="A5782" s="6" t="s">
        <v>10992</v>
      </c>
      <c r="B5782" s="5" t="s">
        <v>10993</v>
      </c>
      <c r="C5782" s="3" t="s">
        <v>5</v>
      </c>
    </row>
    <row r="5783" spans="1:3" ht="15.75" thickBot="1">
      <c r="A5783" s="6" t="s">
        <v>10994</v>
      </c>
      <c r="B5783" s="5" t="s">
        <v>10995</v>
      </c>
      <c r="C5783" s="3" t="s">
        <v>5</v>
      </c>
    </row>
    <row r="5784" spans="1:3" ht="15.75" thickBot="1">
      <c r="A5784" s="6" t="s">
        <v>10996</v>
      </c>
      <c r="B5784" s="5" t="s">
        <v>10997</v>
      </c>
      <c r="C5784" s="3" t="s">
        <v>5</v>
      </c>
    </row>
    <row r="5785" spans="1:3" ht="15.75" thickBot="1">
      <c r="A5785" s="6" t="s">
        <v>10998</v>
      </c>
      <c r="B5785" s="5" t="e">
        <f xml:space="preserve"> crest factor</f>
        <v>#NAME?</v>
      </c>
      <c r="C5785" s="3" t="s">
        <v>5</v>
      </c>
    </row>
    <row r="5786" spans="1:3" ht="15.75" thickBot="1">
      <c r="A5786" s="6" t="s">
        <v>10999</v>
      </c>
      <c r="B5786" s="5" t="s">
        <v>11000</v>
      </c>
      <c r="C5786" s="3" t="s">
        <v>5</v>
      </c>
    </row>
    <row r="5787" spans="1:3" ht="15.75" thickBot="1">
      <c r="A5787" s="6" t="s">
        <v>11001</v>
      </c>
      <c r="B5787" s="5" t="s">
        <v>11002</v>
      </c>
      <c r="C5787" s="3" t="s">
        <v>5</v>
      </c>
    </row>
    <row r="5788" spans="1:3" ht="15.75" thickBot="1">
      <c r="A5788" s="6" t="s">
        <v>11003</v>
      </c>
      <c r="B5788" s="5" t="s">
        <v>11004</v>
      </c>
      <c r="C5788" s="3" t="s">
        <v>5</v>
      </c>
    </row>
    <row r="5789" spans="1:3" ht="15.75" thickBot="1">
      <c r="A5789" s="6" t="s">
        <v>11005</v>
      </c>
      <c r="B5789" s="5" t="s">
        <v>11006</v>
      </c>
      <c r="C5789" s="3" t="s">
        <v>5</v>
      </c>
    </row>
    <row r="5790" spans="1:3" ht="15.75" thickBot="1">
      <c r="A5790" s="6" t="s">
        <v>11007</v>
      </c>
      <c r="B5790" s="5" t="s">
        <v>11008</v>
      </c>
      <c r="C5790" s="3" t="s">
        <v>5</v>
      </c>
    </row>
    <row r="5791" spans="1:3" ht="15.75" thickBot="1">
      <c r="A5791" s="6" t="s">
        <v>11009</v>
      </c>
      <c r="B5791" s="5" t="s">
        <v>11010</v>
      </c>
      <c r="C5791" s="3" t="s">
        <v>5</v>
      </c>
    </row>
    <row r="5792" spans="1:3" ht="15.75" thickBot="1">
      <c r="A5792" s="6" t="s">
        <v>11011</v>
      </c>
      <c r="B5792" s="5" t="e">
        <f xml:space="preserve"> crest to crest value</f>
        <v>#NAME?</v>
      </c>
      <c r="C5792" s="3" t="s">
        <v>5</v>
      </c>
    </row>
    <row r="5793" spans="1:3" ht="15.75" thickBot="1">
      <c r="A5793" s="6" t="s">
        <v>11012</v>
      </c>
      <c r="B5793" s="5" t="s">
        <v>11013</v>
      </c>
      <c r="C5793" s="3" t="s">
        <v>5</v>
      </c>
    </row>
    <row r="5794" spans="1:3" ht="15.75" thickBot="1">
      <c r="A5794" s="6" t="s">
        <v>11014</v>
      </c>
      <c r="B5794" s="5" t="s">
        <v>11015</v>
      </c>
      <c r="C5794" s="3" t="s">
        <v>5</v>
      </c>
    </row>
    <row r="5795" spans="1:3" ht="15.75" thickBot="1">
      <c r="A5795" s="6" t="s">
        <v>11016</v>
      </c>
      <c r="B5795" s="5" t="s">
        <v>11017</v>
      </c>
      <c r="C5795" s="3" t="s">
        <v>5</v>
      </c>
    </row>
    <row r="5796" spans="1:3" ht="15.75" thickBot="1">
      <c r="A5796" s="6" t="s">
        <v>11018</v>
      </c>
      <c r="B5796" s="5" t="s">
        <v>11019</v>
      </c>
      <c r="C5796" s="3" t="s">
        <v>5</v>
      </c>
    </row>
    <row r="5797" spans="1:3" ht="15.75" thickBot="1">
      <c r="A5797" s="6" t="s">
        <v>11020</v>
      </c>
      <c r="B5797" s="5" t="s">
        <v>11021</v>
      </c>
      <c r="C5797" s="3" t="s">
        <v>5</v>
      </c>
    </row>
    <row r="5798" spans="1:3" ht="15.75" thickBot="1">
      <c r="A5798" s="6" t="s">
        <v>11022</v>
      </c>
      <c r="B5798" s="5" t="e">
        <f xml:space="preserve"> inside frosted lamp</f>
        <v>#NAME?</v>
      </c>
      <c r="C5798" s="3" t="s">
        <v>5</v>
      </c>
    </row>
    <row r="5799" spans="1:3" ht="15.75" thickBot="1">
      <c r="A5799" s="6" t="s">
        <v>11023</v>
      </c>
      <c r="B5799" s="5" t="s">
        <v>11024</v>
      </c>
      <c r="C5799" s="3" t="s">
        <v>5</v>
      </c>
    </row>
    <row r="5800" spans="1:3">
      <c r="A5800" s="1" t="s">
        <v>11025</v>
      </c>
      <c r="B5800" s="2" t="s">
        <v>11026</v>
      </c>
      <c r="C5800" s="3" t="s">
        <v>5</v>
      </c>
    </row>
    <row r="5801" spans="1:3" ht="15.75" thickBot="1">
      <c r="A5801" s="4"/>
      <c r="B5801" s="5" t="s">
        <v>11027</v>
      </c>
      <c r="C5801" s="3" t="s">
        <v>5</v>
      </c>
    </row>
    <row r="5802" spans="1:3" ht="15.75" thickBot="1">
      <c r="A5802" s="6" t="s">
        <v>11028</v>
      </c>
      <c r="B5802" s="5" t="s">
        <v>11029</v>
      </c>
      <c r="C5802" s="3" t="s">
        <v>5</v>
      </c>
    </row>
    <row r="5803" spans="1:3" ht="15.75" thickBot="1">
      <c r="A5803" s="6" t="s">
        <v>11030</v>
      </c>
      <c r="B5803" s="5" t="s">
        <v>11031</v>
      </c>
      <c r="C5803" s="3" t="s">
        <v>5</v>
      </c>
    </row>
    <row r="5804" spans="1:3" ht="15.75" thickBot="1">
      <c r="A5804" s="6" t="s">
        <v>11032</v>
      </c>
      <c r="B5804" s="5" t="s">
        <v>11033</v>
      </c>
      <c r="C5804" s="3" t="s">
        <v>5</v>
      </c>
    </row>
    <row r="5805" spans="1:3">
      <c r="A5805" s="1" t="s">
        <v>11034</v>
      </c>
      <c r="B5805" s="2" t="s">
        <v>11035</v>
      </c>
      <c r="C5805" s="3" t="s">
        <v>5</v>
      </c>
    </row>
    <row r="5806" spans="1:3" ht="15.75" thickBot="1">
      <c r="A5806" s="4"/>
      <c r="B5806" s="5" t="s">
        <v>11036</v>
      </c>
      <c r="C5806" s="3" t="s">
        <v>5</v>
      </c>
    </row>
    <row r="5807" spans="1:3" ht="15.75" thickBot="1">
      <c r="A5807" s="6" t="s">
        <v>11037</v>
      </c>
      <c r="B5807" s="5" t="s">
        <v>11038</v>
      </c>
      <c r="C5807" s="3" t="s">
        <v>5</v>
      </c>
    </row>
    <row r="5808" spans="1:3" ht="15.75" thickBot="1">
      <c r="A5808" s="6" t="s">
        <v>11039</v>
      </c>
      <c r="B5808" s="5" t="s">
        <v>11040</v>
      </c>
      <c r="C5808" s="3" t="s">
        <v>5</v>
      </c>
    </row>
    <row r="5809" spans="1:3" ht="15.75" thickBot="1">
      <c r="A5809" s="6" t="s">
        <v>11041</v>
      </c>
      <c r="B5809" s="5" t="s">
        <v>11042</v>
      </c>
      <c r="C5809" s="3" t="s">
        <v>5</v>
      </c>
    </row>
    <row r="5810" spans="1:3" ht="15.75" thickBot="1">
      <c r="A5810" s="6" t="s">
        <v>11043</v>
      </c>
      <c r="B5810" s="5" t="s">
        <v>11044</v>
      </c>
      <c r="C5810" s="3" t="s">
        <v>5</v>
      </c>
    </row>
    <row r="5811" spans="1:3" ht="15.75" thickBot="1">
      <c r="A5811" s="6" t="s">
        <v>11045</v>
      </c>
      <c r="B5811" s="5" t="s">
        <v>11046</v>
      </c>
      <c r="C5811" s="3" t="s">
        <v>5</v>
      </c>
    </row>
    <row r="5812" spans="1:3" ht="15.75" thickBot="1">
      <c r="A5812" s="6" t="s">
        <v>11047</v>
      </c>
      <c r="B5812" s="5" t="s">
        <v>11048</v>
      </c>
      <c r="C5812" s="3" t="s">
        <v>5</v>
      </c>
    </row>
    <row r="5813" spans="1:3" ht="15.75" thickBot="1">
      <c r="A5813" s="6" t="s">
        <v>11049</v>
      </c>
      <c r="B5813" s="5" t="s">
        <v>11050</v>
      </c>
      <c r="C5813" s="3" t="s">
        <v>5</v>
      </c>
    </row>
    <row r="5814" spans="1:3" ht="15.75" thickBot="1">
      <c r="A5814" s="6" t="s">
        <v>11051</v>
      </c>
      <c r="B5814" s="5" t="s">
        <v>11052</v>
      </c>
      <c r="C5814" s="3" t="s">
        <v>5</v>
      </c>
    </row>
    <row r="5815" spans="1:3" ht="15.75" thickBot="1">
      <c r="A5815" s="6" t="s">
        <v>11053</v>
      </c>
      <c r="B5815" s="5" t="s">
        <v>11054</v>
      </c>
      <c r="C5815" s="3" t="s">
        <v>5</v>
      </c>
    </row>
    <row r="5816" spans="1:3" ht="15.75" thickBot="1">
      <c r="A5816" s="6" t="s">
        <v>11055</v>
      </c>
      <c r="B5816" s="5" t="s">
        <v>11056</v>
      </c>
      <c r="C5816" s="3" t="s">
        <v>5</v>
      </c>
    </row>
    <row r="5817" spans="1:3" ht="15.75" thickBot="1">
      <c r="A5817" s="6" t="s">
        <v>11057</v>
      </c>
      <c r="B5817" s="5" t="s">
        <v>11058</v>
      </c>
      <c r="C5817" s="3" t="s">
        <v>5</v>
      </c>
    </row>
    <row r="5818" spans="1:3" ht="15.75" thickBot="1">
      <c r="A5818" s="6" t="s">
        <v>11059</v>
      </c>
      <c r="B5818" s="5" t="s">
        <v>11060</v>
      </c>
      <c r="C5818" s="3" t="s">
        <v>5</v>
      </c>
    </row>
    <row r="5819" spans="1:3" ht="15.75" thickBot="1">
      <c r="A5819" s="6" t="s">
        <v>11061</v>
      </c>
      <c r="B5819" s="5" t="s">
        <v>11062</v>
      </c>
      <c r="C5819" s="3" t="s">
        <v>5</v>
      </c>
    </row>
    <row r="5820" spans="1:3" ht="15.75" thickBot="1">
      <c r="A5820" s="6" t="s">
        <v>11063</v>
      </c>
      <c r="B5820" s="5" t="s">
        <v>11064</v>
      </c>
      <c r="C5820" s="3" t="s">
        <v>5</v>
      </c>
    </row>
    <row r="5821" spans="1:3" ht="15.75" thickBot="1">
      <c r="A5821" s="6" t="s">
        <v>11065</v>
      </c>
      <c r="B5821" s="5" t="s">
        <v>11066</v>
      </c>
      <c r="C5821" s="3" t="s">
        <v>5</v>
      </c>
    </row>
    <row r="5822" spans="1:3" ht="15.75" thickBot="1">
      <c r="A5822" s="6" t="s">
        <v>11067</v>
      </c>
      <c r="B5822" s="5" t="s">
        <v>11068</v>
      </c>
      <c r="C5822" s="3" t="s">
        <v>5</v>
      </c>
    </row>
    <row r="5823" spans="1:3" ht="15.75" thickBot="1">
      <c r="A5823" s="6" t="s">
        <v>11069</v>
      </c>
      <c r="B5823" s="5" t="s">
        <v>11070</v>
      </c>
      <c r="C5823" s="3" t="s">
        <v>5</v>
      </c>
    </row>
    <row r="5824" spans="1:3" ht="15.75" thickBot="1">
      <c r="A5824" s="6" t="s">
        <v>11071</v>
      </c>
      <c r="B5824" s="5" t="s">
        <v>11072</v>
      </c>
      <c r="C5824" s="3" t="s">
        <v>5</v>
      </c>
    </row>
    <row r="5825" spans="1:3" ht="15.75" thickBot="1">
      <c r="A5825" s="6" t="s">
        <v>11073</v>
      </c>
      <c r="B5825" s="5" t="s">
        <v>11074</v>
      </c>
      <c r="C5825" s="3" t="s">
        <v>5</v>
      </c>
    </row>
    <row r="5826" spans="1:3" ht="26.25" thickBot="1">
      <c r="A5826" s="6" t="s">
        <v>11075</v>
      </c>
      <c r="B5826" s="5" t="s">
        <v>11076</v>
      </c>
      <c r="C5826" s="3" t="s">
        <v>5</v>
      </c>
    </row>
    <row r="5827" spans="1:3" ht="15.75" thickBot="1">
      <c r="A5827" s="6" t="s">
        <v>11077</v>
      </c>
      <c r="B5827" s="5" t="s">
        <v>11078</v>
      </c>
      <c r="C5827" s="3" t="s">
        <v>5</v>
      </c>
    </row>
    <row r="5828" spans="1:3" ht="15.75" thickBot="1">
      <c r="A5828" s="6" t="s">
        <v>11079</v>
      </c>
      <c r="B5828" s="5" t="s">
        <v>11080</v>
      </c>
      <c r="C5828" s="3" t="s">
        <v>5</v>
      </c>
    </row>
    <row r="5829" spans="1:3" ht="15.75" thickBot="1">
      <c r="A5829" s="6" t="s">
        <v>11081</v>
      </c>
      <c r="B5829" s="5" t="s">
        <v>11082</v>
      </c>
      <c r="C5829" s="3" t="s">
        <v>5</v>
      </c>
    </row>
    <row r="5830" spans="1:3" ht="15.75" thickBot="1">
      <c r="A5830" s="6" t="s">
        <v>11083</v>
      </c>
      <c r="B5830" s="5" t="s">
        <v>11084</v>
      </c>
      <c r="C5830" s="3" t="s">
        <v>5</v>
      </c>
    </row>
    <row r="5831" spans="1:3">
      <c r="A5831" s="1" t="s">
        <v>11085</v>
      </c>
      <c r="B5831" s="2" t="s">
        <v>11086</v>
      </c>
      <c r="C5831" s="3" t="s">
        <v>5</v>
      </c>
    </row>
    <row r="5832" spans="1:3" ht="15.75" thickBot="1">
      <c r="A5832" s="4"/>
      <c r="B5832" s="5" t="s">
        <v>422</v>
      </c>
      <c r="C5832" s="3" t="s">
        <v>5</v>
      </c>
    </row>
    <row r="5833" spans="1:3" ht="15.75" thickBot="1">
      <c r="A5833" s="6" t="s">
        <v>11087</v>
      </c>
      <c r="B5833" s="5" t="s">
        <v>11088</v>
      </c>
      <c r="C5833" s="3" t="s">
        <v>5</v>
      </c>
    </row>
    <row r="5834" spans="1:3" ht="15.75" thickBot="1">
      <c r="A5834" s="6" t="s">
        <v>11089</v>
      </c>
      <c r="B5834" s="5" t="s">
        <v>11090</v>
      </c>
      <c r="C5834" s="3" t="s">
        <v>5</v>
      </c>
    </row>
    <row r="5835" spans="1:3" ht="15.75" thickBot="1">
      <c r="A5835" s="6" t="s">
        <v>11091</v>
      </c>
      <c r="B5835" s="5" t="s">
        <v>11092</v>
      </c>
      <c r="C5835" s="3" t="s">
        <v>5</v>
      </c>
    </row>
    <row r="5836" spans="1:3" ht="15.75" thickBot="1">
      <c r="A5836" s="6" t="s">
        <v>11093</v>
      </c>
      <c r="B5836" s="5" t="s">
        <v>11094</v>
      </c>
      <c r="C5836" s="3" t="s">
        <v>5</v>
      </c>
    </row>
    <row r="5837" spans="1:3" ht="15.75" thickBot="1">
      <c r="A5837" s="6" t="s">
        <v>11095</v>
      </c>
      <c r="B5837" s="5" t="s">
        <v>11096</v>
      </c>
      <c r="C5837" s="3" t="s">
        <v>5</v>
      </c>
    </row>
    <row r="5838" spans="1:3" ht="15.75" thickBot="1">
      <c r="A5838" s="6" t="s">
        <v>11097</v>
      </c>
      <c r="B5838" s="5" t="s">
        <v>11098</v>
      </c>
      <c r="C5838" s="3" t="s">
        <v>5</v>
      </c>
    </row>
    <row r="5839" spans="1:3" ht="15.75" thickBot="1">
      <c r="A5839" s="6" t="s">
        <v>11099</v>
      </c>
      <c r="B5839" s="5" t="s">
        <v>11100</v>
      </c>
      <c r="C5839" s="3" t="s">
        <v>5</v>
      </c>
    </row>
    <row r="5840" spans="1:3" ht="15.75" thickBot="1">
      <c r="A5840" s="6" t="s">
        <v>11101</v>
      </c>
      <c r="B5840" s="5" t="s">
        <v>11102</v>
      </c>
      <c r="C5840" s="3" t="s">
        <v>5</v>
      </c>
    </row>
    <row r="5841" spans="1:3" ht="15.75" thickBot="1">
      <c r="A5841" s="6" t="s">
        <v>11103</v>
      </c>
      <c r="B5841" s="5" t="s">
        <v>11104</v>
      </c>
      <c r="C5841" s="3" t="s">
        <v>5</v>
      </c>
    </row>
    <row r="5842" spans="1:3" ht="15.75" thickBot="1">
      <c r="A5842" s="6" t="s">
        <v>11105</v>
      </c>
      <c r="B5842" s="5" t="s">
        <v>11106</v>
      </c>
      <c r="C5842" s="3" t="s">
        <v>5</v>
      </c>
    </row>
    <row r="5843" spans="1:3" ht="15.75" thickBot="1">
      <c r="A5843" s="6" t="s">
        <v>11107</v>
      </c>
      <c r="B5843" s="5" t="s">
        <v>11108</v>
      </c>
      <c r="C5843" s="3" t="s">
        <v>5</v>
      </c>
    </row>
    <row r="5844" spans="1:3" ht="26.25" thickBot="1">
      <c r="A5844" s="6" t="s">
        <v>11109</v>
      </c>
      <c r="B5844" s="5" t="s">
        <v>11110</v>
      </c>
      <c r="C5844" s="3" t="s">
        <v>5</v>
      </c>
    </row>
    <row r="5845" spans="1:3" ht="15.75" thickBot="1">
      <c r="A5845" s="6" t="s">
        <v>11111</v>
      </c>
      <c r="B5845" s="5" t="s">
        <v>11112</v>
      </c>
      <c r="C5845" s="3" t="s">
        <v>5</v>
      </c>
    </row>
    <row r="5846" spans="1:3" ht="15.75" thickBot="1">
      <c r="A5846" s="6" t="s">
        <v>11113</v>
      </c>
      <c r="B5846" s="5" t="s">
        <v>11114</v>
      </c>
      <c r="C5846" s="3" t="s">
        <v>5</v>
      </c>
    </row>
    <row r="5847" spans="1:3" ht="15.75" thickBot="1">
      <c r="A5847" s="6" t="s">
        <v>11115</v>
      </c>
      <c r="B5847" s="5" t="s">
        <v>11116</v>
      </c>
      <c r="C5847" s="3" t="s">
        <v>5</v>
      </c>
    </row>
    <row r="5848" spans="1:3" ht="15.75" thickBot="1">
      <c r="A5848" s="6" t="s">
        <v>11117</v>
      </c>
      <c r="B5848" s="5" t="s">
        <v>11118</v>
      </c>
      <c r="C5848" s="3" t="s">
        <v>5</v>
      </c>
    </row>
    <row r="5849" spans="1:3" ht="15.75" thickBot="1">
      <c r="A5849" s="6" t="s">
        <v>11119</v>
      </c>
      <c r="B5849" s="5" t="s">
        <v>11120</v>
      </c>
      <c r="C5849" s="3" t="s">
        <v>5</v>
      </c>
    </row>
    <row r="5850" spans="1:3" ht="26.25" thickBot="1">
      <c r="A5850" s="6" t="s">
        <v>11121</v>
      </c>
      <c r="B5850" s="5" t="s">
        <v>11122</v>
      </c>
      <c r="C5850" s="3" t="s">
        <v>5</v>
      </c>
    </row>
    <row r="5851" spans="1:3" ht="15.75" thickBot="1">
      <c r="A5851" s="6" t="s">
        <v>11123</v>
      </c>
      <c r="B5851" s="5" t="s">
        <v>11124</v>
      </c>
      <c r="C5851" s="3" t="s">
        <v>5</v>
      </c>
    </row>
    <row r="5852" spans="1:3" ht="15.75" thickBot="1">
      <c r="A5852" s="6" t="s">
        <v>11125</v>
      </c>
      <c r="B5852" s="5" t="s">
        <v>11126</v>
      </c>
      <c r="C5852" s="3" t="s">
        <v>5</v>
      </c>
    </row>
    <row r="5853" spans="1:3" ht="15.75" thickBot="1">
      <c r="A5853" s="6" t="s">
        <v>11127</v>
      </c>
      <c r="B5853" s="5" t="s">
        <v>11128</v>
      </c>
      <c r="C5853" s="3" t="s">
        <v>5</v>
      </c>
    </row>
    <row r="5854" spans="1:3" ht="15.75" thickBot="1">
      <c r="A5854" s="6" t="s">
        <v>11129</v>
      </c>
      <c r="B5854" s="5" t="s">
        <v>11130</v>
      </c>
      <c r="C5854" s="3" t="s">
        <v>5</v>
      </c>
    </row>
    <row r="5855" spans="1:3" ht="15.75" thickBot="1">
      <c r="A5855" s="6" t="s">
        <v>11131</v>
      </c>
      <c r="B5855" s="5" t="s">
        <v>11132</v>
      </c>
      <c r="C5855" s="3" t="s">
        <v>5</v>
      </c>
    </row>
    <row r="5856" spans="1:3" ht="15.75" thickBot="1">
      <c r="A5856" s="6" t="s">
        <v>11133</v>
      </c>
      <c r="B5856" s="5" t="s">
        <v>11134</v>
      </c>
      <c r="C5856" s="3" t="s">
        <v>5</v>
      </c>
    </row>
    <row r="5857" spans="1:3" ht="15.75" thickBot="1">
      <c r="A5857" s="6" t="s">
        <v>11135</v>
      </c>
      <c r="B5857" s="5" t="s">
        <v>11136</v>
      </c>
      <c r="C5857" s="3" t="s">
        <v>5</v>
      </c>
    </row>
    <row r="5858" spans="1:3" ht="15.75" thickBot="1">
      <c r="A5858" s="6" t="s">
        <v>11137</v>
      </c>
      <c r="B5858" s="5" t="s">
        <v>11138</v>
      </c>
      <c r="C5858" s="3" t="s">
        <v>5</v>
      </c>
    </row>
    <row r="5859" spans="1:3" ht="15.75" thickBot="1">
      <c r="A5859" s="6" t="s">
        <v>11139</v>
      </c>
      <c r="B5859" s="5" t="s">
        <v>11140</v>
      </c>
      <c r="C5859" s="3" t="s">
        <v>5</v>
      </c>
    </row>
    <row r="5860" spans="1:3" ht="15.75" thickBot="1">
      <c r="A5860" s="6" t="s">
        <v>11141</v>
      </c>
      <c r="B5860" s="5" t="s">
        <v>11142</v>
      </c>
      <c r="C5860" s="3" t="s">
        <v>5</v>
      </c>
    </row>
    <row r="5861" spans="1:3" ht="15.75" thickBot="1">
      <c r="A5861" s="6" t="s">
        <v>11143</v>
      </c>
      <c r="B5861" s="5" t="s">
        <v>11144</v>
      </c>
      <c r="C5861" s="3" t="s">
        <v>5</v>
      </c>
    </row>
    <row r="5862" spans="1:3" ht="15.75" thickBot="1">
      <c r="A5862" s="6" t="s">
        <v>11145</v>
      </c>
      <c r="B5862" s="5" t="s">
        <v>11146</v>
      </c>
      <c r="C5862" s="3" t="s">
        <v>5</v>
      </c>
    </row>
    <row r="5863" spans="1:3" ht="15.75" thickBot="1">
      <c r="A5863" s="6" t="s">
        <v>11147</v>
      </c>
      <c r="B5863" s="5" t="s">
        <v>11148</v>
      </c>
      <c r="C5863" s="3" t="s">
        <v>5</v>
      </c>
    </row>
    <row r="5864" spans="1:3" ht="15.75" thickBot="1">
      <c r="A5864" s="6" t="s">
        <v>11147</v>
      </c>
      <c r="B5864" s="5" t="s">
        <v>11148</v>
      </c>
      <c r="C5864" s="3" t="s">
        <v>5</v>
      </c>
    </row>
    <row r="5865" spans="1:3" ht="15.75" thickBot="1">
      <c r="A5865" s="6" t="s">
        <v>11149</v>
      </c>
      <c r="B5865" s="5" t="s">
        <v>11150</v>
      </c>
      <c r="C5865" s="3" t="s">
        <v>5</v>
      </c>
    </row>
    <row r="5866" spans="1:3" ht="15.75" thickBot="1">
      <c r="A5866" s="6" t="s">
        <v>11151</v>
      </c>
      <c r="B5866" s="5" t="s">
        <v>11152</v>
      </c>
      <c r="C5866" s="3" t="s">
        <v>5</v>
      </c>
    </row>
    <row r="5867" spans="1:3" ht="15.75" thickBot="1">
      <c r="A5867" s="6" t="s">
        <v>11153</v>
      </c>
      <c r="B5867" s="5" t="s">
        <v>11154</v>
      </c>
      <c r="C5867" s="3" t="s">
        <v>5</v>
      </c>
    </row>
    <row r="5868" spans="1:3" ht="15.75" thickBot="1">
      <c r="A5868" s="6" t="s">
        <v>11155</v>
      </c>
      <c r="B5868" s="5" t="s">
        <v>11156</v>
      </c>
      <c r="C5868" s="3" t="s">
        <v>5</v>
      </c>
    </row>
    <row r="5869" spans="1:3" ht="15.75" thickBot="1">
      <c r="A5869" s="6" t="s">
        <v>11157</v>
      </c>
      <c r="B5869" s="5" t="s">
        <v>11158</v>
      </c>
      <c r="C5869" s="3" t="s">
        <v>5</v>
      </c>
    </row>
    <row r="5870" spans="1:3" ht="15.75" thickBot="1">
      <c r="A5870" s="6" t="s">
        <v>11159</v>
      </c>
      <c r="B5870" s="5" t="s">
        <v>11160</v>
      </c>
      <c r="C5870" s="3" t="s">
        <v>5</v>
      </c>
    </row>
    <row r="5871" spans="1:3" ht="15.75" thickBot="1">
      <c r="A5871" s="6" t="s">
        <v>11161</v>
      </c>
      <c r="B5871" s="5" t="s">
        <v>11162</v>
      </c>
      <c r="C5871" s="3" t="s">
        <v>5</v>
      </c>
    </row>
    <row r="5872" spans="1:3" ht="15.75" thickBot="1">
      <c r="A5872" s="6" t="s">
        <v>11163</v>
      </c>
      <c r="B5872" s="5" t="s">
        <v>11164</v>
      </c>
      <c r="C5872" s="3" t="s">
        <v>5</v>
      </c>
    </row>
    <row r="5873" spans="1:3" ht="15.75" thickBot="1">
      <c r="A5873" s="6" t="s">
        <v>11165</v>
      </c>
      <c r="B5873" s="5" t="s">
        <v>11166</v>
      </c>
      <c r="C5873" s="3" t="s">
        <v>5</v>
      </c>
    </row>
    <row r="5874" spans="1:3" ht="15.75" thickBot="1">
      <c r="A5874" s="6" t="s">
        <v>11167</v>
      </c>
      <c r="B5874" s="5" t="s">
        <v>11168</v>
      </c>
      <c r="C5874" s="3" t="s">
        <v>5</v>
      </c>
    </row>
    <row r="5875" spans="1:3" ht="15.75" thickBot="1">
      <c r="A5875" s="6" t="s">
        <v>11169</v>
      </c>
      <c r="B5875" s="5" t="s">
        <v>11170</v>
      </c>
      <c r="C5875" s="3" t="s">
        <v>5</v>
      </c>
    </row>
    <row r="5876" spans="1:3">
      <c r="A5876" s="1" t="s">
        <v>11171</v>
      </c>
      <c r="B5876" s="2" t="s">
        <v>11172</v>
      </c>
      <c r="C5876" s="3" t="s">
        <v>5</v>
      </c>
    </row>
    <row r="5877" spans="1:3" ht="15.75" thickBot="1">
      <c r="A5877" s="4"/>
      <c r="B5877" s="5" t="s">
        <v>3193</v>
      </c>
      <c r="C5877" s="3" t="s">
        <v>5</v>
      </c>
    </row>
    <row r="5878" spans="1:3" ht="15.75" thickBot="1">
      <c r="A5878" s="6" t="s">
        <v>11173</v>
      </c>
      <c r="B5878" s="5" t="s">
        <v>11174</v>
      </c>
      <c r="C5878" s="3" t="s">
        <v>5</v>
      </c>
    </row>
    <row r="5879" spans="1:3" ht="15.75" thickBot="1">
      <c r="A5879" s="6" t="s">
        <v>11175</v>
      </c>
      <c r="B5879" s="5" t="s">
        <v>11176</v>
      </c>
      <c r="C5879" s="3" t="s">
        <v>5</v>
      </c>
    </row>
    <row r="5880" spans="1:3" ht="15.75" thickBot="1">
      <c r="A5880" s="6" t="s">
        <v>11177</v>
      </c>
      <c r="B5880" s="5" t="s">
        <v>11178</v>
      </c>
      <c r="C5880" s="3" t="s">
        <v>5</v>
      </c>
    </row>
    <row r="5881" spans="1:3" ht="15.75" thickBot="1">
      <c r="A5881" s="6" t="s">
        <v>11179</v>
      </c>
      <c r="B5881" s="5" t="s">
        <v>11180</v>
      </c>
      <c r="C5881" s="3" t="s">
        <v>5</v>
      </c>
    </row>
    <row r="5882" spans="1:3" ht="15.75" thickBot="1">
      <c r="A5882" s="6" t="s">
        <v>11181</v>
      </c>
      <c r="B5882" s="5" t="s">
        <v>11182</v>
      </c>
      <c r="C5882" s="3" t="s">
        <v>5</v>
      </c>
    </row>
    <row r="5883" spans="1:3">
      <c r="A5883" s="1" t="s">
        <v>11183</v>
      </c>
      <c r="B5883" s="2" t="s">
        <v>11184</v>
      </c>
      <c r="C5883" s="3" t="s">
        <v>5</v>
      </c>
    </row>
    <row r="5884" spans="1:3" ht="15.75" thickBot="1">
      <c r="A5884" s="4"/>
      <c r="B5884" s="5" t="s">
        <v>1997</v>
      </c>
      <c r="C5884" s="3" t="s">
        <v>5</v>
      </c>
    </row>
    <row r="5885" spans="1:3" ht="15.75" thickBot="1">
      <c r="A5885" s="6" t="s">
        <v>11185</v>
      </c>
      <c r="B5885" s="5" t="s">
        <v>11186</v>
      </c>
      <c r="C5885" s="3" t="s">
        <v>5</v>
      </c>
    </row>
    <row r="5886" spans="1:3" ht="15.75" thickBot="1">
      <c r="A5886" s="6" t="s">
        <v>11187</v>
      </c>
      <c r="B5886" s="5" t="s">
        <v>11188</v>
      </c>
      <c r="C5886" s="3" t="s">
        <v>5</v>
      </c>
    </row>
    <row r="5887" spans="1:3" ht="15.75" thickBot="1">
      <c r="A5887" s="6" t="s">
        <v>11189</v>
      </c>
      <c r="B5887" s="5" t="s">
        <v>11190</v>
      </c>
      <c r="C5887" s="3" t="s">
        <v>5</v>
      </c>
    </row>
    <row r="5888" spans="1:3" ht="15.75" thickBot="1">
      <c r="A5888" s="6" t="s">
        <v>11191</v>
      </c>
      <c r="B5888" s="5" t="s">
        <v>11192</v>
      </c>
      <c r="C5888" s="3" t="s">
        <v>5</v>
      </c>
    </row>
    <row r="5889" spans="1:3" ht="15.75" thickBot="1">
      <c r="A5889" s="6" t="s">
        <v>11193</v>
      </c>
      <c r="B5889" s="5" t="s">
        <v>11194</v>
      </c>
      <c r="C5889" s="3" t="s">
        <v>5</v>
      </c>
    </row>
    <row r="5890" spans="1:3" ht="15.75" thickBot="1">
      <c r="A5890" s="6" t="s">
        <v>11195</v>
      </c>
      <c r="B5890" s="5" t="s">
        <v>11196</v>
      </c>
      <c r="C5890" s="3" t="s">
        <v>5</v>
      </c>
    </row>
    <row r="5891" spans="1:3" ht="15.75" thickBot="1">
      <c r="A5891" s="6" t="s">
        <v>11197</v>
      </c>
      <c r="B5891" s="5" t="s">
        <v>11198</v>
      </c>
      <c r="C5891" s="3" t="s">
        <v>5</v>
      </c>
    </row>
    <row r="5892" spans="1:3" ht="15.75" thickBot="1">
      <c r="A5892" s="6" t="s">
        <v>11199</v>
      </c>
      <c r="B5892" s="5" t="s">
        <v>11200</v>
      </c>
      <c r="C5892" s="3" t="s">
        <v>5</v>
      </c>
    </row>
    <row r="5893" spans="1:3" ht="15.75" thickBot="1">
      <c r="A5893" s="6" t="s">
        <v>11201</v>
      </c>
      <c r="B5893" s="5" t="s">
        <v>11202</v>
      </c>
      <c r="C5893" s="3" t="s">
        <v>5</v>
      </c>
    </row>
    <row r="5894" spans="1:3" ht="15.75" thickBot="1">
      <c r="A5894" s="6" t="s">
        <v>11203</v>
      </c>
      <c r="B5894" s="5" t="s">
        <v>11204</v>
      </c>
      <c r="C5894" s="3" t="s">
        <v>5</v>
      </c>
    </row>
    <row r="5895" spans="1:3" ht="15.75" thickBot="1">
      <c r="A5895" s="6" t="s">
        <v>11205</v>
      </c>
      <c r="B5895" s="5" t="s">
        <v>11206</v>
      </c>
      <c r="C5895" s="3" t="s">
        <v>5</v>
      </c>
    </row>
    <row r="5896" spans="1:3" ht="15.75" thickBot="1">
      <c r="A5896" s="6" t="s">
        <v>11207</v>
      </c>
      <c r="B5896" s="5" t="s">
        <v>11208</v>
      </c>
      <c r="C5896" s="3" t="s">
        <v>5</v>
      </c>
    </row>
    <row r="5897" spans="1:3" ht="15.75" thickBot="1">
      <c r="A5897" s="6" t="s">
        <v>11209</v>
      </c>
      <c r="B5897" s="5" t="s">
        <v>11210</v>
      </c>
      <c r="C5897" s="3" t="s">
        <v>5</v>
      </c>
    </row>
    <row r="5898" spans="1:3" ht="15.75" thickBot="1">
      <c r="A5898" s="6" t="s">
        <v>11211</v>
      </c>
      <c r="B5898" s="5" t="s">
        <v>11212</v>
      </c>
      <c r="C5898" s="3" t="s">
        <v>5</v>
      </c>
    </row>
    <row r="5899" spans="1:3" ht="15.75" thickBot="1">
      <c r="A5899" s="6" t="s">
        <v>11213</v>
      </c>
      <c r="B5899" s="5" t="s">
        <v>11214</v>
      </c>
      <c r="C5899" s="3" t="s">
        <v>5</v>
      </c>
    </row>
    <row r="5900" spans="1:3" ht="15.75" thickBot="1">
      <c r="A5900" s="6" t="s">
        <v>11215</v>
      </c>
      <c r="B5900" s="5" t="s">
        <v>11216</v>
      </c>
      <c r="C5900" s="3" t="s">
        <v>5</v>
      </c>
    </row>
    <row r="5901" spans="1:3" ht="15.75" thickBot="1">
      <c r="A5901" s="6" t="s">
        <v>11217</v>
      </c>
      <c r="B5901" s="5" t="s">
        <v>11218</v>
      </c>
      <c r="C5901" s="3" t="s">
        <v>5</v>
      </c>
    </row>
    <row r="5902" spans="1:3" ht="15.75" thickBot="1">
      <c r="A5902" s="6" t="s">
        <v>11219</v>
      </c>
      <c r="B5902" s="5" t="s">
        <v>11220</v>
      </c>
      <c r="C5902" s="3" t="s">
        <v>5</v>
      </c>
    </row>
    <row r="5903" spans="1:3" ht="15.75" thickBot="1">
      <c r="A5903" s="6" t="s">
        <v>11221</v>
      </c>
      <c r="B5903" s="5" t="s">
        <v>11222</v>
      </c>
      <c r="C5903" s="3" t="s">
        <v>5</v>
      </c>
    </row>
    <row r="5904" spans="1:3" ht="15.75" thickBot="1">
      <c r="A5904" s="6" t="s">
        <v>11223</v>
      </c>
      <c r="B5904" s="5" t="s">
        <v>11224</v>
      </c>
      <c r="C5904" s="3" t="s">
        <v>5</v>
      </c>
    </row>
    <row r="5905" spans="1:3" ht="15.75" thickBot="1">
      <c r="A5905" s="6" t="s">
        <v>11225</v>
      </c>
      <c r="B5905" s="5" t="s">
        <v>11226</v>
      </c>
      <c r="C5905" s="3" t="s">
        <v>5</v>
      </c>
    </row>
    <row r="5906" spans="1:3" ht="15.75" thickBot="1">
      <c r="A5906" s="6" t="s">
        <v>11227</v>
      </c>
      <c r="B5906" s="5" t="s">
        <v>11228</v>
      </c>
      <c r="C5906" s="3" t="s">
        <v>5</v>
      </c>
    </row>
    <row r="5907" spans="1:3" ht="15.75" thickBot="1">
      <c r="A5907" s="6" t="s">
        <v>11229</v>
      </c>
      <c r="B5907" s="5" t="s">
        <v>11230</v>
      </c>
      <c r="C5907" s="3" t="s">
        <v>5</v>
      </c>
    </row>
    <row r="5908" spans="1:3" ht="15.75" thickBot="1">
      <c r="A5908" s="6" t="s">
        <v>11231</v>
      </c>
      <c r="B5908" s="5" t="s">
        <v>11232</v>
      </c>
      <c r="C5908" s="3" t="s">
        <v>5</v>
      </c>
    </row>
    <row r="5909" spans="1:3">
      <c r="A5909" s="1" t="s">
        <v>11233</v>
      </c>
      <c r="B5909" s="2" t="s">
        <v>11234</v>
      </c>
      <c r="C5909" s="3" t="s">
        <v>5</v>
      </c>
    </row>
    <row r="5910" spans="1:3" ht="15.75" thickBot="1">
      <c r="A5910" s="4"/>
      <c r="B5910" s="5" t="s">
        <v>5473</v>
      </c>
      <c r="C5910" s="3" t="s">
        <v>5</v>
      </c>
    </row>
    <row r="5911" spans="1:3" ht="15.75" thickBot="1">
      <c r="A5911" s="6" t="s">
        <v>11235</v>
      </c>
      <c r="B5911" s="5" t="s">
        <v>11236</v>
      </c>
      <c r="C5911" s="3" t="s">
        <v>5</v>
      </c>
    </row>
    <row r="5912" spans="1:3" ht="15.75" thickBot="1">
      <c r="A5912" s="6" t="s">
        <v>11237</v>
      </c>
      <c r="B5912" s="5" t="s">
        <v>11238</v>
      </c>
      <c r="C5912" s="3" t="s">
        <v>5</v>
      </c>
    </row>
    <row r="5913" spans="1:3" ht="15.75" thickBot="1">
      <c r="A5913" s="6" t="s">
        <v>11239</v>
      </c>
      <c r="B5913" s="5" t="s">
        <v>11240</v>
      </c>
      <c r="C5913" s="3" t="s">
        <v>5</v>
      </c>
    </row>
    <row r="5914" spans="1:3" ht="15.75" thickBot="1">
      <c r="A5914" s="6" t="s">
        <v>11241</v>
      </c>
      <c r="B5914" s="5" t="s">
        <v>11242</v>
      </c>
      <c r="C5914" s="3" t="s">
        <v>5</v>
      </c>
    </row>
    <row r="5915" spans="1:3" ht="15.75" thickBot="1">
      <c r="A5915" s="6" t="s">
        <v>11243</v>
      </c>
      <c r="B5915" s="5" t="s">
        <v>11244</v>
      </c>
      <c r="C5915" s="3" t="s">
        <v>5</v>
      </c>
    </row>
    <row r="5916" spans="1:3" ht="15.75" thickBot="1">
      <c r="A5916" s="6" t="s">
        <v>11245</v>
      </c>
      <c r="B5916" s="5" t="s">
        <v>11246</v>
      </c>
      <c r="C5916" s="3" t="s">
        <v>5</v>
      </c>
    </row>
    <row r="5917" spans="1:3" ht="15.75" thickBot="1">
      <c r="A5917" s="6" t="s">
        <v>11247</v>
      </c>
      <c r="B5917" s="5" t="s">
        <v>11248</v>
      </c>
      <c r="C5917" s="3" t="s">
        <v>5</v>
      </c>
    </row>
    <row r="5918" spans="1:3" ht="15.75" thickBot="1">
      <c r="A5918" s="6" t="s">
        <v>11249</v>
      </c>
      <c r="B5918" s="5" t="s">
        <v>11250</v>
      </c>
      <c r="C5918" s="3" t="s">
        <v>5</v>
      </c>
    </row>
    <row r="5919" spans="1:3" ht="15.75" thickBot="1">
      <c r="A5919" s="6" t="s">
        <v>11251</v>
      </c>
      <c r="B5919" s="5" t="s">
        <v>11252</v>
      </c>
      <c r="C5919" s="3" t="s">
        <v>5</v>
      </c>
    </row>
    <row r="5920" spans="1:3" ht="15.75" thickBot="1">
      <c r="A5920" s="6" t="s">
        <v>11253</v>
      </c>
      <c r="B5920" s="5" t="s">
        <v>11254</v>
      </c>
      <c r="C5920" s="3" t="s">
        <v>5</v>
      </c>
    </row>
    <row r="5921" spans="1:3" ht="15.75" thickBot="1">
      <c r="A5921" s="6" t="s">
        <v>11255</v>
      </c>
      <c r="B5921" s="5" t="s">
        <v>11256</v>
      </c>
      <c r="C5921" s="3" t="s">
        <v>5</v>
      </c>
    </row>
    <row r="5922" spans="1:3" ht="15.75" thickBot="1">
      <c r="A5922" s="6" t="s">
        <v>11257</v>
      </c>
      <c r="B5922" s="5" t="s">
        <v>11258</v>
      </c>
      <c r="C5922" s="3" t="s">
        <v>5</v>
      </c>
    </row>
    <row r="5923" spans="1:3" ht="15.75" thickBot="1">
      <c r="A5923" s="6" t="s">
        <v>11259</v>
      </c>
      <c r="B5923" s="5" t="s">
        <v>11260</v>
      </c>
      <c r="C5923" s="3" t="s">
        <v>5</v>
      </c>
    </row>
    <row r="5924" spans="1:3" ht="15.75" thickBot="1">
      <c r="A5924" s="6" t="s">
        <v>11261</v>
      </c>
      <c r="B5924" s="5" t="s">
        <v>11262</v>
      </c>
      <c r="C5924" s="3" t="s">
        <v>5</v>
      </c>
    </row>
    <row r="5925" spans="1:3" ht="15.75" thickBot="1">
      <c r="A5925" s="6" t="s">
        <v>11263</v>
      </c>
      <c r="B5925" s="5" t="s">
        <v>11264</v>
      </c>
      <c r="C5925" s="3" t="s">
        <v>5</v>
      </c>
    </row>
    <row r="5926" spans="1:3" ht="15.75" thickBot="1">
      <c r="A5926" s="6" t="s">
        <v>11265</v>
      </c>
      <c r="B5926" s="5" t="s">
        <v>11266</v>
      </c>
      <c r="C5926" s="3" t="s">
        <v>5</v>
      </c>
    </row>
    <row r="5927" spans="1:3" ht="15.75" thickBot="1">
      <c r="A5927" s="6" t="s">
        <v>11267</v>
      </c>
      <c r="B5927" s="5" t="s">
        <v>11268</v>
      </c>
      <c r="C5927" s="3" t="s">
        <v>5</v>
      </c>
    </row>
    <row r="5928" spans="1:3" ht="15.75" thickBot="1">
      <c r="A5928" s="6" t="s">
        <v>11269</v>
      </c>
      <c r="B5928" s="5" t="s">
        <v>11270</v>
      </c>
      <c r="C5928" s="3" t="s">
        <v>5</v>
      </c>
    </row>
    <row r="5929" spans="1:3" ht="15.75" thickBot="1">
      <c r="A5929" s="6" t="s">
        <v>11271</v>
      </c>
      <c r="B5929" s="5" t="s">
        <v>11272</v>
      </c>
      <c r="C5929" s="3" t="s">
        <v>5</v>
      </c>
    </row>
    <row r="5930" spans="1:3">
      <c r="A5930" s="1" t="s">
        <v>11273</v>
      </c>
      <c r="B5930" s="2" t="s">
        <v>11274</v>
      </c>
      <c r="C5930" s="3" t="s">
        <v>5</v>
      </c>
    </row>
    <row r="5931" spans="1:3" ht="15.75" thickBot="1">
      <c r="A5931" s="4"/>
      <c r="B5931" s="5" t="s">
        <v>11275</v>
      </c>
      <c r="C5931" s="3" t="s">
        <v>5</v>
      </c>
    </row>
    <row r="5932" spans="1:3" ht="15.75" thickBot="1">
      <c r="A5932" s="6" t="s">
        <v>11276</v>
      </c>
      <c r="B5932" s="5" t="s">
        <v>11277</v>
      </c>
      <c r="C5932" s="3" t="s">
        <v>5</v>
      </c>
    </row>
    <row r="5933" spans="1:3" ht="15.75" thickBot="1">
      <c r="A5933" s="6" t="s">
        <v>11278</v>
      </c>
      <c r="B5933" s="5" t="s">
        <v>11279</v>
      </c>
      <c r="C5933" s="3" t="s">
        <v>5</v>
      </c>
    </row>
    <row r="5934" spans="1:3" ht="15.75" thickBot="1">
      <c r="A5934" s="6" t="s">
        <v>11280</v>
      </c>
      <c r="B5934" s="5" t="s">
        <v>11281</v>
      </c>
      <c r="C5934" s="3" t="s">
        <v>5</v>
      </c>
    </row>
    <row r="5935" spans="1:3" ht="15.75" thickBot="1">
      <c r="A5935" s="6" t="s">
        <v>11282</v>
      </c>
      <c r="B5935" s="5" t="s">
        <v>11283</v>
      </c>
      <c r="C5935" s="3" t="s">
        <v>5</v>
      </c>
    </row>
    <row r="5936" spans="1:3" ht="15.75" thickBot="1">
      <c r="A5936" s="6" t="s">
        <v>11284</v>
      </c>
      <c r="B5936" s="5" t="s">
        <v>11285</v>
      </c>
      <c r="C5936" s="3" t="s">
        <v>5</v>
      </c>
    </row>
    <row r="5937" spans="1:3" ht="15.75" thickBot="1">
      <c r="A5937" s="6" t="s">
        <v>11286</v>
      </c>
      <c r="B5937" s="5" t="s">
        <v>11287</v>
      </c>
      <c r="C5937" s="3" t="s">
        <v>5</v>
      </c>
    </row>
    <row r="5938" spans="1:3" ht="15.75" thickBot="1">
      <c r="A5938" s="6" t="s">
        <v>11288</v>
      </c>
      <c r="B5938" s="5" t="s">
        <v>11289</v>
      </c>
      <c r="C5938" s="3" t="s">
        <v>5</v>
      </c>
    </row>
    <row r="5939" spans="1:3" ht="15.75" thickBot="1">
      <c r="A5939" s="6" t="s">
        <v>11290</v>
      </c>
      <c r="B5939" s="5" t="s">
        <v>11291</v>
      </c>
      <c r="C5939" s="3" t="s">
        <v>5</v>
      </c>
    </row>
    <row r="5940" spans="1:3" ht="15.75" thickBot="1">
      <c r="A5940" s="6" t="s">
        <v>11292</v>
      </c>
      <c r="B5940" s="5" t="s">
        <v>11289</v>
      </c>
      <c r="C5940" s="3" t="s">
        <v>5</v>
      </c>
    </row>
    <row r="5941" spans="1:3" ht="15.75" thickBot="1">
      <c r="A5941" s="6" t="s">
        <v>11293</v>
      </c>
      <c r="B5941" s="5" t="s">
        <v>11294</v>
      </c>
      <c r="C5941" s="3" t="s">
        <v>5</v>
      </c>
    </row>
    <row r="5942" spans="1:3" ht="15.75" thickBot="1">
      <c r="A5942" s="6" t="s">
        <v>11295</v>
      </c>
      <c r="B5942" s="5" t="e">
        <f xml:space="preserve"> pillow distortion</f>
        <v>#NAME?</v>
      </c>
      <c r="C5942" s="3" t="s">
        <v>5</v>
      </c>
    </row>
    <row r="5943" spans="1:3" ht="15.75" thickBot="1">
      <c r="A5943" s="6" t="s">
        <v>11296</v>
      </c>
      <c r="B5943" s="5" t="s">
        <v>11297</v>
      </c>
      <c r="C5943" s="3" t="s">
        <v>5</v>
      </c>
    </row>
    <row r="5944" spans="1:3" ht="15.75" thickBot="1">
      <c r="A5944" s="6" t="s">
        <v>11298</v>
      </c>
      <c r="B5944" s="5" t="s">
        <v>11299</v>
      </c>
      <c r="C5944" s="3" t="s">
        <v>5</v>
      </c>
    </row>
    <row r="5945" spans="1:3" ht="15.75" thickBot="1">
      <c r="A5945" s="6" t="s">
        <v>11300</v>
      </c>
      <c r="B5945" s="5" t="s">
        <v>11301</v>
      </c>
      <c r="C5945" s="3" t="s">
        <v>5</v>
      </c>
    </row>
    <row r="5946" spans="1:3" ht="15.75" thickBot="1">
      <c r="A5946" s="6" t="s">
        <v>11302</v>
      </c>
      <c r="B5946" s="5" t="s">
        <v>11303</v>
      </c>
      <c r="C5946" s="3" t="s">
        <v>5</v>
      </c>
    </row>
    <row r="5947" spans="1:3" ht="15.75" thickBot="1">
      <c r="A5947" s="6" t="s">
        <v>11304</v>
      </c>
      <c r="B5947" s="5" t="s">
        <v>11305</v>
      </c>
      <c r="C5947" s="3" t="s">
        <v>5</v>
      </c>
    </row>
    <row r="5948" spans="1:3" ht="15.75" thickBot="1">
      <c r="A5948" s="6" t="s">
        <v>11306</v>
      </c>
      <c r="B5948" s="5" t="s">
        <v>11307</v>
      </c>
      <c r="C5948" s="3" t="s">
        <v>5</v>
      </c>
    </row>
    <row r="5949" spans="1:3" ht="15.75" thickBot="1">
      <c r="A5949" s="6" t="s">
        <v>11308</v>
      </c>
      <c r="B5949" s="5" t="s">
        <v>11309</v>
      </c>
      <c r="C5949" s="3" t="s">
        <v>5</v>
      </c>
    </row>
    <row r="5950" spans="1:3" ht="15.75" thickBot="1">
      <c r="A5950" s="6" t="s">
        <v>11310</v>
      </c>
      <c r="B5950" s="5" t="s">
        <v>11311</v>
      </c>
      <c r="C5950" s="3" t="s">
        <v>5</v>
      </c>
    </row>
    <row r="5951" spans="1:3" ht="15.75" thickBot="1">
      <c r="A5951" s="6" t="s">
        <v>11312</v>
      </c>
      <c r="B5951" s="5" t="s">
        <v>11313</v>
      </c>
      <c r="C5951" s="3" t="s">
        <v>5</v>
      </c>
    </row>
    <row r="5952" spans="1:3" ht="15.75" thickBot="1">
      <c r="A5952" s="6" t="s">
        <v>11314</v>
      </c>
      <c r="B5952" s="5" t="s">
        <v>11315</v>
      </c>
      <c r="C5952" s="3" t="s">
        <v>5</v>
      </c>
    </row>
    <row r="5953" spans="1:3" ht="15.75" thickBot="1">
      <c r="A5953" s="6" t="s">
        <v>11316</v>
      </c>
      <c r="B5953" s="5" t="s">
        <v>11317</v>
      </c>
      <c r="C5953" s="3" t="s">
        <v>5</v>
      </c>
    </row>
    <row r="5954" spans="1:3" ht="15.75" thickBot="1">
      <c r="A5954" s="6" t="s">
        <v>11318</v>
      </c>
      <c r="B5954" s="5" t="s">
        <v>11319</v>
      </c>
      <c r="C5954" s="3" t="s">
        <v>5</v>
      </c>
    </row>
    <row r="5955" spans="1:3" ht="15.75" thickBot="1">
      <c r="A5955" s="6" t="s">
        <v>11320</v>
      </c>
      <c r="B5955" s="5" t="s">
        <v>11321</v>
      </c>
      <c r="C5955" s="3" t="s">
        <v>5</v>
      </c>
    </row>
    <row r="5956" spans="1:3" ht="15.75" thickBot="1">
      <c r="A5956" s="6" t="s">
        <v>11322</v>
      </c>
      <c r="B5956" s="5" t="s">
        <v>11323</v>
      </c>
      <c r="C5956" s="3" t="s">
        <v>5</v>
      </c>
    </row>
    <row r="5957" spans="1:3" ht="15.75" thickBot="1">
      <c r="A5957" s="6" t="s">
        <v>11324</v>
      </c>
      <c r="B5957" s="5" t="s">
        <v>11325</v>
      </c>
      <c r="C5957" s="3" t="s">
        <v>5</v>
      </c>
    </row>
    <row r="5958" spans="1:3" ht="15.75" thickBot="1">
      <c r="A5958" s="6" t="s">
        <v>11326</v>
      </c>
      <c r="B5958" s="5" t="s">
        <v>11327</v>
      </c>
      <c r="C5958" s="3" t="s">
        <v>5</v>
      </c>
    </row>
    <row r="5959" spans="1:3" ht="15.75" thickBot="1">
      <c r="A5959" s="6" t="s">
        <v>11328</v>
      </c>
      <c r="B5959" s="5" t="s">
        <v>11329</v>
      </c>
      <c r="C5959" s="3" t="s">
        <v>5</v>
      </c>
    </row>
    <row r="5960" spans="1:3" ht="15.75" thickBot="1">
      <c r="A5960" s="6" t="s">
        <v>11330</v>
      </c>
      <c r="B5960" s="5" t="s">
        <v>11331</v>
      </c>
      <c r="C5960" s="3" t="s">
        <v>5</v>
      </c>
    </row>
    <row r="5961" spans="1:3" ht="15.75" thickBot="1">
      <c r="A5961" s="6" t="s">
        <v>11332</v>
      </c>
      <c r="B5961" s="5" t="s">
        <v>11333</v>
      </c>
      <c r="C5961" s="3" t="s">
        <v>5</v>
      </c>
    </row>
    <row r="5962" spans="1:3" ht="15.75" thickBot="1">
      <c r="A5962" s="6" t="s">
        <v>11334</v>
      </c>
      <c r="B5962" s="5" t="s">
        <v>11335</v>
      </c>
      <c r="C5962" s="3" t="s">
        <v>5</v>
      </c>
    </row>
    <row r="5963" spans="1:3" ht="15.75" thickBot="1">
      <c r="A5963" s="6" t="s">
        <v>11336</v>
      </c>
      <c r="B5963" s="5" t="e">
        <f xml:space="preserve"> anode input power</f>
        <v>#NAME?</v>
      </c>
      <c r="C5963" s="3" t="s">
        <v>5</v>
      </c>
    </row>
    <row r="5964" spans="1:3" ht="15.75" thickBot="1">
      <c r="A5964" s="6" t="s">
        <v>11337</v>
      </c>
      <c r="B5964" s="5" t="e">
        <f xml:space="preserve"> anode modulation</f>
        <v>#NAME?</v>
      </c>
      <c r="C5964" s="3" t="s">
        <v>5</v>
      </c>
    </row>
    <row r="5965" spans="1:3" ht="15.75" thickBot="1">
      <c r="A5965" s="6" t="s">
        <v>11338</v>
      </c>
      <c r="B5965" s="5" t="s">
        <v>11339</v>
      </c>
      <c r="C5965" s="3" t="s">
        <v>5</v>
      </c>
    </row>
    <row r="5966" spans="1:3" ht="15.75" thickBot="1">
      <c r="A5966" s="6" t="s">
        <v>11340</v>
      </c>
      <c r="B5966" s="5" t="s">
        <v>11341</v>
      </c>
      <c r="C5966" s="3" t="s">
        <v>5</v>
      </c>
    </row>
    <row r="5967" spans="1:3" ht="15.75" thickBot="1">
      <c r="A5967" s="6" t="s">
        <v>11342</v>
      </c>
      <c r="B5967" s="5" t="s">
        <v>11343</v>
      </c>
      <c r="C5967" s="3" t="s">
        <v>5</v>
      </c>
    </row>
    <row r="5968" spans="1:3" ht="15.75" thickBot="1">
      <c r="A5968" s="6" t="s">
        <v>11344</v>
      </c>
      <c r="B5968" s="5" t="s">
        <v>11345</v>
      </c>
      <c r="C5968" s="3" t="s">
        <v>5</v>
      </c>
    </row>
    <row r="5969" spans="1:3" ht="15.75" thickBot="1">
      <c r="A5969" s="6" t="s">
        <v>11346</v>
      </c>
      <c r="B5969" s="5" t="s">
        <v>11347</v>
      </c>
      <c r="C5969" s="3" t="s">
        <v>5</v>
      </c>
    </row>
    <row r="5970" spans="1:3" ht="15.75" thickBot="1">
      <c r="A5970" s="6" t="s">
        <v>11348</v>
      </c>
      <c r="B5970" s="5" t="s">
        <v>11349</v>
      </c>
      <c r="C5970" s="3" t="s">
        <v>5</v>
      </c>
    </row>
    <row r="5971" spans="1:3" ht="15.75" thickBot="1">
      <c r="A5971" s="6" t="s">
        <v>11350</v>
      </c>
      <c r="B5971" s="5" t="s">
        <v>11351</v>
      </c>
      <c r="C5971" s="3" t="s">
        <v>5</v>
      </c>
    </row>
    <row r="5972" spans="1:3" ht="15.75" thickBot="1">
      <c r="A5972" s="6" t="s">
        <v>11352</v>
      </c>
      <c r="B5972" s="5" t="s">
        <v>11353</v>
      </c>
      <c r="C5972" s="3" t="s">
        <v>5</v>
      </c>
    </row>
    <row r="5973" spans="1:3" ht="15.75" thickBot="1">
      <c r="A5973" s="6" t="s">
        <v>11354</v>
      </c>
      <c r="B5973" s="5" t="s">
        <v>11355</v>
      </c>
      <c r="C5973" s="3" t="s">
        <v>5</v>
      </c>
    </row>
    <row r="5974" spans="1:3" ht="15.75" thickBot="1">
      <c r="A5974" s="6" t="s">
        <v>11356</v>
      </c>
      <c r="B5974" s="5" t="s">
        <v>11357</v>
      </c>
      <c r="C5974" s="3" t="s">
        <v>5</v>
      </c>
    </row>
    <row r="5975" spans="1:3" ht="15.75" thickBot="1">
      <c r="A5975" s="6" t="s">
        <v>11358</v>
      </c>
      <c r="B5975" s="5" t="s">
        <v>11359</v>
      </c>
      <c r="C5975" s="3" t="s">
        <v>5</v>
      </c>
    </row>
    <row r="5976" spans="1:3" ht="15.75" thickBot="1">
      <c r="A5976" s="6" t="s">
        <v>11360</v>
      </c>
      <c r="B5976" s="5" t="s">
        <v>11361</v>
      </c>
      <c r="C5976" s="3" t="s">
        <v>5</v>
      </c>
    </row>
    <row r="5977" spans="1:3" ht="15.75" thickBot="1">
      <c r="A5977" s="6" t="s">
        <v>11362</v>
      </c>
      <c r="B5977" s="5" t="s">
        <v>11363</v>
      </c>
      <c r="C5977" s="3" t="s">
        <v>5</v>
      </c>
    </row>
    <row r="5978" spans="1:3" ht="15.75" thickBot="1">
      <c r="A5978" s="6" t="s">
        <v>11364</v>
      </c>
      <c r="B5978" s="5" t="s">
        <v>11365</v>
      </c>
      <c r="C5978" s="3" t="s">
        <v>5</v>
      </c>
    </row>
    <row r="5979" spans="1:3" ht="15.75" thickBot="1">
      <c r="A5979" s="6" t="s">
        <v>11366</v>
      </c>
      <c r="B5979" s="5" t="s">
        <v>11367</v>
      </c>
      <c r="C5979" s="3" t="s">
        <v>5</v>
      </c>
    </row>
    <row r="5980" spans="1:3" ht="15.75" thickBot="1">
      <c r="A5980" s="6" t="s">
        <v>11368</v>
      </c>
      <c r="B5980" s="5" t="s">
        <v>11369</v>
      </c>
      <c r="C5980" s="3" t="s">
        <v>5</v>
      </c>
    </row>
    <row r="5981" spans="1:3" ht="15.75" thickBot="1">
      <c r="A5981" s="6" t="s">
        <v>11370</v>
      </c>
      <c r="B5981" s="5" t="s">
        <v>11371</v>
      </c>
      <c r="C5981" s="3" t="s">
        <v>5</v>
      </c>
    </row>
    <row r="5982" spans="1:3" ht="15.75" thickBot="1">
      <c r="A5982" s="6" t="s">
        <v>11372</v>
      </c>
      <c r="B5982" s="5" t="s">
        <v>11373</v>
      </c>
      <c r="C5982" s="3" t="s">
        <v>5</v>
      </c>
    </row>
    <row r="5983" spans="1:3" ht="15.75" thickBot="1">
      <c r="A5983" s="6" t="s">
        <v>11374</v>
      </c>
      <c r="B5983" s="5" t="s">
        <v>11375</v>
      </c>
      <c r="C5983" s="3" t="s">
        <v>5</v>
      </c>
    </row>
    <row r="5984" spans="1:3" ht="15.75" thickBot="1">
      <c r="A5984" s="6" t="s">
        <v>11376</v>
      </c>
      <c r="B5984" s="5" t="s">
        <v>11377</v>
      </c>
      <c r="C5984" s="3" t="s">
        <v>5</v>
      </c>
    </row>
    <row r="5985" spans="1:3" ht="15.75" thickBot="1">
      <c r="A5985" s="6" t="s">
        <v>11378</v>
      </c>
      <c r="B5985" s="5" t="s">
        <v>11379</v>
      </c>
      <c r="C5985" s="3" t="s">
        <v>5</v>
      </c>
    </row>
    <row r="5986" spans="1:3" ht="15.75" thickBot="1">
      <c r="A5986" s="6" t="s">
        <v>11380</v>
      </c>
      <c r="B5986" s="5" t="s">
        <v>11381</v>
      </c>
      <c r="C5986" s="3" t="s">
        <v>5</v>
      </c>
    </row>
    <row r="5987" spans="1:3" ht="15.75" thickBot="1">
      <c r="A5987" s="6" t="s">
        <v>11382</v>
      </c>
      <c r="B5987" s="5" t="s">
        <v>11383</v>
      </c>
      <c r="C5987" s="3" t="s">
        <v>5</v>
      </c>
    </row>
    <row r="5988" spans="1:3" ht="15.75" thickBot="1">
      <c r="A5988" s="6" t="s">
        <v>11384</v>
      </c>
      <c r="B5988" s="5" t="s">
        <v>11385</v>
      </c>
      <c r="C5988" s="3" t="s">
        <v>5</v>
      </c>
    </row>
    <row r="5989" spans="1:3" ht="15.75" thickBot="1">
      <c r="A5989" s="6" t="s">
        <v>11386</v>
      </c>
      <c r="B5989" s="5" t="s">
        <v>11387</v>
      </c>
      <c r="C5989" s="3" t="s">
        <v>5</v>
      </c>
    </row>
    <row r="5990" spans="1:3" ht="15.75" thickBot="1">
      <c r="A5990" s="6" t="s">
        <v>11388</v>
      </c>
      <c r="B5990" s="5" t="s">
        <v>11389</v>
      </c>
      <c r="C5990" s="3" t="s">
        <v>5</v>
      </c>
    </row>
    <row r="5991" spans="1:3" ht="15.75" thickBot="1">
      <c r="A5991" s="6" t="s">
        <v>11390</v>
      </c>
      <c r="B5991" s="5" t="s">
        <v>11391</v>
      </c>
      <c r="C5991" s="3" t="s">
        <v>5</v>
      </c>
    </row>
    <row r="5992" spans="1:3" ht="15.75" thickBot="1">
      <c r="A5992" s="6" t="s">
        <v>11392</v>
      </c>
      <c r="B5992" s="5" t="s">
        <v>11393</v>
      </c>
      <c r="C5992" s="3" t="s">
        <v>5</v>
      </c>
    </row>
    <row r="5993" spans="1:3" ht="15.75" thickBot="1">
      <c r="A5993" s="6" t="s">
        <v>11394</v>
      </c>
      <c r="B5993" s="5" t="s">
        <v>11395</v>
      </c>
      <c r="C5993" s="3" t="s">
        <v>5</v>
      </c>
    </row>
    <row r="5994" spans="1:3" ht="15.75" thickBot="1">
      <c r="A5994" s="6" t="s">
        <v>11396</v>
      </c>
      <c r="B5994" s="5" t="s">
        <v>11397</v>
      </c>
      <c r="C5994" s="3" t="s">
        <v>5</v>
      </c>
    </row>
    <row r="5995" spans="1:3" ht="15.75" thickBot="1">
      <c r="A5995" s="6" t="s">
        <v>11398</v>
      </c>
      <c r="B5995" s="5" t="s">
        <v>11399</v>
      </c>
      <c r="C5995" s="3" t="s">
        <v>5</v>
      </c>
    </row>
    <row r="5996" spans="1:3" ht="15.75" thickBot="1">
      <c r="A5996" s="6" t="s">
        <v>11400</v>
      </c>
      <c r="B5996" s="5" t="s">
        <v>11401</v>
      </c>
      <c r="C5996" s="3" t="s">
        <v>5</v>
      </c>
    </row>
    <row r="5997" spans="1:3" ht="26.25" thickBot="1">
      <c r="A5997" s="6" t="s">
        <v>11402</v>
      </c>
      <c r="B5997" s="5" t="s">
        <v>11403</v>
      </c>
      <c r="C5997" s="3" t="s">
        <v>5</v>
      </c>
    </row>
    <row r="5998" spans="1:3" ht="15.75" thickBot="1">
      <c r="A5998" s="6" t="s">
        <v>11404</v>
      </c>
      <c r="B5998" s="5" t="s">
        <v>11405</v>
      </c>
      <c r="C5998" s="3" t="s">
        <v>5</v>
      </c>
    </row>
    <row r="5999" spans="1:3" ht="15.75" thickBot="1">
      <c r="A5999" s="6" t="s">
        <v>11406</v>
      </c>
      <c r="B5999" s="5" t="s">
        <v>11407</v>
      </c>
      <c r="C5999" s="3" t="s">
        <v>5</v>
      </c>
    </row>
    <row r="6000" spans="1:3" ht="15.75" thickBot="1">
      <c r="A6000" s="6" t="s">
        <v>11408</v>
      </c>
      <c r="B6000" s="5" t="s">
        <v>11409</v>
      </c>
      <c r="C6000" s="3" t="s">
        <v>5</v>
      </c>
    </row>
    <row r="6001" spans="1:3" ht="15.75" thickBot="1">
      <c r="A6001" s="6" t="s">
        <v>11410</v>
      </c>
      <c r="B6001" s="5" t="s">
        <v>11411</v>
      </c>
      <c r="C6001" s="3" t="s">
        <v>5</v>
      </c>
    </row>
    <row r="6002" spans="1:3" ht="15.75" thickBot="1">
      <c r="A6002" s="6" t="s">
        <v>11412</v>
      </c>
      <c r="B6002" s="5" t="s">
        <v>11413</v>
      </c>
      <c r="C6002" s="3" t="s">
        <v>5</v>
      </c>
    </row>
    <row r="6003" spans="1:3" ht="15.75" thickBot="1">
      <c r="A6003" s="6" t="s">
        <v>11414</v>
      </c>
      <c r="B6003" s="5" t="s">
        <v>11415</v>
      </c>
      <c r="C6003" s="3" t="s">
        <v>5</v>
      </c>
    </row>
    <row r="6004" spans="1:3" ht="15.75" thickBot="1">
      <c r="A6004" s="6" t="s">
        <v>11416</v>
      </c>
      <c r="B6004" s="5" t="s">
        <v>11417</v>
      </c>
      <c r="C6004" s="3" t="s">
        <v>5</v>
      </c>
    </row>
    <row r="6005" spans="1:3" ht="15.75" thickBot="1">
      <c r="A6005" s="6" t="s">
        <v>11418</v>
      </c>
      <c r="B6005" s="5" t="s">
        <v>11419</v>
      </c>
      <c r="C6005" s="3" t="s">
        <v>5</v>
      </c>
    </row>
    <row r="6006" spans="1:3" ht="15.75" thickBot="1">
      <c r="A6006" s="6" t="s">
        <v>11420</v>
      </c>
      <c r="B6006" s="5" t="s">
        <v>11421</v>
      </c>
      <c r="C6006" s="3" t="s">
        <v>5</v>
      </c>
    </row>
    <row r="6007" spans="1:3" ht="15.75" thickBot="1">
      <c r="A6007" s="6" t="s">
        <v>11422</v>
      </c>
      <c r="B6007" s="5" t="s">
        <v>11423</v>
      </c>
      <c r="C6007" s="3" t="s">
        <v>5</v>
      </c>
    </row>
    <row r="6008" spans="1:3" ht="15.75" thickBot="1">
      <c r="A6008" s="6" t="s">
        <v>11424</v>
      </c>
      <c r="B6008" s="5" t="s">
        <v>11425</v>
      </c>
      <c r="C6008" s="3" t="s">
        <v>5</v>
      </c>
    </row>
    <row r="6009" spans="1:3" ht="15.75" thickBot="1">
      <c r="A6009" s="6" t="s">
        <v>11426</v>
      </c>
      <c r="B6009" s="5" t="s">
        <v>11427</v>
      </c>
      <c r="C6009" s="3" t="s">
        <v>5</v>
      </c>
    </row>
    <row r="6010" spans="1:3" ht="15.75" thickBot="1">
      <c r="A6010" s="6" t="s">
        <v>11428</v>
      </c>
      <c r="B6010" s="5" t="s">
        <v>11429</v>
      </c>
      <c r="C6010" s="3" t="s">
        <v>5</v>
      </c>
    </row>
    <row r="6011" spans="1:3" ht="15.75" thickBot="1">
      <c r="A6011" s="6" t="s">
        <v>11430</v>
      </c>
      <c r="B6011" s="5" t="s">
        <v>11431</v>
      </c>
      <c r="C6011" s="3" t="s">
        <v>5</v>
      </c>
    </row>
    <row r="6012" spans="1:3" ht="15.75" thickBot="1">
      <c r="A6012" s="6" t="s">
        <v>11432</v>
      </c>
      <c r="B6012" s="5" t="s">
        <v>11433</v>
      </c>
      <c r="C6012" s="3" t="s">
        <v>5</v>
      </c>
    </row>
    <row r="6013" spans="1:3" ht="15.75" thickBot="1">
      <c r="A6013" s="6" t="s">
        <v>11434</v>
      </c>
      <c r="B6013" s="5" t="s">
        <v>11435</v>
      </c>
      <c r="C6013" s="3" t="s">
        <v>5</v>
      </c>
    </row>
    <row r="6014" spans="1:3" ht="15.75" thickBot="1">
      <c r="A6014" s="6" t="s">
        <v>11436</v>
      </c>
      <c r="B6014" s="5" t="s">
        <v>11437</v>
      </c>
      <c r="C6014" s="3" t="s">
        <v>5</v>
      </c>
    </row>
    <row r="6015" spans="1:3" ht="15.75" thickBot="1">
      <c r="A6015" s="6" t="s">
        <v>11438</v>
      </c>
      <c r="B6015" s="5" t="s">
        <v>11439</v>
      </c>
      <c r="C6015" s="3" t="s">
        <v>5</v>
      </c>
    </row>
    <row r="6016" spans="1:3" ht="15.75" thickBot="1">
      <c r="A6016" s="6" t="s">
        <v>11440</v>
      </c>
      <c r="B6016" s="5" t="s">
        <v>11441</v>
      </c>
      <c r="C6016" s="3" t="s">
        <v>5</v>
      </c>
    </row>
    <row r="6017" spans="1:3" ht="15.75" thickBot="1">
      <c r="A6017" s="6" t="s">
        <v>11442</v>
      </c>
      <c r="B6017" s="5" t="s">
        <v>11443</v>
      </c>
      <c r="C6017" s="3" t="s">
        <v>5</v>
      </c>
    </row>
    <row r="6018" spans="1:3" ht="15.75" thickBot="1">
      <c r="A6018" s="6" t="s">
        <v>11444</v>
      </c>
      <c r="B6018" s="5" t="s">
        <v>11445</v>
      </c>
      <c r="C6018" s="3" t="s">
        <v>5</v>
      </c>
    </row>
    <row r="6019" spans="1:3" ht="15.75" thickBot="1">
      <c r="A6019" s="6" t="s">
        <v>11446</v>
      </c>
      <c r="B6019" s="5" t="s">
        <v>11447</v>
      </c>
      <c r="C6019" s="3" t="s">
        <v>5</v>
      </c>
    </row>
    <row r="6020" spans="1:3" ht="15.75" thickBot="1">
      <c r="A6020" s="6" t="s">
        <v>11448</v>
      </c>
      <c r="B6020" s="5" t="s">
        <v>11449</v>
      </c>
      <c r="C6020" s="3" t="s">
        <v>5</v>
      </c>
    </row>
    <row r="6021" spans="1:3" ht="15.75" thickBot="1">
      <c r="A6021" s="6" t="s">
        <v>11450</v>
      </c>
      <c r="B6021" s="5" t="s">
        <v>11451</v>
      </c>
      <c r="C6021" s="3" t="s">
        <v>5</v>
      </c>
    </row>
    <row r="6022" spans="1:3" ht="15.75" thickBot="1">
      <c r="A6022" s="6" t="s">
        <v>11452</v>
      </c>
      <c r="B6022" s="5" t="s">
        <v>11453</v>
      </c>
      <c r="C6022" s="3" t="s">
        <v>5</v>
      </c>
    </row>
    <row r="6023" spans="1:3" ht="15.75" thickBot="1">
      <c r="A6023" s="6" t="s">
        <v>11454</v>
      </c>
      <c r="B6023" s="5" t="s">
        <v>11455</v>
      </c>
      <c r="C6023" s="3" t="s">
        <v>5</v>
      </c>
    </row>
    <row r="6024" spans="1:3" ht="15.75" thickBot="1">
      <c r="A6024" s="6" t="s">
        <v>11456</v>
      </c>
      <c r="B6024" s="5" t="s">
        <v>11457</v>
      </c>
      <c r="C6024" s="3" t="s">
        <v>5</v>
      </c>
    </row>
    <row r="6025" spans="1:3" ht="15.75" thickBot="1">
      <c r="A6025" s="6" t="s">
        <v>11458</v>
      </c>
      <c r="B6025" s="5" t="s">
        <v>11459</v>
      </c>
      <c r="C6025" s="3" t="s">
        <v>5</v>
      </c>
    </row>
    <row r="6026" spans="1:3" ht="15.75" thickBot="1">
      <c r="A6026" s="6" t="s">
        <v>11460</v>
      </c>
      <c r="B6026" s="5" t="s">
        <v>11461</v>
      </c>
      <c r="C6026" s="3" t="s">
        <v>5</v>
      </c>
    </row>
    <row r="6027" spans="1:3" ht="15.75" thickBot="1">
      <c r="A6027" s="6" t="s">
        <v>11462</v>
      </c>
      <c r="B6027" s="5" t="s">
        <v>11463</v>
      </c>
      <c r="C6027" s="3" t="s">
        <v>5</v>
      </c>
    </row>
    <row r="6028" spans="1:3" ht="15.75" thickBot="1">
      <c r="A6028" s="6" t="s">
        <v>11464</v>
      </c>
      <c r="B6028" s="5" t="s">
        <v>11465</v>
      </c>
      <c r="C6028" s="3" t="s">
        <v>5</v>
      </c>
    </row>
    <row r="6029" spans="1:3" ht="15.75" thickBot="1">
      <c r="A6029" s="6" t="s">
        <v>11466</v>
      </c>
      <c r="B6029" s="5" t="s">
        <v>11467</v>
      </c>
      <c r="C6029" s="3" t="s">
        <v>5</v>
      </c>
    </row>
    <row r="6030" spans="1:3" ht="15.75" thickBot="1">
      <c r="A6030" s="6" t="s">
        <v>11468</v>
      </c>
      <c r="B6030" s="5" t="s">
        <v>11469</v>
      </c>
      <c r="C6030" s="3" t="s">
        <v>5</v>
      </c>
    </row>
    <row r="6031" spans="1:3" ht="15.75" thickBot="1">
      <c r="A6031" s="6" t="s">
        <v>11470</v>
      </c>
      <c r="B6031" s="5" t="s">
        <v>11471</v>
      </c>
      <c r="C6031" s="3" t="s">
        <v>5</v>
      </c>
    </row>
    <row r="6032" spans="1:3" ht="15.75" thickBot="1">
      <c r="A6032" s="6" t="s">
        <v>11472</v>
      </c>
      <c r="B6032" s="5" t="s">
        <v>11473</v>
      </c>
      <c r="C6032" s="3" t="s">
        <v>5</v>
      </c>
    </row>
    <row r="6033" spans="1:3" ht="15.75" thickBot="1">
      <c r="A6033" s="6" t="s">
        <v>11474</v>
      </c>
      <c r="B6033" s="5" t="s">
        <v>11475</v>
      </c>
      <c r="C6033" s="3" t="s">
        <v>5</v>
      </c>
    </row>
    <row r="6034" spans="1:3" ht="15.75" thickBot="1">
      <c r="A6034" s="6" t="s">
        <v>11476</v>
      </c>
      <c r="B6034" s="5" t="s">
        <v>11477</v>
      </c>
      <c r="C6034" s="3" t="s">
        <v>5</v>
      </c>
    </row>
    <row r="6035" spans="1:3" ht="15.75" thickBot="1">
      <c r="A6035" s="6" t="s">
        <v>11478</v>
      </c>
      <c r="B6035" s="5" t="s">
        <v>11479</v>
      </c>
      <c r="C6035" s="3" t="s">
        <v>5</v>
      </c>
    </row>
    <row r="6036" spans="1:3">
      <c r="A6036" s="1" t="s">
        <v>11480</v>
      </c>
      <c r="B6036" s="2" t="s">
        <v>11481</v>
      </c>
      <c r="C6036" s="3" t="s">
        <v>5</v>
      </c>
    </row>
    <row r="6037" spans="1:3" ht="15.75" thickBot="1">
      <c r="A6037" s="4"/>
      <c r="B6037" s="5" t="s">
        <v>5473</v>
      </c>
      <c r="C6037" s="3" t="s">
        <v>5</v>
      </c>
    </row>
    <row r="6038" spans="1:3" ht="15.75" thickBot="1">
      <c r="A6038" s="6" t="s">
        <v>11482</v>
      </c>
      <c r="B6038" s="5" t="s">
        <v>11483</v>
      </c>
      <c r="C6038" s="3" t="s">
        <v>5</v>
      </c>
    </row>
    <row r="6039" spans="1:3" ht="15.75" thickBot="1">
      <c r="A6039" s="6" t="s">
        <v>11484</v>
      </c>
      <c r="B6039" s="5" t="s">
        <v>11485</v>
      </c>
      <c r="C6039" s="3" t="s">
        <v>5</v>
      </c>
    </row>
    <row r="6040" spans="1:3" ht="15.75" thickBot="1">
      <c r="A6040" s="6" t="s">
        <v>11486</v>
      </c>
      <c r="B6040" s="5" t="s">
        <v>11487</v>
      </c>
      <c r="C6040" s="3" t="s">
        <v>5</v>
      </c>
    </row>
    <row r="6041" spans="1:3" ht="15.75" thickBot="1">
      <c r="A6041" s="6" t="s">
        <v>11488</v>
      </c>
      <c r="B6041" s="5" t="s">
        <v>11489</v>
      </c>
      <c r="C6041" s="3" t="s">
        <v>5</v>
      </c>
    </row>
    <row r="6042" spans="1:3" ht="15.75" thickBot="1">
      <c r="A6042" s="6" t="s">
        <v>11490</v>
      </c>
      <c r="B6042" s="5" t="s">
        <v>11491</v>
      </c>
      <c r="C6042" s="3" t="s">
        <v>5</v>
      </c>
    </row>
    <row r="6043" spans="1:3" ht="15.75" thickBot="1">
      <c r="A6043" s="6" t="s">
        <v>11492</v>
      </c>
      <c r="B6043" s="5" t="s">
        <v>11493</v>
      </c>
      <c r="C6043" s="3" t="s">
        <v>5</v>
      </c>
    </row>
    <row r="6044" spans="1:3" ht="15.75" thickBot="1">
      <c r="A6044" s="6" t="s">
        <v>11494</v>
      </c>
      <c r="B6044" s="5" t="s">
        <v>11495</v>
      </c>
      <c r="C6044" s="3" t="s">
        <v>5</v>
      </c>
    </row>
    <row r="6045" spans="1:3" ht="15.75" thickBot="1">
      <c r="A6045" s="6" t="s">
        <v>11496</v>
      </c>
      <c r="B6045" s="5" t="s">
        <v>11497</v>
      </c>
      <c r="C6045" s="3" t="s">
        <v>5</v>
      </c>
    </row>
    <row r="6046" spans="1:3" ht="15.75" thickBot="1">
      <c r="A6046" s="6" t="s">
        <v>11498</v>
      </c>
      <c r="B6046" s="5" t="s">
        <v>11499</v>
      </c>
      <c r="C6046" s="3" t="s">
        <v>5</v>
      </c>
    </row>
    <row r="6047" spans="1:3" ht="15.75" thickBot="1">
      <c r="A6047" s="6" t="s">
        <v>11500</v>
      </c>
      <c r="B6047" s="5" t="s">
        <v>11501</v>
      </c>
      <c r="C6047" s="3" t="s">
        <v>5</v>
      </c>
    </row>
    <row r="6048" spans="1:3" ht="15.75" thickBot="1">
      <c r="A6048" s="6" t="s">
        <v>11502</v>
      </c>
      <c r="B6048" s="5" t="s">
        <v>11503</v>
      </c>
      <c r="C6048" s="3" t="s">
        <v>5</v>
      </c>
    </row>
    <row r="6049" spans="1:3" ht="15.75" thickBot="1">
      <c r="A6049" s="6" t="s">
        <v>11504</v>
      </c>
      <c r="B6049" s="5" t="s">
        <v>11505</v>
      </c>
      <c r="C6049" s="3" t="s">
        <v>5</v>
      </c>
    </row>
    <row r="6050" spans="1:3" ht="15.75" thickBot="1">
      <c r="A6050" s="6" t="s">
        <v>11506</v>
      </c>
      <c r="B6050" s="5" t="s">
        <v>11507</v>
      </c>
      <c r="C6050" s="3" t="s">
        <v>5</v>
      </c>
    </row>
    <row r="6051" spans="1:3" ht="15.75" thickBot="1">
      <c r="A6051" s="6" t="s">
        <v>11508</v>
      </c>
      <c r="B6051" s="5" t="s">
        <v>11509</v>
      </c>
      <c r="C6051" s="3" t="s">
        <v>5</v>
      </c>
    </row>
    <row r="6052" spans="1:3" ht="15.75" thickBot="1">
      <c r="A6052" s="6" t="s">
        <v>11510</v>
      </c>
      <c r="B6052" s="5" t="s">
        <v>11511</v>
      </c>
      <c r="C6052" s="3" t="s">
        <v>5</v>
      </c>
    </row>
    <row r="6053" spans="1:3" ht="15.75" thickBot="1">
      <c r="A6053" s="6" t="s">
        <v>11512</v>
      </c>
      <c r="B6053" s="5" t="s">
        <v>11513</v>
      </c>
      <c r="C6053" s="3" t="s">
        <v>5</v>
      </c>
    </row>
    <row r="6054" spans="1:3" ht="15.75" thickBot="1">
      <c r="A6054" s="6" t="s">
        <v>11514</v>
      </c>
      <c r="B6054" s="5" t="s">
        <v>11515</v>
      </c>
      <c r="C6054" s="3" t="s">
        <v>5</v>
      </c>
    </row>
    <row r="6055" spans="1:3" ht="15.75" thickBot="1">
      <c r="A6055" s="6" t="s">
        <v>11516</v>
      </c>
      <c r="B6055" s="5" t="s">
        <v>11517</v>
      </c>
      <c r="C6055" s="3" t="s">
        <v>5</v>
      </c>
    </row>
    <row r="6056" spans="1:3" ht="15.75" thickBot="1">
      <c r="A6056" s="6" t="s">
        <v>11518</v>
      </c>
      <c r="B6056" s="5" t="s">
        <v>11519</v>
      </c>
      <c r="C6056" s="3" t="s">
        <v>5</v>
      </c>
    </row>
    <row r="6057" spans="1:3" ht="15.75" thickBot="1">
      <c r="A6057" s="6" t="s">
        <v>11520</v>
      </c>
      <c r="B6057" s="5" t="s">
        <v>11521</v>
      </c>
      <c r="C6057" s="3" t="s">
        <v>5</v>
      </c>
    </row>
    <row r="6058" spans="1:3" ht="15.75" thickBot="1">
      <c r="A6058" s="6" t="s">
        <v>11522</v>
      </c>
      <c r="B6058" s="5" t="s">
        <v>11523</v>
      </c>
      <c r="C6058" s="3" t="s">
        <v>5</v>
      </c>
    </row>
    <row r="6059" spans="1:3" ht="15.75" thickBot="1">
      <c r="A6059" s="6" t="s">
        <v>11524</v>
      </c>
      <c r="B6059" s="5" t="s">
        <v>11525</v>
      </c>
      <c r="C6059" s="3" t="s">
        <v>5</v>
      </c>
    </row>
    <row r="6060" spans="1:3" ht="15.75" thickBot="1">
      <c r="A6060" s="6" t="s">
        <v>11526</v>
      </c>
      <c r="B6060" s="5" t="s">
        <v>11527</v>
      </c>
      <c r="C6060" s="3" t="s">
        <v>5</v>
      </c>
    </row>
    <row r="6061" spans="1:3" ht="15.75" thickBot="1">
      <c r="A6061" s="6" t="s">
        <v>11528</v>
      </c>
      <c r="B6061" s="5" t="s">
        <v>11529</v>
      </c>
      <c r="C6061" s="3" t="s">
        <v>5</v>
      </c>
    </row>
    <row r="6062" spans="1:3" ht="15.75" thickBot="1">
      <c r="A6062" s="6" t="s">
        <v>11530</v>
      </c>
      <c r="B6062" s="5" t="s">
        <v>11531</v>
      </c>
      <c r="C6062" s="3" t="s">
        <v>5</v>
      </c>
    </row>
    <row r="6063" spans="1:3" ht="15.75" thickBot="1">
      <c r="A6063" s="6" t="s">
        <v>11532</v>
      </c>
      <c r="B6063" s="5" t="s">
        <v>11533</v>
      </c>
      <c r="C6063" s="3" t="s">
        <v>5</v>
      </c>
    </row>
    <row r="6064" spans="1:3" ht="15.75" thickBot="1">
      <c r="A6064" s="6" t="s">
        <v>11534</v>
      </c>
      <c r="B6064" s="5" t="s">
        <v>11535</v>
      </c>
      <c r="C6064" s="3" t="s">
        <v>5</v>
      </c>
    </row>
    <row r="6065" spans="1:3" ht="15.75" thickBot="1">
      <c r="A6065" s="6" t="s">
        <v>11536</v>
      </c>
      <c r="B6065" s="5" t="s">
        <v>11537</v>
      </c>
      <c r="C6065" s="3" t="s">
        <v>5</v>
      </c>
    </row>
    <row r="6066" spans="1:3" ht="15.75" thickBot="1">
      <c r="A6066" s="6" t="s">
        <v>11538</v>
      </c>
      <c r="B6066" s="5" t="s">
        <v>11539</v>
      </c>
      <c r="C6066" s="3" t="s">
        <v>5</v>
      </c>
    </row>
    <row r="6067" spans="1:3" ht="15.75" thickBot="1">
      <c r="A6067" s="6" t="s">
        <v>11540</v>
      </c>
      <c r="B6067" s="5" t="s">
        <v>11541</v>
      </c>
      <c r="C6067" s="3" t="s">
        <v>5</v>
      </c>
    </row>
    <row r="6068" spans="1:3" ht="15.75" thickBot="1">
      <c r="A6068" s="6" t="s">
        <v>11542</v>
      </c>
      <c r="B6068" s="5" t="s">
        <v>11543</v>
      </c>
      <c r="C6068" s="3" t="s">
        <v>5</v>
      </c>
    </row>
    <row r="6069" spans="1:3" ht="15.75" thickBot="1">
      <c r="A6069" s="6" t="s">
        <v>11544</v>
      </c>
      <c r="B6069" s="5" t="s">
        <v>11545</v>
      </c>
      <c r="C6069" s="3" t="s">
        <v>5</v>
      </c>
    </row>
    <row r="6070" spans="1:3" ht="15.75" thickBot="1">
      <c r="A6070" s="6" t="s">
        <v>11546</v>
      </c>
      <c r="B6070" s="5" t="s">
        <v>11547</v>
      </c>
      <c r="C6070" s="3" t="s">
        <v>5</v>
      </c>
    </row>
    <row r="6071" spans="1:3" ht="15.75" thickBot="1">
      <c r="A6071" s="6" t="s">
        <v>11548</v>
      </c>
      <c r="B6071" s="5" t="s">
        <v>11549</v>
      </c>
      <c r="C6071" s="3" t="s">
        <v>5</v>
      </c>
    </row>
    <row r="6072" spans="1:3" ht="15.75" thickBot="1">
      <c r="A6072" s="6" t="s">
        <v>11550</v>
      </c>
      <c r="B6072" s="5" t="s">
        <v>11551</v>
      </c>
      <c r="C6072" s="3" t="s">
        <v>5</v>
      </c>
    </row>
    <row r="6073" spans="1:3" ht="15.75" thickBot="1">
      <c r="A6073" s="6" t="s">
        <v>11552</v>
      </c>
      <c r="B6073" s="5" t="s">
        <v>11553</v>
      </c>
      <c r="C6073" s="3" t="s">
        <v>5</v>
      </c>
    </row>
    <row r="6074" spans="1:3" ht="15.75" thickBot="1">
      <c r="A6074" s="6" t="s">
        <v>11554</v>
      </c>
      <c r="B6074" s="5" t="s">
        <v>11555</v>
      </c>
      <c r="C6074" s="3" t="s">
        <v>5</v>
      </c>
    </row>
    <row r="6075" spans="1:3" ht="15.75" thickBot="1">
      <c r="A6075" s="6" t="s">
        <v>11556</v>
      </c>
      <c r="B6075" s="5" t="s">
        <v>11557</v>
      </c>
      <c r="C6075" s="3" t="s">
        <v>5</v>
      </c>
    </row>
    <row r="6076" spans="1:3" ht="15.75" thickBot="1">
      <c r="A6076" s="6" t="s">
        <v>11558</v>
      </c>
      <c r="B6076" s="5" t="s">
        <v>11559</v>
      </c>
      <c r="C6076" s="3" t="s">
        <v>5</v>
      </c>
    </row>
    <row r="6077" spans="1:3" ht="15.75" thickBot="1">
      <c r="A6077" s="6" t="s">
        <v>11560</v>
      </c>
      <c r="B6077" s="5" t="s">
        <v>11561</v>
      </c>
      <c r="C6077" s="3" t="s">
        <v>5</v>
      </c>
    </row>
    <row r="6078" spans="1:3" ht="15.75" thickBot="1">
      <c r="A6078" s="6" t="s">
        <v>11562</v>
      </c>
      <c r="B6078" s="5" t="s">
        <v>11563</v>
      </c>
      <c r="C6078" s="3" t="s">
        <v>5</v>
      </c>
    </row>
    <row r="6079" spans="1:3" ht="15.75" thickBot="1">
      <c r="A6079" s="6" t="s">
        <v>11564</v>
      </c>
      <c r="B6079" s="5" t="s">
        <v>11565</v>
      </c>
      <c r="C6079" s="3" t="s">
        <v>5</v>
      </c>
    </row>
    <row r="6080" spans="1:3" ht="15.75" thickBot="1">
      <c r="A6080" s="6" t="s">
        <v>11566</v>
      </c>
      <c r="B6080" s="5" t="s">
        <v>11567</v>
      </c>
      <c r="C6080" s="3" t="s">
        <v>5</v>
      </c>
    </row>
    <row r="6081" spans="1:3" ht="15.75" thickBot="1">
      <c r="A6081" s="6" t="s">
        <v>11568</v>
      </c>
      <c r="B6081" s="5" t="s">
        <v>11569</v>
      </c>
      <c r="C6081" s="3" t="s">
        <v>5</v>
      </c>
    </row>
    <row r="6082" spans="1:3" ht="15.75" thickBot="1">
      <c r="A6082" s="6" t="s">
        <v>11570</v>
      </c>
      <c r="B6082" s="5" t="s">
        <v>11571</v>
      </c>
      <c r="C6082" s="3" t="s">
        <v>5</v>
      </c>
    </row>
    <row r="6083" spans="1:3" ht="15.75" thickBot="1">
      <c r="A6083" s="6" t="s">
        <v>11572</v>
      </c>
      <c r="B6083" s="5" t="s">
        <v>11573</v>
      </c>
      <c r="C6083" s="3" t="s">
        <v>5</v>
      </c>
    </row>
    <row r="6084" spans="1:3" ht="15.75" thickBot="1">
      <c r="A6084" s="6" t="s">
        <v>11574</v>
      </c>
      <c r="B6084" s="5" t="s">
        <v>11575</v>
      </c>
      <c r="C6084" s="3" t="s">
        <v>5</v>
      </c>
    </row>
    <row r="6085" spans="1:3" ht="15.75" thickBot="1">
      <c r="A6085" s="6" t="s">
        <v>11576</v>
      </c>
      <c r="B6085" s="5" t="s">
        <v>11577</v>
      </c>
      <c r="C6085" s="3" t="s">
        <v>5</v>
      </c>
    </row>
    <row r="6086" spans="1:3" ht="15.75" thickBot="1">
      <c r="A6086" s="6" t="s">
        <v>11578</v>
      </c>
      <c r="B6086" s="5" t="s">
        <v>11579</v>
      </c>
      <c r="C6086" s="3" t="s">
        <v>5</v>
      </c>
    </row>
    <row r="6087" spans="1:3" ht="15.75" thickBot="1">
      <c r="A6087" s="6" t="s">
        <v>11580</v>
      </c>
      <c r="B6087" s="5" t="s">
        <v>11581</v>
      </c>
      <c r="C6087" s="3" t="s">
        <v>5</v>
      </c>
    </row>
    <row r="6088" spans="1:3" ht="15.75" thickBot="1">
      <c r="A6088" s="6" t="s">
        <v>11582</v>
      </c>
      <c r="B6088" s="5" t="s">
        <v>11583</v>
      </c>
      <c r="C6088" s="3" t="s">
        <v>5</v>
      </c>
    </row>
    <row r="6089" spans="1:3" ht="15.75" thickBot="1">
      <c r="A6089" s="6" t="s">
        <v>11584</v>
      </c>
      <c r="B6089" s="5" t="s">
        <v>11585</v>
      </c>
      <c r="C6089" s="3" t="s">
        <v>5</v>
      </c>
    </row>
    <row r="6090" spans="1:3" ht="15.75" thickBot="1">
      <c r="A6090" s="6" t="s">
        <v>11586</v>
      </c>
      <c r="B6090" s="5" t="s">
        <v>11587</v>
      </c>
      <c r="C6090" s="3" t="s">
        <v>5</v>
      </c>
    </row>
    <row r="6091" spans="1:3" ht="15.75" thickBot="1">
      <c r="A6091" s="6" t="s">
        <v>11588</v>
      </c>
      <c r="B6091" s="5" t="s">
        <v>11589</v>
      </c>
      <c r="C6091" s="3" t="s">
        <v>5</v>
      </c>
    </row>
    <row r="6092" spans="1:3" ht="15.75" thickBot="1">
      <c r="A6092" s="6" t="s">
        <v>11590</v>
      </c>
      <c r="B6092" s="5" t="s">
        <v>11591</v>
      </c>
      <c r="C6092" s="3" t="s">
        <v>5</v>
      </c>
    </row>
    <row r="6093" spans="1:3" ht="15.75" thickBot="1">
      <c r="A6093" s="6" t="s">
        <v>11592</v>
      </c>
      <c r="B6093" s="5" t="s">
        <v>11593</v>
      </c>
      <c r="C6093" s="3" t="s">
        <v>5</v>
      </c>
    </row>
    <row r="6094" spans="1:3" ht="15.75" thickBot="1">
      <c r="A6094" s="6" t="s">
        <v>11594</v>
      </c>
      <c r="B6094" s="5" t="s">
        <v>11595</v>
      </c>
      <c r="C6094" s="3" t="s">
        <v>5</v>
      </c>
    </row>
    <row r="6095" spans="1:3" ht="15.75" thickBot="1">
      <c r="A6095" s="6" t="s">
        <v>11596</v>
      </c>
      <c r="B6095" s="5" t="s">
        <v>11597</v>
      </c>
      <c r="C6095" s="3" t="s">
        <v>5</v>
      </c>
    </row>
    <row r="6096" spans="1:3" ht="15.75" thickBot="1">
      <c r="A6096" s="6" t="s">
        <v>11598</v>
      </c>
      <c r="B6096" s="5" t="s">
        <v>11599</v>
      </c>
      <c r="C6096" s="3" t="s">
        <v>5</v>
      </c>
    </row>
    <row r="6097" spans="1:3" ht="15.75" thickBot="1">
      <c r="A6097" s="6" t="s">
        <v>11600</v>
      </c>
      <c r="B6097" s="5" t="s">
        <v>11601</v>
      </c>
      <c r="C6097" s="3" t="s">
        <v>5</v>
      </c>
    </row>
    <row r="6098" spans="1:3" ht="15.75" thickBot="1">
      <c r="A6098" s="6" t="s">
        <v>11602</v>
      </c>
      <c r="B6098" s="5" t="s">
        <v>11603</v>
      </c>
      <c r="C6098" s="3" t="s">
        <v>5</v>
      </c>
    </row>
    <row r="6099" spans="1:3" ht="15.75" thickBot="1">
      <c r="A6099" s="6" t="s">
        <v>11604</v>
      </c>
      <c r="B6099" s="5" t="s">
        <v>11605</v>
      </c>
      <c r="C6099" s="3" t="s">
        <v>5</v>
      </c>
    </row>
    <row r="6100" spans="1:3" ht="15.75" thickBot="1">
      <c r="A6100" s="6" t="s">
        <v>11606</v>
      </c>
      <c r="B6100" s="5" t="s">
        <v>11607</v>
      </c>
      <c r="C6100" s="3" t="s">
        <v>5</v>
      </c>
    </row>
    <row r="6101" spans="1:3" ht="15.75" thickBot="1">
      <c r="A6101" s="6" t="s">
        <v>11608</v>
      </c>
      <c r="B6101" s="5" t="s">
        <v>11609</v>
      </c>
      <c r="C6101" s="3" t="s">
        <v>5</v>
      </c>
    </row>
    <row r="6102" spans="1:3" ht="15.75" thickBot="1">
      <c r="A6102" s="6" t="s">
        <v>11610</v>
      </c>
      <c r="B6102" s="5" t="s">
        <v>11611</v>
      </c>
      <c r="C6102" s="3" t="s">
        <v>5</v>
      </c>
    </row>
    <row r="6103" spans="1:3" ht="15.75" thickBot="1">
      <c r="A6103" s="6" t="s">
        <v>11612</v>
      </c>
      <c r="B6103" s="5" t="s">
        <v>11613</v>
      </c>
      <c r="C6103" s="3" t="s">
        <v>5</v>
      </c>
    </row>
    <row r="6104" spans="1:3" ht="15.75" thickBot="1">
      <c r="A6104" s="6" t="s">
        <v>11614</v>
      </c>
      <c r="B6104" s="5" t="s">
        <v>11615</v>
      </c>
      <c r="C6104" s="3" t="s">
        <v>5</v>
      </c>
    </row>
    <row r="6105" spans="1:3" ht="15.75" thickBot="1">
      <c r="A6105" s="6" t="s">
        <v>11616</v>
      </c>
      <c r="B6105" s="5" t="s">
        <v>11617</v>
      </c>
      <c r="C6105" s="3" t="s">
        <v>5</v>
      </c>
    </row>
    <row r="6106" spans="1:3" ht="15.75" thickBot="1">
      <c r="A6106" s="6" t="s">
        <v>11618</v>
      </c>
      <c r="B6106" s="5" t="s">
        <v>11619</v>
      </c>
      <c r="C6106" s="3" t="s">
        <v>5</v>
      </c>
    </row>
    <row r="6107" spans="1:3" ht="15.75" thickBot="1">
      <c r="A6107" s="6" t="s">
        <v>11620</v>
      </c>
      <c r="B6107" s="5" t="s">
        <v>11621</v>
      </c>
      <c r="C6107" s="3" t="s">
        <v>5</v>
      </c>
    </row>
    <row r="6108" spans="1:3" ht="15.75" thickBot="1">
      <c r="A6108" s="6" t="s">
        <v>11622</v>
      </c>
      <c r="B6108" s="5" t="s">
        <v>11623</v>
      </c>
      <c r="C6108" s="3" t="s">
        <v>5</v>
      </c>
    </row>
    <row r="6109" spans="1:3" ht="15.75" thickBot="1">
      <c r="A6109" s="6" t="s">
        <v>11624</v>
      </c>
      <c r="B6109" s="5" t="s">
        <v>11625</v>
      </c>
      <c r="C6109" s="3" t="s">
        <v>5</v>
      </c>
    </row>
    <row r="6110" spans="1:3" ht="15.75" thickBot="1">
      <c r="A6110" s="6" t="s">
        <v>11626</v>
      </c>
      <c r="B6110" s="5" t="s">
        <v>11627</v>
      </c>
      <c r="C6110" s="3" t="s">
        <v>5</v>
      </c>
    </row>
    <row r="6111" spans="1:3" ht="15.75" thickBot="1">
      <c r="A6111" s="6" t="s">
        <v>11628</v>
      </c>
      <c r="B6111" s="5" t="s">
        <v>11629</v>
      </c>
      <c r="C6111" s="3" t="s">
        <v>5</v>
      </c>
    </row>
    <row r="6112" spans="1:3" ht="15.75" thickBot="1">
      <c r="A6112" s="6" t="s">
        <v>11630</v>
      </c>
      <c r="B6112" s="5" t="s">
        <v>11631</v>
      </c>
      <c r="C6112" s="3" t="s">
        <v>5</v>
      </c>
    </row>
    <row r="6113" spans="1:3" ht="15.75" thickBot="1">
      <c r="A6113" s="6" t="s">
        <v>11632</v>
      </c>
      <c r="B6113" s="5" t="s">
        <v>11633</v>
      </c>
      <c r="C6113" s="3" t="s">
        <v>5</v>
      </c>
    </row>
    <row r="6114" spans="1:3" ht="15.75" thickBot="1">
      <c r="A6114" s="6" t="s">
        <v>11634</v>
      </c>
      <c r="B6114" s="5" t="s">
        <v>11635</v>
      </c>
      <c r="C6114" s="3" t="s">
        <v>5</v>
      </c>
    </row>
    <row r="6115" spans="1:3" ht="15.75" thickBot="1">
      <c r="A6115" s="6" t="s">
        <v>11636</v>
      </c>
      <c r="B6115" s="5" t="s">
        <v>11637</v>
      </c>
      <c r="C6115" s="3" t="s">
        <v>5</v>
      </c>
    </row>
    <row r="6116" spans="1:3" ht="15.75" thickBot="1">
      <c r="A6116" s="6" t="s">
        <v>11638</v>
      </c>
      <c r="B6116" s="5" t="s">
        <v>11639</v>
      </c>
      <c r="C6116" s="3" t="s">
        <v>5</v>
      </c>
    </row>
    <row r="6117" spans="1:3" ht="15.75" thickBot="1">
      <c r="A6117" s="6" t="s">
        <v>11640</v>
      </c>
      <c r="B6117" s="5" t="s">
        <v>11641</v>
      </c>
      <c r="C6117" s="3" t="s">
        <v>5</v>
      </c>
    </row>
    <row r="6118" spans="1:3" ht="15.75" thickBot="1">
      <c r="A6118" s="6" t="s">
        <v>11642</v>
      </c>
      <c r="B6118" s="5" t="s">
        <v>11643</v>
      </c>
      <c r="C6118" s="3" t="s">
        <v>5</v>
      </c>
    </row>
    <row r="6119" spans="1:3" ht="15.75" thickBot="1">
      <c r="A6119" s="6" t="s">
        <v>11644</v>
      </c>
      <c r="B6119" s="5" t="s">
        <v>11645</v>
      </c>
      <c r="C6119" s="3" t="s">
        <v>5</v>
      </c>
    </row>
    <row r="6120" spans="1:3" ht="15.75" thickBot="1">
      <c r="A6120" s="6" t="s">
        <v>11646</v>
      </c>
      <c r="B6120" s="5" t="s">
        <v>11647</v>
      </c>
      <c r="C6120" s="3" t="s">
        <v>5</v>
      </c>
    </row>
    <row r="6121" spans="1:3" ht="15.75" thickBot="1">
      <c r="A6121" s="6" t="s">
        <v>11648</v>
      </c>
      <c r="B6121" s="5" t="e">
        <f xml:space="preserve"> normal tree</f>
        <v>#NAME?</v>
      </c>
      <c r="C6121" s="3" t="s">
        <v>5</v>
      </c>
    </row>
    <row r="6122" spans="1:3" ht="15.75" thickBot="1">
      <c r="A6122" s="6" t="s">
        <v>11649</v>
      </c>
      <c r="B6122" s="5" t="s">
        <v>11650</v>
      </c>
      <c r="C6122" s="3" t="s">
        <v>5</v>
      </c>
    </row>
    <row r="6123" spans="1:3" ht="15.75" thickBot="1">
      <c r="A6123" s="6" t="s">
        <v>11651</v>
      </c>
      <c r="B6123" s="5" t="s">
        <v>11652</v>
      </c>
      <c r="C6123" s="3" t="s">
        <v>5</v>
      </c>
    </row>
    <row r="6124" spans="1:3" ht="15.75" thickBot="1">
      <c r="A6124" s="6" t="s">
        <v>11653</v>
      </c>
      <c r="B6124" s="5" t="s">
        <v>11654</v>
      </c>
      <c r="C6124" s="3" t="s">
        <v>5</v>
      </c>
    </row>
    <row r="6125" spans="1:3" ht="15.75" thickBot="1">
      <c r="A6125" s="6" t="s">
        <v>11655</v>
      </c>
      <c r="B6125" s="5" t="s">
        <v>6924</v>
      </c>
      <c r="C6125" s="3" t="s">
        <v>5</v>
      </c>
    </row>
    <row r="6126" spans="1:3" ht="15.75" thickBot="1">
      <c r="A6126" s="6" t="s">
        <v>11656</v>
      </c>
      <c r="B6126" s="5" t="s">
        <v>11657</v>
      </c>
      <c r="C6126" s="3" t="s">
        <v>5</v>
      </c>
    </row>
    <row r="6127" spans="1:3">
      <c r="A6127" s="1" t="s">
        <v>11658</v>
      </c>
      <c r="B6127" s="2" t="s">
        <v>11659</v>
      </c>
      <c r="C6127" s="3" t="s">
        <v>5</v>
      </c>
    </row>
    <row r="6128" spans="1:3" ht="15.75" thickBot="1">
      <c r="A6128" s="4"/>
      <c r="B6128" s="5" t="s">
        <v>5473</v>
      </c>
      <c r="C6128" s="3" t="s">
        <v>5</v>
      </c>
    </row>
    <row r="6129" spans="1:3" ht="15.75" thickBot="1">
      <c r="A6129" s="6" t="s">
        <v>11660</v>
      </c>
      <c r="B6129" s="5" t="s">
        <v>11661</v>
      </c>
      <c r="C6129" s="3" t="s">
        <v>5</v>
      </c>
    </row>
    <row r="6130" spans="1:3" ht="15.75" thickBot="1">
      <c r="A6130" s="6" t="s">
        <v>11662</v>
      </c>
      <c r="B6130" s="5" t="s">
        <v>11663</v>
      </c>
      <c r="C6130" s="3" t="s">
        <v>5</v>
      </c>
    </row>
    <row r="6131" spans="1:3" ht="15.75" thickBot="1">
      <c r="A6131" s="6" t="s">
        <v>11664</v>
      </c>
      <c r="B6131" s="5" t="s">
        <v>11665</v>
      </c>
      <c r="C6131" s="3" t="s">
        <v>5</v>
      </c>
    </row>
    <row r="6132" spans="1:3" ht="15.75" thickBot="1">
      <c r="A6132" s="6" t="s">
        <v>11666</v>
      </c>
      <c r="B6132" s="5" t="s">
        <v>11667</v>
      </c>
      <c r="C6132" s="3" t="s">
        <v>5</v>
      </c>
    </row>
    <row r="6133" spans="1:3" ht="15.75" thickBot="1">
      <c r="A6133" s="6" t="s">
        <v>11668</v>
      </c>
      <c r="B6133" s="5" t="s">
        <v>11669</v>
      </c>
      <c r="C6133" s="3" t="s">
        <v>5</v>
      </c>
    </row>
    <row r="6134" spans="1:3" ht="15.75" thickBot="1">
      <c r="A6134" s="6" t="s">
        <v>11670</v>
      </c>
      <c r="B6134" s="5" t="s">
        <v>11671</v>
      </c>
      <c r="C6134" s="3" t="s">
        <v>5</v>
      </c>
    </row>
    <row r="6135" spans="1:3" ht="15.75" thickBot="1">
      <c r="A6135" s="6" t="s">
        <v>11672</v>
      </c>
      <c r="B6135" s="5" t="s">
        <v>11673</v>
      </c>
      <c r="C6135" s="3" t="s">
        <v>5</v>
      </c>
    </row>
    <row r="6136" spans="1:3" ht="15.75" thickBot="1">
      <c r="A6136" s="6" t="s">
        <v>11674</v>
      </c>
      <c r="B6136" s="5" t="s">
        <v>11675</v>
      </c>
      <c r="C6136" s="3" t="s">
        <v>5</v>
      </c>
    </row>
    <row r="6137" spans="1:3" ht="15.75" thickBot="1">
      <c r="A6137" s="6" t="s">
        <v>11676</v>
      </c>
      <c r="B6137" s="5" t="s">
        <v>11677</v>
      </c>
      <c r="C6137" s="3" t="s">
        <v>5</v>
      </c>
    </row>
    <row r="6138" spans="1:3" ht="15.75" thickBot="1">
      <c r="A6138" s="6" t="s">
        <v>11678</v>
      </c>
      <c r="B6138" s="5" t="s">
        <v>11679</v>
      </c>
      <c r="C6138" s="3" t="s">
        <v>5</v>
      </c>
    </row>
    <row r="6139" spans="1:3" ht="15.75" thickBot="1">
      <c r="A6139" s="6" t="s">
        <v>11680</v>
      </c>
      <c r="B6139" s="5" t="s">
        <v>11681</v>
      </c>
      <c r="C6139" s="3" t="s">
        <v>5</v>
      </c>
    </row>
    <row r="6140" spans="1:3" ht="15.75" thickBot="1">
      <c r="A6140" s="6" t="s">
        <v>11682</v>
      </c>
      <c r="B6140" s="5" t="s">
        <v>11683</v>
      </c>
      <c r="C6140" s="3" t="s">
        <v>5</v>
      </c>
    </row>
    <row r="6141" spans="1:3" ht="15.75" thickBot="1">
      <c r="A6141" s="6" t="s">
        <v>11684</v>
      </c>
      <c r="B6141" s="5" t="s">
        <v>11685</v>
      </c>
      <c r="C6141" s="3" t="s">
        <v>5</v>
      </c>
    </row>
    <row r="6142" spans="1:3" ht="15.75" thickBot="1">
      <c r="A6142" s="6" t="s">
        <v>11686</v>
      </c>
      <c r="B6142" s="5" t="s">
        <v>11687</v>
      </c>
      <c r="C6142" s="3" t="s">
        <v>5</v>
      </c>
    </row>
    <row r="6143" spans="1:3" ht="15.75" thickBot="1">
      <c r="A6143" s="6" t="s">
        <v>11688</v>
      </c>
      <c r="B6143" s="5" t="s">
        <v>11689</v>
      </c>
      <c r="C6143" s="3" t="s">
        <v>5</v>
      </c>
    </row>
    <row r="6144" spans="1:3" ht="15.75" thickBot="1">
      <c r="A6144" s="6" t="s">
        <v>11690</v>
      </c>
      <c r="B6144" s="5" t="s">
        <v>11691</v>
      </c>
      <c r="C6144" s="3" t="s">
        <v>5</v>
      </c>
    </row>
    <row r="6145" spans="1:3" ht="15.75" thickBot="1">
      <c r="A6145" s="6" t="s">
        <v>11692</v>
      </c>
      <c r="B6145" s="5" t="s">
        <v>11693</v>
      </c>
      <c r="C6145" s="3" t="s">
        <v>5</v>
      </c>
    </row>
    <row r="6146" spans="1:3" ht="26.25" thickBot="1">
      <c r="A6146" s="6" t="s">
        <v>11694</v>
      </c>
      <c r="B6146" s="5" t="s">
        <v>11695</v>
      </c>
      <c r="C6146" s="3" t="s">
        <v>5</v>
      </c>
    </row>
    <row r="6147" spans="1:3" ht="15.75" thickBot="1">
      <c r="A6147" s="6" t="s">
        <v>11696</v>
      </c>
      <c r="B6147" s="5" t="s">
        <v>11697</v>
      </c>
      <c r="C6147" s="3" t="s">
        <v>5</v>
      </c>
    </row>
    <row r="6148" spans="1:3" ht="15.75" thickBot="1">
      <c r="A6148" s="6" t="s">
        <v>11696</v>
      </c>
      <c r="B6148" s="5" t="s">
        <v>11697</v>
      </c>
      <c r="C6148" s="3" t="s">
        <v>5</v>
      </c>
    </row>
    <row r="6149" spans="1:3" ht="15.75" thickBot="1">
      <c r="A6149" s="6" t="s">
        <v>11698</v>
      </c>
      <c r="B6149" s="5" t="s">
        <v>11699</v>
      </c>
      <c r="C6149" s="3" t="s">
        <v>5</v>
      </c>
    </row>
    <row r="6150" spans="1:3" ht="15.75" thickBot="1">
      <c r="A6150" s="6" t="s">
        <v>11700</v>
      </c>
      <c r="B6150" s="5" t="s">
        <v>11701</v>
      </c>
      <c r="C6150" s="3" t="s">
        <v>5</v>
      </c>
    </row>
    <row r="6151" spans="1:3" ht="15.75" thickBot="1">
      <c r="A6151" s="6" t="s">
        <v>11702</v>
      </c>
      <c r="B6151" s="5" t="s">
        <v>11703</v>
      </c>
      <c r="C6151" s="3" t="s">
        <v>5</v>
      </c>
    </row>
    <row r="6152" spans="1:3" ht="15.75" thickBot="1">
      <c r="A6152" s="6" t="s">
        <v>11704</v>
      </c>
      <c r="B6152" s="5" t="s">
        <v>11705</v>
      </c>
      <c r="C6152" s="3" t="s">
        <v>5</v>
      </c>
    </row>
    <row r="6153" spans="1:3" ht="15.75" thickBot="1">
      <c r="A6153" s="6" t="s">
        <v>11706</v>
      </c>
      <c r="B6153" s="5" t="s">
        <v>11707</v>
      </c>
      <c r="C6153" s="3" t="s">
        <v>5</v>
      </c>
    </row>
    <row r="6154" spans="1:3" ht="15.75" thickBot="1">
      <c r="A6154" s="6" t="s">
        <v>11708</v>
      </c>
      <c r="B6154" s="5" t="s">
        <v>11709</v>
      </c>
      <c r="C6154" s="3" t="s">
        <v>5</v>
      </c>
    </row>
    <row r="6155" spans="1:3" ht="15.75" thickBot="1">
      <c r="A6155" s="6" t="s">
        <v>11710</v>
      </c>
      <c r="B6155" s="5" t="s">
        <v>11711</v>
      </c>
      <c r="C6155" s="3" t="s">
        <v>5</v>
      </c>
    </row>
    <row r="6156" spans="1:3" ht="15.75" thickBot="1">
      <c r="A6156" s="6" t="s">
        <v>11712</v>
      </c>
      <c r="B6156" s="5" t="s">
        <v>11713</v>
      </c>
      <c r="C6156" s="3" t="s">
        <v>5</v>
      </c>
    </row>
    <row r="6157" spans="1:3" ht="15.75" thickBot="1">
      <c r="A6157" s="6" t="s">
        <v>11714</v>
      </c>
      <c r="B6157" s="5" t="s">
        <v>11715</v>
      </c>
      <c r="C6157" s="3" t="s">
        <v>5</v>
      </c>
    </row>
    <row r="6158" spans="1:3" ht="15.75" thickBot="1">
      <c r="A6158" s="6" t="s">
        <v>11716</v>
      </c>
      <c r="B6158" s="5" t="s">
        <v>11717</v>
      </c>
      <c r="C6158" s="3" t="s">
        <v>5</v>
      </c>
    </row>
    <row r="6159" spans="1:3" ht="15.75" thickBot="1">
      <c r="A6159" s="6" t="s">
        <v>11718</v>
      </c>
      <c r="B6159" s="5" t="s">
        <v>11719</v>
      </c>
      <c r="C6159" s="3" t="s">
        <v>5</v>
      </c>
    </row>
    <row r="6160" spans="1:3" ht="15.75" thickBot="1">
      <c r="A6160" s="6" t="s">
        <v>11720</v>
      </c>
      <c r="B6160" s="5" t="s">
        <v>11721</v>
      </c>
      <c r="C6160" s="3" t="s">
        <v>5</v>
      </c>
    </row>
    <row r="6161" spans="1:3" ht="15.75" thickBot="1">
      <c r="A6161" s="6" t="s">
        <v>11722</v>
      </c>
      <c r="B6161" s="5" t="s">
        <v>11723</v>
      </c>
      <c r="C6161" s="3" t="s">
        <v>5</v>
      </c>
    </row>
    <row r="6162" spans="1:3" ht="15.75" thickBot="1">
      <c r="A6162" s="6" t="s">
        <v>11724</v>
      </c>
      <c r="B6162" s="5" t="s">
        <v>11725</v>
      </c>
      <c r="C6162" s="3" t="s">
        <v>5</v>
      </c>
    </row>
    <row r="6163" spans="1:3" ht="15.75" thickBot="1">
      <c r="A6163" s="6" t="s">
        <v>11726</v>
      </c>
      <c r="B6163" s="5" t="s">
        <v>11727</v>
      </c>
      <c r="C6163" s="3" t="s">
        <v>5</v>
      </c>
    </row>
    <row r="6164" spans="1:3" ht="15.75" thickBot="1">
      <c r="A6164" s="6" t="s">
        <v>11728</v>
      </c>
      <c r="B6164" s="5" t="s">
        <v>11729</v>
      </c>
      <c r="C6164" s="3" t="s">
        <v>5</v>
      </c>
    </row>
    <row r="6165" spans="1:3" ht="15.75" thickBot="1">
      <c r="A6165" s="6" t="s">
        <v>11730</v>
      </c>
      <c r="B6165" s="5" t="s">
        <v>11731</v>
      </c>
      <c r="C6165" s="3" t="s">
        <v>5</v>
      </c>
    </row>
    <row r="6166" spans="1:3" ht="15.75" thickBot="1">
      <c r="A6166" s="6" t="s">
        <v>11732</v>
      </c>
      <c r="B6166" s="5" t="s">
        <v>11733</v>
      </c>
      <c r="C6166" s="3" t="s">
        <v>5</v>
      </c>
    </row>
    <row r="6167" spans="1:3" ht="15.75" thickBot="1">
      <c r="A6167" s="6" t="s">
        <v>11734</v>
      </c>
      <c r="B6167" s="5" t="s">
        <v>11735</v>
      </c>
      <c r="C6167" s="3" t="s">
        <v>5</v>
      </c>
    </row>
    <row r="6168" spans="1:3" ht="15.75" thickBot="1">
      <c r="A6168" s="6" t="s">
        <v>11736</v>
      </c>
      <c r="B6168" s="5" t="s">
        <v>11737</v>
      </c>
      <c r="C6168" s="3" t="s">
        <v>5</v>
      </c>
    </row>
    <row r="6169" spans="1:3" ht="15.75" thickBot="1">
      <c r="A6169" s="6" t="s">
        <v>11738</v>
      </c>
      <c r="B6169" s="5" t="s">
        <v>11739</v>
      </c>
      <c r="C6169" s="3" t="s">
        <v>5</v>
      </c>
    </row>
    <row r="6170" spans="1:3" ht="15.75" thickBot="1">
      <c r="A6170" s="6" t="s">
        <v>11740</v>
      </c>
      <c r="B6170" s="5" t="s">
        <v>11741</v>
      </c>
      <c r="C6170" s="3" t="s">
        <v>5</v>
      </c>
    </row>
    <row r="6171" spans="1:3" ht="15.75" thickBot="1">
      <c r="A6171" s="6" t="s">
        <v>11742</v>
      </c>
      <c r="B6171" s="5" t="s">
        <v>11743</v>
      </c>
      <c r="C6171" s="3" t="s">
        <v>5</v>
      </c>
    </row>
    <row r="6172" spans="1:3" ht="15.75" thickBot="1">
      <c r="A6172" s="6" t="s">
        <v>11744</v>
      </c>
      <c r="B6172" s="5" t="s">
        <v>11745</v>
      </c>
      <c r="C6172" s="3" t="s">
        <v>5</v>
      </c>
    </row>
    <row r="6173" spans="1:3" ht="15.75" thickBot="1">
      <c r="A6173" s="6" t="s">
        <v>11746</v>
      </c>
      <c r="B6173" s="5" t="s">
        <v>11747</v>
      </c>
      <c r="C6173" s="3" t="s">
        <v>5</v>
      </c>
    </row>
    <row r="6174" spans="1:3" ht="15.75" thickBot="1">
      <c r="A6174" s="6" t="s">
        <v>11748</v>
      </c>
      <c r="B6174" s="5" t="s">
        <v>11749</v>
      </c>
      <c r="C6174" s="3" t="s">
        <v>5</v>
      </c>
    </row>
    <row r="6175" spans="1:3" ht="15.75" thickBot="1">
      <c r="A6175" s="6" t="s">
        <v>11750</v>
      </c>
      <c r="B6175" s="5" t="s">
        <v>11751</v>
      </c>
      <c r="C6175" s="3" t="s">
        <v>5</v>
      </c>
    </row>
    <row r="6176" spans="1:3" ht="15.75" thickBot="1">
      <c r="A6176" s="6" t="s">
        <v>11752</v>
      </c>
      <c r="B6176" s="5" t="s">
        <v>11753</v>
      </c>
      <c r="C6176" s="3" t="s">
        <v>5</v>
      </c>
    </row>
    <row r="6177" spans="1:3" ht="15.75" thickBot="1">
      <c r="A6177" s="6" t="s">
        <v>11754</v>
      </c>
      <c r="B6177" s="5" t="s">
        <v>11755</v>
      </c>
      <c r="C6177" s="3" t="s">
        <v>5</v>
      </c>
    </row>
    <row r="6178" spans="1:3" ht="15.75" thickBot="1">
      <c r="A6178" s="6" t="s">
        <v>11756</v>
      </c>
      <c r="B6178" s="5" t="s">
        <v>11757</v>
      </c>
      <c r="C6178" s="3" t="s">
        <v>5</v>
      </c>
    </row>
    <row r="6179" spans="1:3" ht="15.75" thickBot="1">
      <c r="A6179" s="6" t="s">
        <v>11758</v>
      </c>
      <c r="B6179" s="5" t="s">
        <v>11759</v>
      </c>
      <c r="C6179" s="3" t="s">
        <v>5</v>
      </c>
    </row>
    <row r="6180" spans="1:3" ht="15.75" thickBot="1">
      <c r="A6180" s="6" t="s">
        <v>11760</v>
      </c>
      <c r="B6180" s="5" t="s">
        <v>11761</v>
      </c>
      <c r="C6180" s="3" t="s">
        <v>5</v>
      </c>
    </row>
    <row r="6181" spans="1:3" ht="26.25" thickBot="1">
      <c r="A6181" s="6" t="s">
        <v>11762</v>
      </c>
      <c r="B6181" s="5" t="s">
        <v>11763</v>
      </c>
      <c r="C6181" s="3" t="s">
        <v>5</v>
      </c>
    </row>
    <row r="6182" spans="1:3" ht="15.75" thickBot="1">
      <c r="A6182" s="6" t="s">
        <v>11764</v>
      </c>
      <c r="B6182" s="5" t="s">
        <v>11765</v>
      </c>
      <c r="C6182" s="3" t="s">
        <v>5</v>
      </c>
    </row>
    <row r="6183" spans="1:3" ht="15.75" thickBot="1">
      <c r="A6183" s="6" t="s">
        <v>11766</v>
      </c>
      <c r="B6183" s="5" t="s">
        <v>11767</v>
      </c>
      <c r="C6183" s="3" t="s">
        <v>5</v>
      </c>
    </row>
    <row r="6184" spans="1:3" ht="15.75" thickBot="1">
      <c r="A6184" s="6" t="s">
        <v>11768</v>
      </c>
      <c r="B6184" s="5" t="s">
        <v>11769</v>
      </c>
      <c r="C6184" s="3" t="s">
        <v>5</v>
      </c>
    </row>
    <row r="6185" spans="1:3" ht="15.75" thickBot="1">
      <c r="A6185" s="6" t="s">
        <v>11770</v>
      </c>
      <c r="B6185" s="5" t="s">
        <v>11771</v>
      </c>
      <c r="C6185" s="3" t="s">
        <v>5</v>
      </c>
    </row>
    <row r="6186" spans="1:3" ht="15.75" thickBot="1">
      <c r="A6186" s="6" t="s">
        <v>11772</v>
      </c>
      <c r="B6186" s="5" t="s">
        <v>11773</v>
      </c>
      <c r="C6186" s="3" t="s">
        <v>5</v>
      </c>
    </row>
    <row r="6187" spans="1:3" ht="15.75" thickBot="1">
      <c r="A6187" s="6" t="s">
        <v>11774</v>
      </c>
      <c r="B6187" s="5" t="s">
        <v>11775</v>
      </c>
      <c r="C6187" s="3" t="s">
        <v>5</v>
      </c>
    </row>
    <row r="6188" spans="1:3" ht="15.75" thickBot="1">
      <c r="A6188" s="6" t="s">
        <v>11776</v>
      </c>
      <c r="B6188" s="5" t="s">
        <v>11777</v>
      </c>
      <c r="C6188" s="3" t="s">
        <v>5</v>
      </c>
    </row>
    <row r="6189" spans="1:3" ht="15.75" thickBot="1">
      <c r="A6189" s="6" t="s">
        <v>11778</v>
      </c>
      <c r="B6189" s="5" t="s">
        <v>11779</v>
      </c>
      <c r="C6189" s="3" t="s">
        <v>5</v>
      </c>
    </row>
    <row r="6190" spans="1:3" ht="15.75" thickBot="1">
      <c r="A6190" s="6" t="s">
        <v>11780</v>
      </c>
      <c r="B6190" s="5" t="s">
        <v>11781</v>
      </c>
      <c r="C6190" s="3" t="s">
        <v>5</v>
      </c>
    </row>
    <row r="6191" spans="1:3" ht="15.75" thickBot="1">
      <c r="A6191" s="6" t="s">
        <v>11782</v>
      </c>
      <c r="B6191" s="5" t="s">
        <v>11783</v>
      </c>
      <c r="C6191" s="3" t="s">
        <v>5</v>
      </c>
    </row>
    <row r="6192" spans="1:3" ht="15.75" thickBot="1">
      <c r="A6192" s="6" t="s">
        <v>11784</v>
      </c>
      <c r="B6192" s="5" t="s">
        <v>11785</v>
      </c>
      <c r="C6192" s="3" t="s">
        <v>5</v>
      </c>
    </row>
    <row r="6193" spans="1:3" ht="15.75" thickBot="1">
      <c r="A6193" s="6" t="s">
        <v>11786</v>
      </c>
      <c r="B6193" s="5" t="s">
        <v>11787</v>
      </c>
      <c r="C6193" s="3" t="s">
        <v>5</v>
      </c>
    </row>
    <row r="6194" spans="1:3" ht="15.75" thickBot="1">
      <c r="A6194" s="6" t="s">
        <v>11788</v>
      </c>
      <c r="B6194" s="5" t="s">
        <v>11789</v>
      </c>
      <c r="C6194" s="3" t="s">
        <v>5</v>
      </c>
    </row>
    <row r="6195" spans="1:3" ht="15.75" thickBot="1">
      <c r="A6195" s="6" t="s">
        <v>11790</v>
      </c>
      <c r="B6195" s="5" t="s">
        <v>11791</v>
      </c>
      <c r="C6195" s="3" t="s">
        <v>5</v>
      </c>
    </row>
    <row r="6196" spans="1:3" ht="15.75" thickBot="1">
      <c r="A6196" s="6" t="s">
        <v>11792</v>
      </c>
      <c r="B6196" s="5" t="s">
        <v>11793</v>
      </c>
      <c r="C6196" s="3" t="s">
        <v>5</v>
      </c>
    </row>
    <row r="6197" spans="1:3" ht="15.75" thickBot="1">
      <c r="A6197" s="6" t="s">
        <v>11794</v>
      </c>
      <c r="B6197" s="5" t="s">
        <v>11795</v>
      </c>
      <c r="C6197" s="3" t="s">
        <v>5</v>
      </c>
    </row>
    <row r="6198" spans="1:3" ht="15.75" thickBot="1">
      <c r="A6198" s="6" t="s">
        <v>11796</v>
      </c>
      <c r="B6198" s="5" t="s">
        <v>11797</v>
      </c>
      <c r="C6198" s="3" t="s">
        <v>5</v>
      </c>
    </row>
    <row r="6199" spans="1:3" ht="15.75" thickBot="1">
      <c r="A6199" s="6" t="s">
        <v>11798</v>
      </c>
      <c r="B6199" s="5" t="s">
        <v>11799</v>
      </c>
      <c r="C6199" s="3" t="s">
        <v>5</v>
      </c>
    </row>
    <row r="6200" spans="1:3" ht="15.75" thickBot="1">
      <c r="A6200" s="6" t="s">
        <v>11800</v>
      </c>
      <c r="B6200" s="5" t="s">
        <v>11801</v>
      </c>
      <c r="C6200" s="3" t="s">
        <v>5</v>
      </c>
    </row>
    <row r="6201" spans="1:3" ht="15.75" thickBot="1">
      <c r="A6201" s="6" t="s">
        <v>11802</v>
      </c>
      <c r="B6201" s="5" t="s">
        <v>11803</v>
      </c>
      <c r="C6201" s="3" t="s">
        <v>5</v>
      </c>
    </row>
    <row r="6202" spans="1:3" ht="15.75" thickBot="1">
      <c r="A6202" s="6" t="s">
        <v>11804</v>
      </c>
      <c r="B6202" s="5" t="s">
        <v>11805</v>
      </c>
      <c r="C6202" s="3" t="s">
        <v>5</v>
      </c>
    </row>
    <row r="6203" spans="1:3" ht="15.75" thickBot="1">
      <c r="A6203" s="6" t="s">
        <v>11806</v>
      </c>
      <c r="B6203" s="5" t="s">
        <v>11807</v>
      </c>
      <c r="C6203" s="3" t="s">
        <v>5</v>
      </c>
    </row>
    <row r="6204" spans="1:3" ht="15.75" thickBot="1">
      <c r="A6204" s="6" t="s">
        <v>11808</v>
      </c>
      <c r="B6204" s="5" t="s">
        <v>11809</v>
      </c>
      <c r="C6204" s="3" t="s">
        <v>5</v>
      </c>
    </row>
    <row r="6205" spans="1:3" ht="15.75" thickBot="1">
      <c r="A6205" s="6" t="s">
        <v>11810</v>
      </c>
      <c r="B6205" s="5" t="s">
        <v>11811</v>
      </c>
      <c r="C6205" s="3" t="s">
        <v>5</v>
      </c>
    </row>
    <row r="6206" spans="1:3" ht="15.75" thickBot="1">
      <c r="A6206" s="6" t="s">
        <v>11812</v>
      </c>
      <c r="B6206" s="5" t="s">
        <v>11813</v>
      </c>
      <c r="C6206" s="3" t="s">
        <v>5</v>
      </c>
    </row>
    <row r="6207" spans="1:3" ht="15.75" thickBot="1">
      <c r="A6207" s="6" t="s">
        <v>11814</v>
      </c>
      <c r="B6207" s="5" t="s">
        <v>11815</v>
      </c>
      <c r="C6207" s="3" t="s">
        <v>5</v>
      </c>
    </row>
    <row r="6208" spans="1:3" ht="15.75" thickBot="1">
      <c r="A6208" s="6" t="s">
        <v>11816</v>
      </c>
      <c r="B6208" s="5" t="s">
        <v>11817</v>
      </c>
      <c r="C6208" s="3" t="s">
        <v>5</v>
      </c>
    </row>
    <row r="6209" spans="1:3" ht="15.75" thickBot="1">
      <c r="A6209" s="6" t="s">
        <v>11818</v>
      </c>
      <c r="B6209" s="5" t="s">
        <v>11819</v>
      </c>
      <c r="C6209" s="3" t="s">
        <v>5</v>
      </c>
    </row>
    <row r="6210" spans="1:3" ht="15.75" thickBot="1">
      <c r="A6210" s="6" t="s">
        <v>11820</v>
      </c>
      <c r="B6210" s="5" t="s">
        <v>11821</v>
      </c>
      <c r="C6210" s="3" t="s">
        <v>5</v>
      </c>
    </row>
    <row r="6211" spans="1:3" ht="15.75" thickBot="1">
      <c r="A6211" s="6" t="s">
        <v>11822</v>
      </c>
      <c r="B6211" s="5" t="s">
        <v>11823</v>
      </c>
      <c r="C6211" s="3" t="s">
        <v>5</v>
      </c>
    </row>
    <row r="6212" spans="1:3" ht="15.75" thickBot="1">
      <c r="A6212" s="6" t="s">
        <v>11824</v>
      </c>
      <c r="B6212" s="5" t="s">
        <v>11825</v>
      </c>
      <c r="C6212" s="3" t="s">
        <v>5</v>
      </c>
    </row>
    <row r="6213" spans="1:3" ht="15.75" thickBot="1">
      <c r="A6213" s="6" t="s">
        <v>11826</v>
      </c>
      <c r="B6213" s="5" t="s">
        <v>11827</v>
      </c>
      <c r="C6213" s="3" t="s">
        <v>5</v>
      </c>
    </row>
    <row r="6214" spans="1:3" ht="15.75" thickBot="1">
      <c r="A6214" s="6" t="s">
        <v>11828</v>
      </c>
      <c r="B6214" s="5" t="s">
        <v>11829</v>
      </c>
      <c r="C6214" s="3" t="s">
        <v>5</v>
      </c>
    </row>
    <row r="6215" spans="1:3" ht="15.75" thickBot="1">
      <c r="A6215" s="6" t="s">
        <v>11830</v>
      </c>
      <c r="B6215" s="5" t="s">
        <v>11831</v>
      </c>
      <c r="C6215" s="3" t="s">
        <v>5</v>
      </c>
    </row>
    <row r="6216" spans="1:3" ht="15.75" thickBot="1">
      <c r="A6216" s="6" t="s">
        <v>11832</v>
      </c>
      <c r="B6216" s="5" t="s">
        <v>11833</v>
      </c>
      <c r="C6216" s="3" t="s">
        <v>5</v>
      </c>
    </row>
    <row r="6217" spans="1:3" ht="15.75" thickBot="1">
      <c r="A6217" s="6" t="s">
        <v>11834</v>
      </c>
      <c r="B6217" s="5" t="s">
        <v>11835</v>
      </c>
      <c r="C6217" s="3" t="s">
        <v>5</v>
      </c>
    </row>
    <row r="6218" spans="1:3">
      <c r="A6218" s="1" t="s">
        <v>11836</v>
      </c>
      <c r="B6218" s="2" t="s">
        <v>11837</v>
      </c>
      <c r="C6218" s="3" t="s">
        <v>5</v>
      </c>
    </row>
    <row r="6219" spans="1:3" ht="15.75" thickBot="1">
      <c r="A6219" s="4"/>
      <c r="B6219" s="5" t="s">
        <v>11838</v>
      </c>
      <c r="C6219" s="3" t="s">
        <v>5</v>
      </c>
    </row>
    <row r="6220" spans="1:3" ht="15.75" thickBot="1">
      <c r="A6220" s="6" t="s">
        <v>11839</v>
      </c>
      <c r="B6220" s="5" t="s">
        <v>11840</v>
      </c>
      <c r="C6220" s="3" t="s">
        <v>5</v>
      </c>
    </row>
    <row r="6221" spans="1:3" ht="15.75" thickBot="1">
      <c r="A6221" s="6" t="s">
        <v>11841</v>
      </c>
      <c r="B6221" s="5" t="s">
        <v>11842</v>
      </c>
      <c r="C6221" s="3" t="s">
        <v>5</v>
      </c>
    </row>
    <row r="6222" spans="1:3" ht="15.75" thickBot="1">
      <c r="A6222" s="6" t="s">
        <v>11843</v>
      </c>
      <c r="B6222" s="5" t="s">
        <v>11844</v>
      </c>
      <c r="C6222" s="3" t="s">
        <v>5</v>
      </c>
    </row>
    <row r="6223" spans="1:3" ht="15.75" thickBot="1">
      <c r="A6223" s="6" t="s">
        <v>11845</v>
      </c>
      <c r="B6223" s="5" t="s">
        <v>11846</v>
      </c>
      <c r="C6223" s="3" t="s">
        <v>5</v>
      </c>
    </row>
    <row r="6224" spans="1:3" ht="15.75" thickBot="1">
      <c r="A6224" s="6" t="s">
        <v>11847</v>
      </c>
      <c r="B6224" s="5" t="s">
        <v>11848</v>
      </c>
      <c r="C6224" s="3" t="s">
        <v>5</v>
      </c>
    </row>
    <row r="6225" spans="1:3" ht="15.75" thickBot="1">
      <c r="A6225" s="6" t="s">
        <v>11849</v>
      </c>
      <c r="B6225" s="5" t="s">
        <v>11850</v>
      </c>
      <c r="C6225" s="3" t="s">
        <v>5</v>
      </c>
    </row>
    <row r="6226" spans="1:3" ht="15.75" thickBot="1">
      <c r="A6226" s="6" t="s">
        <v>11851</v>
      </c>
      <c r="B6226" s="5" t="s">
        <v>11852</v>
      </c>
      <c r="C6226" s="3" t="s">
        <v>5</v>
      </c>
    </row>
    <row r="6227" spans="1:3" ht="15.75" thickBot="1">
      <c r="A6227" s="6" t="s">
        <v>11853</v>
      </c>
      <c r="B6227" s="5" t="s">
        <v>11854</v>
      </c>
      <c r="C6227" s="3" t="s">
        <v>5</v>
      </c>
    </row>
    <row r="6228" spans="1:3" ht="15.75" thickBot="1">
      <c r="A6228" s="6" t="s">
        <v>11855</v>
      </c>
      <c r="B6228" s="5" t="s">
        <v>11856</v>
      </c>
      <c r="C6228" s="3" t="s">
        <v>5</v>
      </c>
    </row>
    <row r="6229" spans="1:3" ht="15.75" thickBot="1">
      <c r="A6229" s="6" t="s">
        <v>11857</v>
      </c>
      <c r="B6229" s="5" t="s">
        <v>11858</v>
      </c>
      <c r="C6229" s="3" t="s">
        <v>5</v>
      </c>
    </row>
    <row r="6230" spans="1:3" ht="15.75" thickBot="1">
      <c r="A6230" s="6" t="s">
        <v>11859</v>
      </c>
      <c r="B6230" s="5" t="s">
        <v>11860</v>
      </c>
      <c r="C6230" s="3" t="s">
        <v>5</v>
      </c>
    </row>
    <row r="6231" spans="1:3" ht="15.75" thickBot="1">
      <c r="A6231" s="6" t="s">
        <v>11861</v>
      </c>
      <c r="B6231" s="5" t="s">
        <v>11862</v>
      </c>
      <c r="C6231" s="3" t="s">
        <v>5</v>
      </c>
    </row>
    <row r="6232" spans="1:3" ht="15.75" thickBot="1">
      <c r="A6232" s="6" t="s">
        <v>11863</v>
      </c>
      <c r="B6232" s="5" t="s">
        <v>11864</v>
      </c>
      <c r="C6232" s="3" t="s">
        <v>5</v>
      </c>
    </row>
    <row r="6233" spans="1:3" ht="15.75" thickBot="1">
      <c r="A6233" s="6" t="s">
        <v>11865</v>
      </c>
      <c r="B6233" s="5" t="s">
        <v>11866</v>
      </c>
      <c r="C6233" s="3" t="s">
        <v>5</v>
      </c>
    </row>
    <row r="6234" spans="1:3" ht="15.75" thickBot="1">
      <c r="A6234" s="6" t="s">
        <v>11867</v>
      </c>
      <c r="B6234" s="5" t="s">
        <v>11868</v>
      </c>
      <c r="C6234" s="3" t="s">
        <v>5</v>
      </c>
    </row>
    <row r="6235" spans="1:3" ht="15.75" thickBot="1">
      <c r="A6235" s="6" t="s">
        <v>11869</v>
      </c>
      <c r="B6235" s="5" t="s">
        <v>11870</v>
      </c>
      <c r="C6235" s="3" t="s">
        <v>5</v>
      </c>
    </row>
    <row r="6236" spans="1:3" ht="15.75" thickBot="1">
      <c r="A6236" s="6" t="s">
        <v>11871</v>
      </c>
      <c r="B6236" s="5" t="s">
        <v>11872</v>
      </c>
      <c r="C6236" s="3" t="s">
        <v>5</v>
      </c>
    </row>
    <row r="6237" spans="1:3" ht="15.75" thickBot="1">
      <c r="A6237" s="6" t="s">
        <v>11873</v>
      </c>
      <c r="B6237" s="5" t="s">
        <v>11874</v>
      </c>
      <c r="C6237" s="3" t="s">
        <v>5</v>
      </c>
    </row>
    <row r="6238" spans="1:3" ht="15.75" thickBot="1">
      <c r="A6238" s="6" t="s">
        <v>11875</v>
      </c>
      <c r="B6238" s="5" t="s">
        <v>11876</v>
      </c>
      <c r="C6238" s="3" t="s">
        <v>5</v>
      </c>
    </row>
    <row r="6239" spans="1:3" ht="15.75" thickBot="1">
      <c r="A6239" s="6" t="s">
        <v>11877</v>
      </c>
      <c r="B6239" s="5" t="s">
        <v>11878</v>
      </c>
      <c r="C6239" s="3" t="s">
        <v>5</v>
      </c>
    </row>
    <row r="6240" spans="1:3" ht="15.75" thickBot="1">
      <c r="A6240" s="6" t="s">
        <v>11879</v>
      </c>
      <c r="B6240" s="5" t="s">
        <v>11880</v>
      </c>
      <c r="C6240" s="3" t="s">
        <v>5</v>
      </c>
    </row>
    <row r="6241" spans="1:3" ht="15.75" thickBot="1">
      <c r="A6241" s="6" t="s">
        <v>11881</v>
      </c>
      <c r="B6241" s="5" t="s">
        <v>11882</v>
      </c>
      <c r="C6241" s="3" t="s">
        <v>5</v>
      </c>
    </row>
    <row r="6242" spans="1:3" ht="15.75" thickBot="1">
      <c r="A6242" s="6" t="s">
        <v>11883</v>
      </c>
      <c r="B6242" s="5" t="s">
        <v>11884</v>
      </c>
      <c r="C6242" s="3" t="s">
        <v>5</v>
      </c>
    </row>
    <row r="6243" spans="1:3" ht="15.75" thickBot="1">
      <c r="A6243" s="6" t="s">
        <v>11885</v>
      </c>
      <c r="B6243" s="5" t="s">
        <v>11886</v>
      </c>
      <c r="C6243" s="3" t="s">
        <v>5</v>
      </c>
    </row>
    <row r="6244" spans="1:3" ht="15.75" thickBot="1">
      <c r="A6244" s="6" t="s">
        <v>11887</v>
      </c>
      <c r="B6244" s="5" t="s">
        <v>11888</v>
      </c>
      <c r="C6244" s="3" t="s">
        <v>5</v>
      </c>
    </row>
    <row r="6245" spans="1:3" ht="15.75" thickBot="1">
      <c r="A6245" s="6" t="s">
        <v>11887</v>
      </c>
      <c r="B6245" s="5" t="s">
        <v>11889</v>
      </c>
      <c r="C6245" s="3" t="s">
        <v>5</v>
      </c>
    </row>
    <row r="6246" spans="1:3" ht="15.75" thickBot="1">
      <c r="A6246" s="6" t="s">
        <v>11890</v>
      </c>
      <c r="B6246" s="5" t="s">
        <v>11891</v>
      </c>
      <c r="C6246" s="3" t="s">
        <v>5</v>
      </c>
    </row>
    <row r="6247" spans="1:3" ht="15.75" thickBot="1">
      <c r="A6247" s="6" t="s">
        <v>11892</v>
      </c>
      <c r="B6247" s="5" t="s">
        <v>11888</v>
      </c>
      <c r="C6247" s="3" t="s">
        <v>5</v>
      </c>
    </row>
    <row r="6248" spans="1:3" ht="15.75" thickBot="1">
      <c r="A6248" s="6" t="s">
        <v>11893</v>
      </c>
      <c r="B6248" s="5" t="s">
        <v>11894</v>
      </c>
      <c r="C6248" s="3" t="s">
        <v>5</v>
      </c>
    </row>
    <row r="6249" spans="1:3" ht="15.75" thickBot="1">
      <c r="A6249" s="6" t="s">
        <v>11895</v>
      </c>
      <c r="B6249" s="5" t="s">
        <v>11896</v>
      </c>
      <c r="C6249" s="3" t="s">
        <v>5</v>
      </c>
    </row>
    <row r="6250" spans="1:3" ht="15.75" thickBot="1">
      <c r="A6250" s="6" t="s">
        <v>11897</v>
      </c>
      <c r="B6250" s="5" t="s">
        <v>11898</v>
      </c>
      <c r="C6250" s="3" t="s">
        <v>5</v>
      </c>
    </row>
    <row r="6251" spans="1:3" ht="15.75" thickBot="1">
      <c r="A6251" s="6" t="s">
        <v>11899</v>
      </c>
      <c r="B6251" s="5" t="s">
        <v>11900</v>
      </c>
      <c r="C6251" s="3" t="s">
        <v>5</v>
      </c>
    </row>
    <row r="6252" spans="1:3" ht="15.75" thickBot="1">
      <c r="A6252" s="6" t="s">
        <v>11901</v>
      </c>
      <c r="B6252" s="5" t="s">
        <v>5118</v>
      </c>
      <c r="C6252" s="3" t="s">
        <v>5</v>
      </c>
    </row>
    <row r="6253" spans="1:3" ht="15.75" thickBot="1">
      <c r="A6253" s="6" t="s">
        <v>11902</v>
      </c>
      <c r="B6253" s="5" t="s">
        <v>11903</v>
      </c>
      <c r="C6253" s="3" t="s">
        <v>5</v>
      </c>
    </row>
    <row r="6254" spans="1:3" ht="15.75" thickBot="1">
      <c r="A6254" s="6" t="s">
        <v>11904</v>
      </c>
      <c r="B6254" s="5" t="s">
        <v>11905</v>
      </c>
      <c r="C6254" s="3" t="s">
        <v>5</v>
      </c>
    </row>
    <row r="6255" spans="1:3" ht="15.75" thickBot="1">
      <c r="A6255" s="6" t="s">
        <v>11906</v>
      </c>
      <c r="B6255" s="5" t="s">
        <v>11907</v>
      </c>
      <c r="C6255" s="3" t="s">
        <v>5</v>
      </c>
    </row>
    <row r="6256" spans="1:3" ht="15.75" thickBot="1">
      <c r="A6256" s="6" t="s">
        <v>11908</v>
      </c>
      <c r="B6256" s="5" t="s">
        <v>11909</v>
      </c>
      <c r="C6256" s="3" t="s">
        <v>5</v>
      </c>
    </row>
    <row r="6257" spans="1:3" ht="15.75" thickBot="1">
      <c r="A6257" s="6" t="s">
        <v>11910</v>
      </c>
      <c r="B6257" s="5" t="s">
        <v>704</v>
      </c>
      <c r="C6257" s="3" t="s">
        <v>5</v>
      </c>
    </row>
    <row r="6258" spans="1:3" ht="15.75" thickBot="1">
      <c r="A6258" s="6" t="s">
        <v>11911</v>
      </c>
      <c r="B6258" s="5" t="s">
        <v>11912</v>
      </c>
      <c r="C6258" s="3" t="s">
        <v>5</v>
      </c>
    </row>
    <row r="6259" spans="1:3" ht="15.75" thickBot="1">
      <c r="A6259" s="6" t="s">
        <v>11913</v>
      </c>
      <c r="B6259" s="5" t="s">
        <v>11914</v>
      </c>
      <c r="C6259" s="3" t="s">
        <v>5</v>
      </c>
    </row>
    <row r="6260" spans="1:3" ht="15.75" thickBot="1">
      <c r="A6260" s="6" t="s">
        <v>11915</v>
      </c>
      <c r="B6260" s="5" t="s">
        <v>11916</v>
      </c>
      <c r="C6260" s="3" t="s">
        <v>5</v>
      </c>
    </row>
    <row r="6261" spans="1:3" ht="15.75" thickBot="1">
      <c r="A6261" s="6" t="s">
        <v>11917</v>
      </c>
      <c r="B6261" s="5" t="s">
        <v>11918</v>
      </c>
      <c r="C6261" s="3" t="s">
        <v>5</v>
      </c>
    </row>
    <row r="6262" spans="1:3" ht="15.75" thickBot="1">
      <c r="A6262" s="6" t="s">
        <v>11919</v>
      </c>
      <c r="B6262" s="5" t="s">
        <v>11920</v>
      </c>
      <c r="C6262" s="3" t="s">
        <v>5</v>
      </c>
    </row>
    <row r="6263" spans="1:3" ht="15.75" thickBot="1">
      <c r="A6263" s="6" t="s">
        <v>11921</v>
      </c>
      <c r="B6263" s="5" t="s">
        <v>11922</v>
      </c>
      <c r="C6263" s="3" t="s">
        <v>5</v>
      </c>
    </row>
    <row r="6264" spans="1:3" ht="15.75" thickBot="1">
      <c r="A6264" s="6" t="s">
        <v>11923</v>
      </c>
      <c r="B6264" s="5" t="s">
        <v>11924</v>
      </c>
      <c r="C6264" s="3" t="s">
        <v>5</v>
      </c>
    </row>
    <row r="6265" spans="1:3" ht="15.75" thickBot="1">
      <c r="A6265" s="6" t="s">
        <v>11925</v>
      </c>
      <c r="B6265" s="5" t="s">
        <v>11926</v>
      </c>
      <c r="C6265" s="3" t="s">
        <v>5</v>
      </c>
    </row>
    <row r="6266" spans="1:3" ht="15.75" thickBot="1">
      <c r="A6266" s="6" t="s">
        <v>11927</v>
      </c>
      <c r="B6266" s="5" t="s">
        <v>11928</v>
      </c>
      <c r="C6266" s="3" t="s">
        <v>5</v>
      </c>
    </row>
    <row r="6267" spans="1:3" ht="15.75" thickBot="1">
      <c r="A6267" s="6" t="s">
        <v>11929</v>
      </c>
      <c r="B6267" s="5" t="s">
        <v>11930</v>
      </c>
      <c r="C6267" s="3" t="s">
        <v>5</v>
      </c>
    </row>
    <row r="6268" spans="1:3" ht="15.75" thickBot="1">
      <c r="A6268" s="6" t="s">
        <v>11931</v>
      </c>
      <c r="B6268" s="5" t="s">
        <v>11932</v>
      </c>
      <c r="C6268" s="3" t="s">
        <v>5</v>
      </c>
    </row>
    <row r="6269" spans="1:3" ht="15.75" thickBot="1">
      <c r="A6269" s="6" t="s">
        <v>11933</v>
      </c>
      <c r="B6269" s="5" t="s">
        <v>11934</v>
      </c>
      <c r="C6269" s="3" t="s">
        <v>5</v>
      </c>
    </row>
    <row r="6270" spans="1:3" ht="15.75" thickBot="1">
      <c r="A6270" s="6" t="s">
        <v>11935</v>
      </c>
      <c r="B6270" s="5" t="s">
        <v>11936</v>
      </c>
      <c r="C6270" s="3" t="s">
        <v>5</v>
      </c>
    </row>
    <row r="6271" spans="1:3" ht="15.75" thickBot="1">
      <c r="A6271" s="6" t="s">
        <v>11937</v>
      </c>
      <c r="B6271" s="5" t="s">
        <v>11938</v>
      </c>
      <c r="C6271" s="3" t="s">
        <v>5</v>
      </c>
    </row>
    <row r="6272" spans="1:3" ht="15.75" thickBot="1">
      <c r="A6272" s="6" t="s">
        <v>11939</v>
      </c>
      <c r="B6272" s="5" t="s">
        <v>11940</v>
      </c>
      <c r="C6272" s="3" t="s">
        <v>5</v>
      </c>
    </row>
    <row r="6273" spans="1:3" ht="15.75" thickBot="1">
      <c r="A6273" s="6" t="s">
        <v>11941</v>
      </c>
      <c r="B6273" s="5" t="s">
        <v>11942</v>
      </c>
      <c r="C6273" s="3" t="s">
        <v>5</v>
      </c>
    </row>
    <row r="6274" spans="1:3" ht="15.75" thickBot="1">
      <c r="A6274" s="6" t="s">
        <v>11943</v>
      </c>
      <c r="B6274" s="5" t="s">
        <v>11944</v>
      </c>
      <c r="C6274" s="3" t="s">
        <v>5</v>
      </c>
    </row>
    <row r="6275" spans="1:3" ht="15.75" thickBot="1">
      <c r="A6275" s="6" t="s">
        <v>11945</v>
      </c>
      <c r="B6275" s="5" t="s">
        <v>11946</v>
      </c>
      <c r="C6275" s="3" t="s">
        <v>5</v>
      </c>
    </row>
    <row r="6276" spans="1:3" ht="15.75" thickBot="1">
      <c r="A6276" s="6" t="s">
        <v>11947</v>
      </c>
      <c r="B6276" s="5" t="s">
        <v>11948</v>
      </c>
      <c r="C6276" s="3" t="s">
        <v>5</v>
      </c>
    </row>
    <row r="6277" spans="1:3" ht="15.75" thickBot="1">
      <c r="A6277" s="6" t="s">
        <v>11949</v>
      </c>
      <c r="B6277" s="5" t="s">
        <v>11950</v>
      </c>
      <c r="C6277" s="3" t="s">
        <v>5</v>
      </c>
    </row>
    <row r="6278" spans="1:3" ht="15.75" thickBot="1">
      <c r="A6278" s="6" t="s">
        <v>11951</v>
      </c>
      <c r="B6278" s="5" t="s">
        <v>11952</v>
      </c>
      <c r="C6278" s="3" t="s">
        <v>5</v>
      </c>
    </row>
    <row r="6279" spans="1:3" ht="15.75" thickBot="1">
      <c r="A6279" s="6" t="s">
        <v>11953</v>
      </c>
      <c r="B6279" s="5" t="s">
        <v>11954</v>
      </c>
      <c r="C6279" s="3" t="s">
        <v>5</v>
      </c>
    </row>
    <row r="6280" spans="1:3" ht="15.75" thickBot="1">
      <c r="A6280" s="6" t="s">
        <v>11955</v>
      </c>
      <c r="B6280" s="5" t="s">
        <v>11956</v>
      </c>
      <c r="C6280" s="3" t="s">
        <v>5</v>
      </c>
    </row>
    <row r="6281" spans="1:3" ht="15.75" thickBot="1">
      <c r="A6281" s="6" t="s">
        <v>11957</v>
      </c>
      <c r="B6281" s="5" t="s">
        <v>11958</v>
      </c>
      <c r="C6281" s="3" t="s">
        <v>5</v>
      </c>
    </row>
    <row r="6282" spans="1:3" ht="15.75" thickBot="1">
      <c r="A6282" s="6" t="s">
        <v>11959</v>
      </c>
      <c r="B6282" s="5" t="s">
        <v>11960</v>
      </c>
      <c r="C6282" s="3" t="s">
        <v>5</v>
      </c>
    </row>
    <row r="6283" spans="1:3" ht="15.75" thickBot="1">
      <c r="A6283" s="6" t="s">
        <v>11961</v>
      </c>
      <c r="B6283" s="5" t="s">
        <v>11962</v>
      </c>
      <c r="C6283" s="3" t="s">
        <v>5</v>
      </c>
    </row>
    <row r="6284" spans="1:3" ht="15.75" thickBot="1">
      <c r="A6284" s="6" t="s">
        <v>11963</v>
      </c>
      <c r="B6284" s="5" t="s">
        <v>11964</v>
      </c>
      <c r="C6284" s="3" t="s">
        <v>5</v>
      </c>
    </row>
    <row r="6285" spans="1:3" ht="15.75" thickBot="1">
      <c r="A6285" s="6" t="s">
        <v>11965</v>
      </c>
      <c r="B6285" s="5" t="s">
        <v>11966</v>
      </c>
      <c r="C6285" s="3" t="s">
        <v>5</v>
      </c>
    </row>
    <row r="6286" spans="1:3" ht="15.75" thickBot="1">
      <c r="A6286" s="6" t="s">
        <v>11967</v>
      </c>
      <c r="B6286" s="5" t="s">
        <v>11968</v>
      </c>
      <c r="C6286" s="3" t="s">
        <v>5</v>
      </c>
    </row>
    <row r="6287" spans="1:3" ht="15.75" thickBot="1">
      <c r="A6287" s="6" t="s">
        <v>11969</v>
      </c>
      <c r="B6287" s="5" t="s">
        <v>11970</v>
      </c>
      <c r="C6287" s="3" t="s">
        <v>5</v>
      </c>
    </row>
    <row r="6288" spans="1:3" ht="15.75" thickBot="1">
      <c r="A6288" s="6" t="s">
        <v>11971</v>
      </c>
      <c r="B6288" s="5" t="s">
        <v>11972</v>
      </c>
      <c r="C6288" s="3" t="s">
        <v>5</v>
      </c>
    </row>
    <row r="6289" spans="1:3" ht="15.75" thickBot="1">
      <c r="A6289" s="6" t="s">
        <v>11973</v>
      </c>
      <c r="B6289" s="5" t="s">
        <v>11974</v>
      </c>
      <c r="C6289" s="3" t="s">
        <v>5</v>
      </c>
    </row>
    <row r="6290" spans="1:3" ht="15.75" thickBot="1">
      <c r="A6290" s="6" t="s">
        <v>11975</v>
      </c>
      <c r="B6290" s="5" t="s">
        <v>11976</v>
      </c>
      <c r="C6290" s="3" t="s">
        <v>5</v>
      </c>
    </row>
    <row r="6291" spans="1:3" ht="15.75" thickBot="1">
      <c r="A6291" s="6" t="s">
        <v>11977</v>
      </c>
      <c r="B6291" s="5" t="s">
        <v>11978</v>
      </c>
      <c r="C6291" s="3" t="s">
        <v>5</v>
      </c>
    </row>
    <row r="6292" spans="1:3" ht="15.75" thickBot="1">
      <c r="A6292" s="6" t="s">
        <v>11979</v>
      </c>
      <c r="B6292" s="5" t="s">
        <v>11980</v>
      </c>
      <c r="C6292" s="3" t="s">
        <v>5</v>
      </c>
    </row>
    <row r="6293" spans="1:3" ht="15.75" thickBot="1">
      <c r="A6293" s="6" t="s">
        <v>11981</v>
      </c>
      <c r="B6293" s="5" t="s">
        <v>11982</v>
      </c>
      <c r="C6293" s="3" t="s">
        <v>5</v>
      </c>
    </row>
    <row r="6294" spans="1:3" ht="15.75" thickBot="1">
      <c r="A6294" s="6" t="s">
        <v>11983</v>
      </c>
      <c r="B6294" s="5" t="s">
        <v>11984</v>
      </c>
      <c r="C6294" s="3" t="s">
        <v>5</v>
      </c>
    </row>
    <row r="6295" spans="1:3" ht="15.75" thickBot="1">
      <c r="A6295" s="6" t="s">
        <v>11985</v>
      </c>
      <c r="B6295" s="5" t="s">
        <v>11986</v>
      </c>
      <c r="C6295" s="3" t="s">
        <v>5</v>
      </c>
    </row>
    <row r="6296" spans="1:3" ht="15.75" thickBot="1">
      <c r="A6296" s="6" t="s">
        <v>11987</v>
      </c>
      <c r="B6296" s="5" t="s">
        <v>11988</v>
      </c>
      <c r="C6296" s="3" t="s">
        <v>5</v>
      </c>
    </row>
    <row r="6297" spans="1:3" ht="15.75" thickBot="1">
      <c r="A6297" s="6" t="s">
        <v>11989</v>
      </c>
      <c r="B6297" s="5" t="s">
        <v>11990</v>
      </c>
      <c r="C6297" s="3" t="s">
        <v>5</v>
      </c>
    </row>
    <row r="6298" spans="1:3" ht="15.75" thickBot="1">
      <c r="A6298" s="6" t="s">
        <v>11991</v>
      </c>
      <c r="B6298" s="5" t="s">
        <v>11992</v>
      </c>
      <c r="C6298" s="3" t="s">
        <v>5</v>
      </c>
    </row>
    <row r="6299" spans="1:3" ht="15.75" thickBot="1">
      <c r="A6299" s="6" t="s">
        <v>11993</v>
      </c>
      <c r="B6299" s="5" t="s">
        <v>11994</v>
      </c>
      <c r="C6299" s="3" t="s">
        <v>5</v>
      </c>
    </row>
    <row r="6300" spans="1:3" ht="15.75" thickBot="1">
      <c r="A6300" s="6" t="s">
        <v>11995</v>
      </c>
      <c r="B6300" s="5" t="s">
        <v>11996</v>
      </c>
      <c r="C6300" s="3" t="s">
        <v>5</v>
      </c>
    </row>
    <row r="6301" spans="1:3" ht="15.75" thickBot="1">
      <c r="A6301" s="6" t="s">
        <v>11997</v>
      </c>
      <c r="B6301" s="5" t="s">
        <v>11998</v>
      </c>
      <c r="C6301" s="3" t="s">
        <v>5</v>
      </c>
    </row>
    <row r="6302" spans="1:3" ht="15.75" thickBot="1">
      <c r="A6302" s="6" t="s">
        <v>11999</v>
      </c>
      <c r="B6302" s="5" t="s">
        <v>12000</v>
      </c>
      <c r="C6302" s="3" t="s">
        <v>5</v>
      </c>
    </row>
    <row r="6303" spans="1:3" ht="15.75" thickBot="1">
      <c r="A6303" s="6" t="s">
        <v>12001</v>
      </c>
      <c r="B6303" s="5" t="s">
        <v>12002</v>
      </c>
      <c r="C6303" s="3" t="s">
        <v>5</v>
      </c>
    </row>
    <row r="6304" spans="1:3" ht="15.75" thickBot="1">
      <c r="A6304" s="6" t="s">
        <v>12003</v>
      </c>
      <c r="B6304" s="5" t="s">
        <v>12004</v>
      </c>
      <c r="C6304" s="3" t="s">
        <v>5</v>
      </c>
    </row>
    <row r="6305" spans="1:3" ht="15.75" thickBot="1">
      <c r="A6305" s="6" t="s">
        <v>12005</v>
      </c>
      <c r="B6305" s="5" t="s">
        <v>12006</v>
      </c>
      <c r="C6305" s="3" t="s">
        <v>5</v>
      </c>
    </row>
    <row r="6306" spans="1:3" ht="15.75" thickBot="1">
      <c r="A6306" s="6" t="s">
        <v>12007</v>
      </c>
      <c r="B6306" s="5" t="e">
        <f xml:space="preserve"> mush winding</f>
        <v>#NAME?</v>
      </c>
      <c r="C6306" s="3" t="s">
        <v>5</v>
      </c>
    </row>
    <row r="6307" spans="1:3" ht="15.75" thickBot="1">
      <c r="A6307" s="6" t="s">
        <v>12008</v>
      </c>
      <c r="B6307" s="5" t="s">
        <v>12009</v>
      </c>
      <c r="C6307" s="3" t="s">
        <v>5</v>
      </c>
    </row>
    <row r="6308" spans="1:3" ht="15.75" thickBot="1">
      <c r="A6308" s="6" t="s">
        <v>12010</v>
      </c>
      <c r="B6308" s="5" t="s">
        <v>12011</v>
      </c>
      <c r="C6308" s="3" t="s">
        <v>5</v>
      </c>
    </row>
    <row r="6309" spans="1:3" ht="15.75" thickBot="1">
      <c r="A6309" s="6" t="s">
        <v>12012</v>
      </c>
      <c r="B6309" s="5" t="s">
        <v>12013</v>
      </c>
      <c r="C6309" s="3" t="s">
        <v>5</v>
      </c>
    </row>
    <row r="6310" spans="1:3" ht="15.75" thickBot="1">
      <c r="A6310" s="6" t="s">
        <v>12014</v>
      </c>
      <c r="B6310" s="5" t="s">
        <v>12015</v>
      </c>
      <c r="C6310" s="3" t="s">
        <v>5</v>
      </c>
    </row>
    <row r="6311" spans="1:3" ht="15.75" thickBot="1">
      <c r="A6311" s="6" t="s">
        <v>12016</v>
      </c>
      <c r="B6311" s="5" t="s">
        <v>12017</v>
      </c>
      <c r="C6311" s="3" t="s">
        <v>5</v>
      </c>
    </row>
    <row r="6312" spans="1:3" ht="15.75" thickBot="1">
      <c r="A6312" s="6" t="s">
        <v>12018</v>
      </c>
      <c r="B6312" s="5" t="s">
        <v>12019</v>
      </c>
      <c r="C6312" s="3" t="s">
        <v>5</v>
      </c>
    </row>
    <row r="6313" spans="1:3" ht="15.75" thickBot="1">
      <c r="A6313" s="6" t="s">
        <v>12020</v>
      </c>
      <c r="B6313" s="5" t="s">
        <v>12021</v>
      </c>
      <c r="C6313" s="3" t="s">
        <v>5</v>
      </c>
    </row>
    <row r="6314" spans="1:3" ht="15.75" thickBot="1">
      <c r="A6314" s="6" t="s">
        <v>12022</v>
      </c>
      <c r="B6314" s="5" t="s">
        <v>12023</v>
      </c>
      <c r="C6314" s="3" t="s">
        <v>5</v>
      </c>
    </row>
    <row r="6315" spans="1:3" ht="15.75" thickBot="1">
      <c r="A6315" s="6" t="s">
        <v>12024</v>
      </c>
      <c r="B6315" s="5" t="s">
        <v>12025</v>
      </c>
      <c r="C6315" s="3" t="s">
        <v>5</v>
      </c>
    </row>
    <row r="6316" spans="1:3" ht="15.75" thickBot="1">
      <c r="A6316" s="6" t="s">
        <v>12026</v>
      </c>
      <c r="B6316" s="5" t="s">
        <v>12027</v>
      </c>
      <c r="C6316" s="3" t="s">
        <v>5</v>
      </c>
    </row>
    <row r="6317" spans="1:3" ht="15.75" thickBot="1">
      <c r="A6317" s="6" t="s">
        <v>12028</v>
      </c>
      <c r="B6317" s="5" t="s">
        <v>12029</v>
      </c>
      <c r="C6317" s="3" t="s">
        <v>5</v>
      </c>
    </row>
    <row r="6318" spans="1:3" ht="15.75" thickBot="1">
      <c r="A6318" s="6" t="s">
        <v>12030</v>
      </c>
      <c r="B6318" s="5" t="s">
        <v>12031</v>
      </c>
      <c r="C6318" s="3" t="s">
        <v>5</v>
      </c>
    </row>
    <row r="6319" spans="1:3" ht="26.25" thickBot="1">
      <c r="A6319" s="6" t="s">
        <v>12032</v>
      </c>
      <c r="B6319" s="5" t="s">
        <v>12033</v>
      </c>
      <c r="C6319" s="3" t="s">
        <v>5</v>
      </c>
    </row>
    <row r="6320" spans="1:3" ht="15.75" thickBot="1">
      <c r="A6320" s="6" t="s">
        <v>12034</v>
      </c>
      <c r="B6320" s="5" t="s">
        <v>12035</v>
      </c>
      <c r="C6320" s="3" t="s">
        <v>5</v>
      </c>
    </row>
    <row r="6321" spans="1:3" ht="15.75" thickBot="1">
      <c r="A6321" s="6" t="s">
        <v>12036</v>
      </c>
      <c r="B6321" s="5" t="s">
        <v>12037</v>
      </c>
      <c r="C6321" s="3" t="s">
        <v>5</v>
      </c>
    </row>
    <row r="6322" spans="1:3" ht="15.75" thickBot="1">
      <c r="A6322" s="6" t="s">
        <v>12038</v>
      </c>
      <c r="B6322" s="5" t="s">
        <v>12039</v>
      </c>
      <c r="C6322" s="3" t="s">
        <v>5</v>
      </c>
    </row>
    <row r="6323" spans="1:3" ht="15.75" thickBot="1">
      <c r="A6323" s="6" t="s">
        <v>12040</v>
      </c>
      <c r="B6323" s="5" t="s">
        <v>12041</v>
      </c>
      <c r="C6323" s="3" t="s">
        <v>5</v>
      </c>
    </row>
    <row r="6324" spans="1:3" ht="15.75" thickBot="1">
      <c r="A6324" s="6" t="s">
        <v>12042</v>
      </c>
      <c r="B6324" s="5" t="s">
        <v>12043</v>
      </c>
      <c r="C6324" s="3" t="s">
        <v>5</v>
      </c>
    </row>
    <row r="6325" spans="1:3" ht="15.75" thickBot="1">
      <c r="A6325" s="6" t="s">
        <v>12044</v>
      </c>
      <c r="B6325" s="5" t="s">
        <v>12045</v>
      </c>
      <c r="C6325" s="3" t="s">
        <v>5</v>
      </c>
    </row>
    <row r="6326" spans="1:3" ht="15.75" thickBot="1">
      <c r="A6326" s="6" t="s">
        <v>12046</v>
      </c>
      <c r="B6326" s="5" t="s">
        <v>12047</v>
      </c>
      <c r="C6326" s="3" t="s">
        <v>5</v>
      </c>
    </row>
    <row r="6327" spans="1:3" ht="15.75" thickBot="1">
      <c r="A6327" s="6" t="s">
        <v>12048</v>
      </c>
      <c r="B6327" s="5" t="s">
        <v>12049</v>
      </c>
      <c r="C6327" s="3" t="s">
        <v>5</v>
      </c>
    </row>
    <row r="6328" spans="1:3">
      <c r="A6328" s="1" t="s">
        <v>12050</v>
      </c>
      <c r="B6328" s="2" t="s">
        <v>12051</v>
      </c>
      <c r="C6328" s="3" t="s">
        <v>5</v>
      </c>
    </row>
    <row r="6329" spans="1:3" ht="15.75" thickBot="1">
      <c r="A6329" s="4"/>
      <c r="B6329" s="5" t="s">
        <v>12052</v>
      </c>
      <c r="C6329" s="3" t="s">
        <v>5</v>
      </c>
    </row>
    <row r="6330" spans="1:3" ht="15.75" thickBot="1">
      <c r="A6330" s="6" t="s">
        <v>12053</v>
      </c>
      <c r="B6330" s="5" t="s">
        <v>12054</v>
      </c>
      <c r="C6330" s="3" t="s">
        <v>5</v>
      </c>
    </row>
    <row r="6331" spans="1:3" ht="15.75" thickBot="1">
      <c r="A6331" s="6" t="s">
        <v>12055</v>
      </c>
      <c r="B6331" s="5" t="s">
        <v>12056</v>
      </c>
      <c r="C6331" s="3" t="s">
        <v>5</v>
      </c>
    </row>
    <row r="6332" spans="1:3" ht="15.75" thickBot="1">
      <c r="A6332" s="6" t="s">
        <v>12057</v>
      </c>
      <c r="B6332" s="5" t="s">
        <v>12058</v>
      </c>
      <c r="C6332" s="3" t="s">
        <v>5</v>
      </c>
    </row>
    <row r="6333" spans="1:3" ht="15.75" thickBot="1">
      <c r="A6333" s="6" t="s">
        <v>12059</v>
      </c>
      <c r="B6333" s="5" t="s">
        <v>12060</v>
      </c>
      <c r="C6333" s="3" t="s">
        <v>5</v>
      </c>
    </row>
    <row r="6334" spans="1:3">
      <c r="A6334" s="1" t="s">
        <v>12061</v>
      </c>
      <c r="B6334" s="2" t="s">
        <v>12062</v>
      </c>
      <c r="C6334" s="3" t="s">
        <v>5</v>
      </c>
    </row>
    <row r="6335" spans="1:3" ht="15.75" thickBot="1">
      <c r="A6335" s="4"/>
      <c r="B6335" s="5" t="s">
        <v>7286</v>
      </c>
      <c r="C6335" s="3" t="s">
        <v>5</v>
      </c>
    </row>
    <row r="6336" spans="1:3" ht="15.75" thickBot="1">
      <c r="A6336" s="6" t="s">
        <v>12063</v>
      </c>
      <c r="B6336" s="5" t="s">
        <v>12064</v>
      </c>
      <c r="C6336" s="3" t="s">
        <v>5</v>
      </c>
    </row>
    <row r="6337" spans="1:3" ht="15.75" thickBot="1">
      <c r="A6337" s="6" t="s">
        <v>12065</v>
      </c>
      <c r="B6337" s="5" t="s">
        <v>12066</v>
      </c>
      <c r="C6337" s="3" t="s">
        <v>5</v>
      </c>
    </row>
    <row r="6338" spans="1:3" ht="15.75" thickBot="1">
      <c r="A6338" s="6" t="s">
        <v>12067</v>
      </c>
      <c r="B6338" s="5" t="s">
        <v>12068</v>
      </c>
      <c r="C6338" s="3" t="s">
        <v>5</v>
      </c>
    </row>
    <row r="6339" spans="1:3" ht="15.75" thickBot="1">
      <c r="A6339" s="6" t="s">
        <v>12069</v>
      </c>
      <c r="B6339" s="5" t="s">
        <v>12070</v>
      </c>
      <c r="C6339" s="3" t="s">
        <v>5</v>
      </c>
    </row>
    <row r="6340" spans="1:3" ht="26.25" thickBot="1">
      <c r="A6340" s="6" t="s">
        <v>12071</v>
      </c>
      <c r="B6340" s="5" t="s">
        <v>12072</v>
      </c>
      <c r="C6340" s="3" t="s">
        <v>5</v>
      </c>
    </row>
    <row r="6341" spans="1:3" ht="15.75" thickBot="1">
      <c r="A6341" s="6" t="s">
        <v>12073</v>
      </c>
      <c r="B6341" s="5" t="s">
        <v>12074</v>
      </c>
      <c r="C6341" s="3" t="s">
        <v>5</v>
      </c>
    </row>
    <row r="6342" spans="1:3" ht="15.75" thickBot="1">
      <c r="A6342" s="6" t="s">
        <v>12075</v>
      </c>
      <c r="B6342" s="5" t="s">
        <v>12076</v>
      </c>
      <c r="C6342" s="3" t="s">
        <v>5</v>
      </c>
    </row>
    <row r="6343" spans="1:3" ht="15.75" thickBot="1">
      <c r="A6343" s="6" t="s">
        <v>12077</v>
      </c>
      <c r="B6343" s="5" t="s">
        <v>12078</v>
      </c>
      <c r="C6343" s="3" t="s">
        <v>5</v>
      </c>
    </row>
    <row r="6344" spans="1:3" ht="15.75" thickBot="1">
      <c r="A6344" s="6" t="s">
        <v>12079</v>
      </c>
      <c r="B6344" s="5" t="s">
        <v>12080</v>
      </c>
      <c r="C6344" s="3" t="s">
        <v>5</v>
      </c>
    </row>
    <row r="6345" spans="1:3" ht="15.75" thickBot="1">
      <c r="A6345" s="6" t="s">
        <v>12081</v>
      </c>
      <c r="B6345" s="5" t="s">
        <v>12082</v>
      </c>
      <c r="C6345" s="3" t="s">
        <v>5</v>
      </c>
    </row>
    <row r="6346" spans="1:3" ht="15.75" thickBot="1">
      <c r="A6346" s="6" t="s">
        <v>12083</v>
      </c>
      <c r="B6346" s="5" t="s">
        <v>12084</v>
      </c>
      <c r="C6346" s="3" t="s">
        <v>5</v>
      </c>
    </row>
    <row r="6347" spans="1:3" ht="15.75" thickBot="1">
      <c r="A6347" s="6" t="s">
        <v>12085</v>
      </c>
      <c r="B6347" s="5" t="s">
        <v>12086</v>
      </c>
      <c r="C6347" s="3" t="s">
        <v>5</v>
      </c>
    </row>
    <row r="6348" spans="1:3" ht="15.75" thickBot="1">
      <c r="A6348" s="6" t="s">
        <v>12087</v>
      </c>
      <c r="B6348" s="5" t="s">
        <v>12088</v>
      </c>
      <c r="C6348" s="3" t="s">
        <v>5</v>
      </c>
    </row>
    <row r="6349" spans="1:3" ht="15.75" thickBot="1">
      <c r="A6349" s="6" t="s">
        <v>12089</v>
      </c>
      <c r="B6349" s="5" t="s">
        <v>12090</v>
      </c>
      <c r="C6349" s="3" t="s">
        <v>5</v>
      </c>
    </row>
    <row r="6350" spans="1:3">
      <c r="A6350" s="1" t="s">
        <v>12091</v>
      </c>
      <c r="B6350" s="2" t="s">
        <v>12092</v>
      </c>
      <c r="C6350" s="3" t="s">
        <v>5</v>
      </c>
    </row>
    <row r="6351" spans="1:3" ht="15.75" thickBot="1">
      <c r="A6351" s="4"/>
      <c r="B6351" s="5" t="s">
        <v>12093</v>
      </c>
      <c r="C6351" s="3" t="s">
        <v>5</v>
      </c>
    </row>
    <row r="6352" spans="1:3" ht="15.75" thickBot="1">
      <c r="A6352" s="6" t="s">
        <v>12094</v>
      </c>
      <c r="B6352" s="5" t="s">
        <v>12095</v>
      </c>
      <c r="C6352" s="3" t="s">
        <v>5</v>
      </c>
    </row>
    <row r="6353" spans="1:3" ht="15.75" thickBot="1">
      <c r="A6353" s="6" t="s">
        <v>12096</v>
      </c>
      <c r="B6353" s="5" t="s">
        <v>12097</v>
      </c>
      <c r="C6353" s="3" t="s">
        <v>5</v>
      </c>
    </row>
    <row r="6354" spans="1:3" ht="15.75" thickBot="1">
      <c r="A6354" s="6" t="s">
        <v>12098</v>
      </c>
      <c r="B6354" s="5" t="s">
        <v>12099</v>
      </c>
      <c r="C6354" s="3" t="s">
        <v>5</v>
      </c>
    </row>
    <row r="6355" spans="1:3" ht="15.75" thickBot="1">
      <c r="A6355" s="6" t="s">
        <v>12100</v>
      </c>
      <c r="B6355" s="5" t="s">
        <v>12101</v>
      </c>
      <c r="C6355" s="3" t="s">
        <v>5</v>
      </c>
    </row>
    <row r="6356" spans="1:3" ht="15.75" thickBot="1">
      <c r="A6356" s="6" t="s">
        <v>12102</v>
      </c>
      <c r="B6356" s="5" t="s">
        <v>12103</v>
      </c>
      <c r="C6356" s="3" t="s">
        <v>5</v>
      </c>
    </row>
    <row r="6357" spans="1:3" ht="15.75" thickBot="1">
      <c r="A6357" s="6" t="s">
        <v>12104</v>
      </c>
      <c r="B6357" s="5" t="s">
        <v>12105</v>
      </c>
      <c r="C6357" s="3" t="s">
        <v>5</v>
      </c>
    </row>
    <row r="6358" spans="1:3" ht="15.75" thickBot="1">
      <c r="A6358" s="6" t="s">
        <v>12106</v>
      </c>
      <c r="B6358" s="5" t="s">
        <v>12107</v>
      </c>
      <c r="C6358" s="3" t="s">
        <v>5</v>
      </c>
    </row>
    <row r="6359" spans="1:3" ht="15.75" thickBot="1">
      <c r="A6359" s="6" t="s">
        <v>12108</v>
      </c>
      <c r="B6359" s="5" t="s">
        <v>12109</v>
      </c>
      <c r="C6359" s="3" t="s">
        <v>5</v>
      </c>
    </row>
    <row r="6360" spans="1:3" ht="15.75" thickBot="1">
      <c r="A6360" s="6" t="s">
        <v>12110</v>
      </c>
      <c r="B6360" s="5" t="s">
        <v>12111</v>
      </c>
      <c r="C6360" s="3" t="s">
        <v>5</v>
      </c>
    </row>
    <row r="6361" spans="1:3" ht="15.75" thickBot="1">
      <c r="A6361" s="6" t="s">
        <v>12112</v>
      </c>
      <c r="B6361" s="5" t="s">
        <v>12113</v>
      </c>
      <c r="C6361" s="3" t="s">
        <v>5</v>
      </c>
    </row>
    <row r="6362" spans="1:3" ht="15.75" thickBot="1">
      <c r="A6362" s="6" t="s">
        <v>12114</v>
      </c>
      <c r="B6362" s="5" t="s">
        <v>12115</v>
      </c>
      <c r="C6362" s="3" t="s">
        <v>5</v>
      </c>
    </row>
    <row r="6363" spans="1:3" ht="15.75" thickBot="1">
      <c r="A6363" s="6" t="s">
        <v>12116</v>
      </c>
      <c r="B6363" s="5" t="s">
        <v>12117</v>
      </c>
      <c r="C6363" s="3" t="s">
        <v>5</v>
      </c>
    </row>
    <row r="6364" spans="1:3" ht="15.75" thickBot="1">
      <c r="A6364" s="6" t="s">
        <v>12118</v>
      </c>
      <c r="B6364" s="5" t="s">
        <v>12119</v>
      </c>
      <c r="C6364" s="3" t="s">
        <v>5</v>
      </c>
    </row>
    <row r="6365" spans="1:3" ht="15.75" thickBot="1">
      <c r="A6365" s="6" t="s">
        <v>12118</v>
      </c>
      <c r="B6365" s="5" t="s">
        <v>12120</v>
      </c>
      <c r="C6365" s="3" t="s">
        <v>5</v>
      </c>
    </row>
    <row r="6366" spans="1:3" ht="15.75" thickBot="1">
      <c r="A6366" s="6" t="s">
        <v>12121</v>
      </c>
      <c r="B6366" s="5" t="s">
        <v>12122</v>
      </c>
      <c r="C6366" s="3" t="s">
        <v>5</v>
      </c>
    </row>
    <row r="6367" spans="1:3" ht="15.75" thickBot="1">
      <c r="A6367" s="6" t="s">
        <v>12123</v>
      </c>
      <c r="B6367" s="5" t="s">
        <v>12124</v>
      </c>
      <c r="C6367" s="3" t="s">
        <v>5</v>
      </c>
    </row>
    <row r="6368" spans="1:3" ht="15.75" thickBot="1">
      <c r="A6368" s="6" t="s">
        <v>12125</v>
      </c>
      <c r="B6368" s="5" t="s">
        <v>12126</v>
      </c>
      <c r="C6368" s="3" t="s">
        <v>5</v>
      </c>
    </row>
    <row r="6369" spans="1:3" ht="15.75" thickBot="1">
      <c r="A6369" s="6" t="s">
        <v>12127</v>
      </c>
      <c r="B6369" s="5" t="s">
        <v>12128</v>
      </c>
      <c r="C6369" s="3" t="s">
        <v>5</v>
      </c>
    </row>
    <row r="6370" spans="1:3" ht="15.75" thickBot="1">
      <c r="A6370" s="6" t="s">
        <v>12129</v>
      </c>
      <c r="B6370" s="5" t="s">
        <v>12119</v>
      </c>
      <c r="C6370" s="3" t="s">
        <v>5</v>
      </c>
    </row>
    <row r="6371" spans="1:3" ht="15.75" thickBot="1">
      <c r="A6371" s="6" t="s">
        <v>12130</v>
      </c>
      <c r="B6371" s="5" t="s">
        <v>12131</v>
      </c>
      <c r="C6371" s="3" t="s">
        <v>5</v>
      </c>
    </row>
    <row r="6372" spans="1:3" ht="15.75" thickBot="1">
      <c r="A6372" s="6" t="s">
        <v>12132</v>
      </c>
      <c r="B6372" s="5" t="s">
        <v>12133</v>
      </c>
      <c r="C6372" s="3" t="s">
        <v>5</v>
      </c>
    </row>
    <row r="6373" spans="1:3" ht="15.75" thickBot="1">
      <c r="A6373" s="6" t="s">
        <v>12134</v>
      </c>
      <c r="B6373" s="5" t="s">
        <v>12135</v>
      </c>
      <c r="C6373" s="3" t="s">
        <v>5</v>
      </c>
    </row>
    <row r="6374" spans="1:3" ht="15.75" thickBot="1">
      <c r="A6374" s="6" t="s">
        <v>12136</v>
      </c>
      <c r="B6374" s="5" t="s">
        <v>12137</v>
      </c>
      <c r="C6374" s="3" t="s">
        <v>5</v>
      </c>
    </row>
    <row r="6375" spans="1:3" ht="15.75" thickBot="1">
      <c r="A6375" s="6" t="s">
        <v>12138</v>
      </c>
      <c r="B6375" s="5" t="s">
        <v>12139</v>
      </c>
      <c r="C6375" s="3" t="s">
        <v>5</v>
      </c>
    </row>
    <row r="6376" spans="1:3" ht="15.75" thickBot="1">
      <c r="A6376" s="6" t="s">
        <v>12140</v>
      </c>
      <c r="B6376" s="5" t="s">
        <v>12141</v>
      </c>
      <c r="C6376" s="3" t="s">
        <v>5</v>
      </c>
    </row>
    <row r="6377" spans="1:3" ht="15.75" thickBot="1">
      <c r="A6377" s="6" t="s">
        <v>12142</v>
      </c>
      <c r="B6377" s="5" t="s">
        <v>12143</v>
      </c>
      <c r="C6377" s="3" t="s">
        <v>5</v>
      </c>
    </row>
    <row r="6378" spans="1:3" ht="15.75" thickBot="1">
      <c r="A6378" s="6" t="s">
        <v>12144</v>
      </c>
      <c r="B6378" s="5" t="s">
        <v>12145</v>
      </c>
      <c r="C6378" s="3" t="s">
        <v>5</v>
      </c>
    </row>
    <row r="6379" spans="1:3" ht="15.75" thickBot="1">
      <c r="A6379" s="6" t="s">
        <v>12146</v>
      </c>
      <c r="B6379" s="5" t="s">
        <v>12147</v>
      </c>
      <c r="C6379" s="3" t="s">
        <v>5</v>
      </c>
    </row>
    <row r="6380" spans="1:3" ht="15.75" thickBot="1">
      <c r="A6380" s="6" t="s">
        <v>12148</v>
      </c>
      <c r="B6380" s="5" t="s">
        <v>12149</v>
      </c>
      <c r="C6380" s="3" t="s">
        <v>5</v>
      </c>
    </row>
    <row r="6381" spans="1:3" ht="15.75" thickBot="1">
      <c r="A6381" s="6" t="s">
        <v>12150</v>
      </c>
      <c r="B6381" s="5" t="s">
        <v>12151</v>
      </c>
      <c r="C6381" s="3" t="s">
        <v>5</v>
      </c>
    </row>
    <row r="6382" spans="1:3" ht="15.75" thickBot="1">
      <c r="A6382" s="6" t="s">
        <v>12152</v>
      </c>
      <c r="B6382" s="5" t="s">
        <v>12153</v>
      </c>
      <c r="C6382" s="3" t="s">
        <v>5</v>
      </c>
    </row>
    <row r="6383" spans="1:3" ht="15.75" thickBot="1">
      <c r="A6383" s="6" t="s">
        <v>12154</v>
      </c>
      <c r="B6383" s="5" t="s">
        <v>12155</v>
      </c>
      <c r="C6383" s="3" t="s">
        <v>5</v>
      </c>
    </row>
    <row r="6384" spans="1:3" ht="15.75" thickBot="1">
      <c r="A6384" s="6" t="s">
        <v>12156</v>
      </c>
      <c r="B6384" s="5" t="s">
        <v>12157</v>
      </c>
      <c r="C6384" s="3" t="s">
        <v>5</v>
      </c>
    </row>
    <row r="6385" spans="1:3" ht="15.75" thickBot="1">
      <c r="A6385" s="6" t="s">
        <v>12158</v>
      </c>
      <c r="B6385" s="5" t="s">
        <v>12159</v>
      </c>
      <c r="C6385" s="3" t="s">
        <v>5</v>
      </c>
    </row>
    <row r="6386" spans="1:3" ht="15.75" thickBot="1">
      <c r="A6386" s="6" t="s">
        <v>12160</v>
      </c>
      <c r="B6386" s="5" t="s">
        <v>12161</v>
      </c>
      <c r="C6386" s="3" t="s">
        <v>5</v>
      </c>
    </row>
    <row r="6387" spans="1:3" ht="15.75" thickBot="1">
      <c r="A6387" s="6" t="s">
        <v>12162</v>
      </c>
      <c r="B6387" s="5" t="s">
        <v>12163</v>
      </c>
      <c r="C6387" s="3" t="s">
        <v>5</v>
      </c>
    </row>
    <row r="6388" spans="1:3" ht="15.75" thickBot="1">
      <c r="A6388" s="6" t="s">
        <v>12164</v>
      </c>
      <c r="B6388" s="5" t="s">
        <v>12165</v>
      </c>
      <c r="C6388" s="3" t="s">
        <v>5</v>
      </c>
    </row>
    <row r="6389" spans="1:3" ht="15.75" thickBot="1">
      <c r="A6389" s="6" t="s">
        <v>12164</v>
      </c>
      <c r="B6389" s="5" t="s">
        <v>12166</v>
      </c>
      <c r="C6389" s="3" t="s">
        <v>5</v>
      </c>
    </row>
    <row r="6390" spans="1:3" ht="15.75" thickBot="1">
      <c r="A6390" s="6" t="s">
        <v>12167</v>
      </c>
      <c r="B6390" s="5" t="s">
        <v>12168</v>
      </c>
      <c r="C6390" s="3" t="s">
        <v>5</v>
      </c>
    </row>
    <row r="6391" spans="1:3" ht="15.75" thickBot="1">
      <c r="A6391" s="6" t="s">
        <v>12169</v>
      </c>
      <c r="B6391" s="5" t="s">
        <v>12170</v>
      </c>
      <c r="C6391" s="3" t="s">
        <v>5</v>
      </c>
    </row>
    <row r="6392" spans="1:3" ht="15.75" thickBot="1">
      <c r="A6392" s="6" t="s">
        <v>12171</v>
      </c>
      <c r="B6392" s="5" t="s">
        <v>12172</v>
      </c>
      <c r="C6392" s="3" t="s">
        <v>5</v>
      </c>
    </row>
    <row r="6393" spans="1:3" ht="15.75" thickBot="1">
      <c r="A6393" s="6" t="s">
        <v>12173</v>
      </c>
      <c r="B6393" s="5" t="s">
        <v>12174</v>
      </c>
      <c r="C6393" s="3" t="s">
        <v>5</v>
      </c>
    </row>
    <row r="6394" spans="1:3" ht="15.75" thickBot="1">
      <c r="A6394" s="6" t="s">
        <v>12175</v>
      </c>
      <c r="B6394" s="5" t="s">
        <v>12176</v>
      </c>
      <c r="C6394" s="3" t="s">
        <v>5</v>
      </c>
    </row>
    <row r="6395" spans="1:3" ht="15.75" thickBot="1">
      <c r="A6395" s="6" t="s">
        <v>12177</v>
      </c>
      <c r="B6395" s="5" t="s">
        <v>12178</v>
      </c>
      <c r="C6395" s="3" t="s">
        <v>5</v>
      </c>
    </row>
    <row r="6396" spans="1:3" ht="15.75" thickBot="1">
      <c r="A6396" s="6" t="s">
        <v>12179</v>
      </c>
      <c r="B6396" s="5" t="s">
        <v>12180</v>
      </c>
      <c r="C6396" s="3" t="s">
        <v>5</v>
      </c>
    </row>
    <row r="6397" spans="1:3" ht="15.75" thickBot="1">
      <c r="A6397" s="6" t="s">
        <v>12181</v>
      </c>
      <c r="B6397" s="5" t="s">
        <v>12182</v>
      </c>
      <c r="C6397" s="3" t="s">
        <v>5</v>
      </c>
    </row>
    <row r="6398" spans="1:3" ht="15.75" thickBot="1">
      <c r="A6398" s="6" t="s">
        <v>12183</v>
      </c>
      <c r="B6398" s="5" t="s">
        <v>12184</v>
      </c>
      <c r="C6398" s="3" t="s">
        <v>5</v>
      </c>
    </row>
    <row r="6399" spans="1:3" ht="15.75" thickBot="1">
      <c r="A6399" s="6" t="s">
        <v>12185</v>
      </c>
      <c r="B6399" s="5" t="s">
        <v>12186</v>
      </c>
      <c r="C6399" s="3" t="s">
        <v>5</v>
      </c>
    </row>
    <row r="6400" spans="1:3" ht="15.75" thickBot="1">
      <c r="A6400" s="6" t="s">
        <v>12187</v>
      </c>
      <c r="B6400" s="5" t="s">
        <v>4376</v>
      </c>
      <c r="C6400" s="3" t="s">
        <v>5</v>
      </c>
    </row>
    <row r="6401" spans="1:3" ht="15.75" thickBot="1">
      <c r="A6401" s="6" t="s">
        <v>12188</v>
      </c>
      <c r="B6401" s="5" t="s">
        <v>12189</v>
      </c>
      <c r="C6401" s="3" t="s">
        <v>5</v>
      </c>
    </row>
    <row r="6402" spans="1:3" ht="15.75" thickBot="1">
      <c r="A6402" s="6" t="s">
        <v>12190</v>
      </c>
      <c r="B6402" s="5" t="s">
        <v>12191</v>
      </c>
      <c r="C6402" s="3" t="s">
        <v>5</v>
      </c>
    </row>
    <row r="6403" spans="1:3" ht="15.75" thickBot="1">
      <c r="A6403" s="6" t="s">
        <v>12192</v>
      </c>
      <c r="B6403" s="5" t="s">
        <v>12193</v>
      </c>
      <c r="C6403" s="3" t="s">
        <v>5</v>
      </c>
    </row>
    <row r="6404" spans="1:3" ht="15.75" thickBot="1">
      <c r="A6404" s="6" t="s">
        <v>12194</v>
      </c>
      <c r="B6404" s="5" t="s">
        <v>12195</v>
      </c>
      <c r="C6404" s="3" t="s">
        <v>5</v>
      </c>
    </row>
    <row r="6405" spans="1:3" ht="15.75" thickBot="1">
      <c r="A6405" s="6" t="s">
        <v>12196</v>
      </c>
      <c r="B6405" s="5" t="s">
        <v>12197</v>
      </c>
      <c r="C6405" s="3" t="s">
        <v>5</v>
      </c>
    </row>
    <row r="6406" spans="1:3" ht="15.75" thickBot="1">
      <c r="A6406" s="6" t="s">
        <v>12198</v>
      </c>
      <c r="B6406" s="5" t="s">
        <v>12199</v>
      </c>
      <c r="C6406" s="3" t="s">
        <v>5</v>
      </c>
    </row>
    <row r="6407" spans="1:3" ht="15.75" thickBot="1">
      <c r="A6407" s="6" t="s">
        <v>12200</v>
      </c>
      <c r="B6407" s="5" t="s">
        <v>12201</v>
      </c>
      <c r="C6407" s="3" t="s">
        <v>5</v>
      </c>
    </row>
    <row r="6408" spans="1:3" ht="15.75" thickBot="1">
      <c r="A6408" s="6" t="s">
        <v>12202</v>
      </c>
      <c r="B6408" s="5" t="s">
        <v>12203</v>
      </c>
      <c r="C6408" s="3" t="s">
        <v>5</v>
      </c>
    </row>
    <row r="6409" spans="1:3" ht="15.75" thickBot="1">
      <c r="A6409" s="6" t="s">
        <v>12204</v>
      </c>
      <c r="B6409" s="5" t="s">
        <v>12205</v>
      </c>
      <c r="C6409" s="3" t="s">
        <v>5</v>
      </c>
    </row>
    <row r="6410" spans="1:3" ht="15.75" thickBot="1">
      <c r="A6410" s="6" t="s">
        <v>12206</v>
      </c>
      <c r="B6410" s="5" t="s">
        <v>12207</v>
      </c>
      <c r="C6410" s="3" t="s">
        <v>5</v>
      </c>
    </row>
    <row r="6411" spans="1:3" ht="15.75" thickBot="1">
      <c r="A6411" s="6" t="s">
        <v>12208</v>
      </c>
      <c r="B6411" s="5" t="s">
        <v>12209</v>
      </c>
      <c r="C6411" s="3" t="s">
        <v>5</v>
      </c>
    </row>
    <row r="6412" spans="1:3" ht="15.75" thickBot="1">
      <c r="A6412" s="6" t="s">
        <v>12210</v>
      </c>
      <c r="B6412" s="5" t="s">
        <v>12211</v>
      </c>
      <c r="C6412" s="3" t="s">
        <v>5</v>
      </c>
    </row>
    <row r="6413" spans="1:3" ht="15.75" thickBot="1">
      <c r="A6413" s="6" t="s">
        <v>12212</v>
      </c>
      <c r="B6413" s="5" t="s">
        <v>12213</v>
      </c>
      <c r="C6413" s="3" t="s">
        <v>5</v>
      </c>
    </row>
    <row r="6414" spans="1:3" ht="15.75" thickBot="1">
      <c r="A6414" s="6" t="s">
        <v>12214</v>
      </c>
      <c r="B6414" s="5" t="s">
        <v>12215</v>
      </c>
      <c r="C6414" s="3" t="s">
        <v>5</v>
      </c>
    </row>
    <row r="6415" spans="1:3" ht="15.75" thickBot="1">
      <c r="A6415" s="6" t="s">
        <v>12216</v>
      </c>
      <c r="B6415" s="5" t="s">
        <v>12217</v>
      </c>
      <c r="C6415" s="3" t="s">
        <v>5</v>
      </c>
    </row>
    <row r="6416" spans="1:3" ht="15.75" thickBot="1">
      <c r="A6416" s="6" t="s">
        <v>12218</v>
      </c>
      <c r="B6416" s="5" t="s">
        <v>12219</v>
      </c>
      <c r="C6416" s="3" t="s">
        <v>5</v>
      </c>
    </row>
    <row r="6417" spans="1:3" ht="15.75" thickBot="1">
      <c r="A6417" s="6" t="s">
        <v>12220</v>
      </c>
      <c r="B6417" s="5" t="s">
        <v>12221</v>
      </c>
      <c r="C6417" s="3" t="s">
        <v>5</v>
      </c>
    </row>
    <row r="6418" spans="1:3" ht="15.75" thickBot="1">
      <c r="A6418" s="6" t="s">
        <v>12222</v>
      </c>
      <c r="B6418" s="5" t="s">
        <v>12223</v>
      </c>
      <c r="C6418" s="3" t="s">
        <v>5</v>
      </c>
    </row>
    <row r="6419" spans="1:3" ht="15.75" thickBot="1">
      <c r="A6419" s="6" t="s">
        <v>12224</v>
      </c>
      <c r="B6419" s="5" t="s">
        <v>12225</v>
      </c>
      <c r="C6419" s="3" t="s">
        <v>5</v>
      </c>
    </row>
    <row r="6420" spans="1:3" ht="15.75" thickBot="1">
      <c r="A6420" s="6" t="s">
        <v>12226</v>
      </c>
      <c r="B6420" s="5" t="s">
        <v>12227</v>
      </c>
      <c r="C6420" s="3" t="s">
        <v>5</v>
      </c>
    </row>
    <row r="6421" spans="1:3" ht="15.75" thickBot="1">
      <c r="A6421" s="6" t="s">
        <v>12228</v>
      </c>
      <c r="B6421" s="5" t="s">
        <v>12229</v>
      </c>
      <c r="C6421" s="3" t="s">
        <v>5</v>
      </c>
    </row>
    <row r="6422" spans="1:3" ht="15.75" thickBot="1">
      <c r="A6422" s="6" t="s">
        <v>12230</v>
      </c>
      <c r="B6422" s="5" t="s">
        <v>12231</v>
      </c>
      <c r="C6422" s="3" t="s">
        <v>5</v>
      </c>
    </row>
    <row r="6423" spans="1:3" ht="15.75" thickBot="1">
      <c r="A6423" s="6" t="s">
        <v>12232</v>
      </c>
      <c r="B6423" s="5" t="s">
        <v>12233</v>
      </c>
      <c r="C6423" s="3" t="s">
        <v>5</v>
      </c>
    </row>
    <row r="6424" spans="1:3" ht="15.75" thickBot="1">
      <c r="A6424" s="6" t="s">
        <v>12234</v>
      </c>
      <c r="B6424" s="5" t="s">
        <v>12235</v>
      </c>
      <c r="C6424" s="3" t="s">
        <v>5</v>
      </c>
    </row>
    <row r="6425" spans="1:3" ht="15.75" thickBot="1">
      <c r="A6425" s="6" t="s">
        <v>12236</v>
      </c>
      <c r="B6425" s="5" t="s">
        <v>12237</v>
      </c>
      <c r="C6425" s="3" t="s">
        <v>5</v>
      </c>
    </row>
    <row r="6426" spans="1:3" ht="15.75" thickBot="1">
      <c r="A6426" s="6" t="s">
        <v>12238</v>
      </c>
      <c r="B6426" s="5" t="s">
        <v>12239</v>
      </c>
      <c r="C6426" s="3" t="s">
        <v>5</v>
      </c>
    </row>
    <row r="6427" spans="1:3" ht="15.75" thickBot="1">
      <c r="A6427" s="6" t="s">
        <v>12240</v>
      </c>
      <c r="B6427" s="5" t="s">
        <v>12241</v>
      </c>
      <c r="C6427" s="3" t="s">
        <v>5</v>
      </c>
    </row>
    <row r="6428" spans="1:3" ht="15.75" thickBot="1">
      <c r="A6428" s="6" t="s">
        <v>12242</v>
      </c>
      <c r="B6428" s="5" t="s">
        <v>12243</v>
      </c>
      <c r="C6428" s="3" t="s">
        <v>5</v>
      </c>
    </row>
    <row r="6429" spans="1:3" ht="15.75" thickBot="1">
      <c r="A6429" s="6" t="s">
        <v>12244</v>
      </c>
      <c r="B6429" s="5" t="s">
        <v>12245</v>
      </c>
      <c r="C6429" s="3" t="s">
        <v>5</v>
      </c>
    </row>
    <row r="6430" spans="1:3" ht="15.75" thickBot="1">
      <c r="A6430" s="6" t="s">
        <v>12246</v>
      </c>
      <c r="B6430" s="5" t="s">
        <v>12247</v>
      </c>
      <c r="C6430" s="3" t="s">
        <v>5</v>
      </c>
    </row>
    <row r="6431" spans="1:3" ht="15.75" thickBot="1">
      <c r="A6431" s="6" t="s">
        <v>12248</v>
      </c>
      <c r="B6431" s="5" t="s">
        <v>12249</v>
      </c>
      <c r="C6431" s="3" t="s">
        <v>5</v>
      </c>
    </row>
    <row r="6432" spans="1:3" ht="26.25" thickBot="1">
      <c r="A6432" s="6" t="s">
        <v>12250</v>
      </c>
      <c r="B6432" s="5" t="s">
        <v>12251</v>
      </c>
      <c r="C6432" s="3" t="s">
        <v>5</v>
      </c>
    </row>
    <row r="6433" spans="1:3" ht="15.75" thickBot="1">
      <c r="A6433" s="6" t="s">
        <v>12252</v>
      </c>
      <c r="B6433" s="5" t="s">
        <v>12253</v>
      </c>
      <c r="C6433" s="3" t="s">
        <v>5</v>
      </c>
    </row>
    <row r="6434" spans="1:3" ht="15.75" thickBot="1">
      <c r="A6434" s="6" t="s">
        <v>12254</v>
      </c>
      <c r="B6434" s="5" t="s">
        <v>12255</v>
      </c>
      <c r="C6434" s="3" t="s">
        <v>5</v>
      </c>
    </row>
    <row r="6435" spans="1:3" ht="15.75" thickBot="1">
      <c r="A6435" s="6" t="s">
        <v>12256</v>
      </c>
      <c r="B6435" s="5" t="s">
        <v>12257</v>
      </c>
      <c r="C6435" s="3" t="s">
        <v>5</v>
      </c>
    </row>
    <row r="6436" spans="1:3" ht="15.75" thickBot="1">
      <c r="A6436" s="6" t="s">
        <v>12258</v>
      </c>
      <c r="B6436" s="5" t="s">
        <v>12259</v>
      </c>
      <c r="C6436" s="3" t="s">
        <v>5</v>
      </c>
    </row>
    <row r="6437" spans="1:3" ht="15.75" thickBot="1">
      <c r="A6437" s="6" t="s">
        <v>12260</v>
      </c>
      <c r="B6437" s="5" t="s">
        <v>12261</v>
      </c>
      <c r="C6437" s="3" t="s">
        <v>5</v>
      </c>
    </row>
    <row r="6438" spans="1:3" ht="15.75" thickBot="1">
      <c r="A6438" s="6" t="s">
        <v>12262</v>
      </c>
      <c r="B6438" s="5" t="s">
        <v>12263</v>
      </c>
      <c r="C6438" s="3" t="s">
        <v>5</v>
      </c>
    </row>
    <row r="6439" spans="1:3" ht="15.75" thickBot="1">
      <c r="A6439" s="6" t="s">
        <v>12264</v>
      </c>
      <c r="B6439" s="5" t="s">
        <v>12265</v>
      </c>
      <c r="C6439" s="3" t="s">
        <v>5</v>
      </c>
    </row>
    <row r="6440" spans="1:3" ht="15.75" thickBot="1">
      <c r="A6440" s="6" t="s">
        <v>12266</v>
      </c>
      <c r="B6440" s="5" t="s">
        <v>12267</v>
      </c>
      <c r="C6440" s="3" t="s">
        <v>5</v>
      </c>
    </row>
    <row r="6441" spans="1:3" ht="15.75" thickBot="1">
      <c r="A6441" s="6" t="s">
        <v>12268</v>
      </c>
      <c r="B6441" s="5" t="s">
        <v>12155</v>
      </c>
      <c r="C6441" s="3" t="s">
        <v>5</v>
      </c>
    </row>
    <row r="6442" spans="1:3" ht="15.75" thickBot="1">
      <c r="A6442" s="6" t="s">
        <v>12269</v>
      </c>
      <c r="B6442" s="5" t="s">
        <v>12270</v>
      </c>
      <c r="C6442" s="3" t="s">
        <v>5</v>
      </c>
    </row>
    <row r="6443" spans="1:3" ht="15.75" thickBot="1">
      <c r="A6443" s="6" t="s">
        <v>12271</v>
      </c>
      <c r="B6443" s="5" t="s">
        <v>7749</v>
      </c>
      <c r="C6443" s="3" t="s">
        <v>5</v>
      </c>
    </row>
    <row r="6444" spans="1:3" ht="15.75" thickBot="1">
      <c r="A6444" s="6" t="s">
        <v>12272</v>
      </c>
      <c r="B6444" s="5" t="s">
        <v>12273</v>
      </c>
      <c r="C6444" s="3" t="s">
        <v>5</v>
      </c>
    </row>
    <row r="6445" spans="1:3" ht="15.75" thickBot="1">
      <c r="A6445" s="6" t="s">
        <v>12274</v>
      </c>
      <c r="B6445" s="5" t="s">
        <v>12275</v>
      </c>
      <c r="C6445" s="3" t="s">
        <v>5</v>
      </c>
    </row>
    <row r="6446" spans="1:3" ht="15.75" thickBot="1">
      <c r="A6446" s="6" t="s">
        <v>12276</v>
      </c>
      <c r="B6446" s="5" t="s">
        <v>12277</v>
      </c>
      <c r="C6446" s="3" t="s">
        <v>5</v>
      </c>
    </row>
    <row r="6447" spans="1:3">
      <c r="A6447" s="1" t="s">
        <v>12278</v>
      </c>
      <c r="B6447" s="2" t="s">
        <v>12279</v>
      </c>
      <c r="C6447" s="3" t="s">
        <v>5</v>
      </c>
    </row>
    <row r="6448" spans="1:3" ht="15.75" thickBot="1">
      <c r="A6448" s="4"/>
      <c r="B6448" s="5" t="s">
        <v>12280</v>
      </c>
      <c r="C6448" s="3" t="s">
        <v>5</v>
      </c>
    </row>
    <row r="6449" spans="1:3" ht="15.75" thickBot="1">
      <c r="A6449" s="6" t="s">
        <v>12281</v>
      </c>
      <c r="B6449" s="5" t="s">
        <v>12282</v>
      </c>
      <c r="C6449" s="3" t="s">
        <v>5</v>
      </c>
    </row>
    <row r="6450" spans="1:3" ht="15.75" thickBot="1">
      <c r="A6450" s="6" t="s">
        <v>12283</v>
      </c>
      <c r="B6450" s="5" t="s">
        <v>12284</v>
      </c>
      <c r="C6450" s="3" t="s">
        <v>5</v>
      </c>
    </row>
    <row r="6451" spans="1:3" ht="15.75" thickBot="1">
      <c r="A6451" s="6" t="s">
        <v>12285</v>
      </c>
      <c r="B6451" s="5" t="s">
        <v>12286</v>
      </c>
      <c r="C6451" s="3" t="s">
        <v>5</v>
      </c>
    </row>
    <row r="6452" spans="1:3" ht="15.75" thickBot="1">
      <c r="A6452" s="6" t="s">
        <v>12287</v>
      </c>
      <c r="B6452" s="5" t="s">
        <v>12288</v>
      </c>
      <c r="C6452" s="3" t="s">
        <v>5</v>
      </c>
    </row>
    <row r="6453" spans="1:3" ht="15.75" thickBot="1">
      <c r="A6453" s="6" t="s">
        <v>12289</v>
      </c>
      <c r="B6453" s="5" t="s">
        <v>12290</v>
      </c>
      <c r="C6453" s="3" t="s">
        <v>5</v>
      </c>
    </row>
    <row r="6454" spans="1:3" ht="15.75" thickBot="1">
      <c r="A6454" s="6" t="s">
        <v>12291</v>
      </c>
      <c r="B6454" s="5" t="s">
        <v>12292</v>
      </c>
      <c r="C6454" s="3" t="s">
        <v>5</v>
      </c>
    </row>
    <row r="6455" spans="1:3" ht="15.75" thickBot="1">
      <c r="A6455" s="6" t="s">
        <v>12293</v>
      </c>
      <c r="B6455" s="5" t="s">
        <v>12294</v>
      </c>
      <c r="C6455" s="3" t="s">
        <v>5</v>
      </c>
    </row>
    <row r="6456" spans="1:3" ht="15.75" thickBot="1">
      <c r="A6456" s="6" t="s">
        <v>12295</v>
      </c>
      <c r="B6456" s="5" t="s">
        <v>12296</v>
      </c>
      <c r="C6456" s="3" t="s">
        <v>5</v>
      </c>
    </row>
    <row r="6457" spans="1:3" ht="15.75" thickBot="1">
      <c r="A6457" s="6" t="s">
        <v>12297</v>
      </c>
      <c r="B6457" s="5" t="s">
        <v>12298</v>
      </c>
      <c r="C6457" s="3" t="s">
        <v>5</v>
      </c>
    </row>
    <row r="6458" spans="1:3" ht="15.75" thickBot="1">
      <c r="A6458" s="6" t="s">
        <v>12299</v>
      </c>
      <c r="B6458" s="5" t="s">
        <v>12300</v>
      </c>
      <c r="C6458" s="3" t="s">
        <v>5</v>
      </c>
    </row>
    <row r="6459" spans="1:3" ht="15.75" thickBot="1">
      <c r="A6459" s="6" t="s">
        <v>12301</v>
      </c>
      <c r="B6459" s="5" t="s">
        <v>12302</v>
      </c>
      <c r="C6459" s="3" t="s">
        <v>5</v>
      </c>
    </row>
    <row r="6460" spans="1:3" ht="15.75" thickBot="1">
      <c r="A6460" s="6" t="s">
        <v>12303</v>
      </c>
      <c r="B6460" s="5" t="s">
        <v>12304</v>
      </c>
      <c r="C6460" s="3" t="s">
        <v>5</v>
      </c>
    </row>
    <row r="6461" spans="1:3" ht="15.75" thickBot="1">
      <c r="A6461" s="6" t="s">
        <v>12305</v>
      </c>
      <c r="B6461" s="5" t="s">
        <v>12306</v>
      </c>
      <c r="C6461" s="3" t="s">
        <v>5</v>
      </c>
    </row>
    <row r="6462" spans="1:3" ht="15.75" thickBot="1">
      <c r="A6462" s="6" t="s">
        <v>12307</v>
      </c>
      <c r="B6462" s="5" t="s">
        <v>12308</v>
      </c>
      <c r="C6462" s="3" t="s">
        <v>5</v>
      </c>
    </row>
    <row r="6463" spans="1:3" ht="15.75" thickBot="1">
      <c r="A6463" s="6" t="s">
        <v>12309</v>
      </c>
      <c r="B6463" s="5" t="s">
        <v>12310</v>
      </c>
      <c r="C6463" s="3" t="s">
        <v>5</v>
      </c>
    </row>
    <row r="6464" spans="1:3" ht="15.75" thickBot="1">
      <c r="A6464" s="6" t="s">
        <v>12311</v>
      </c>
      <c r="B6464" s="5" t="s">
        <v>12312</v>
      </c>
      <c r="C6464" s="3" t="s">
        <v>5</v>
      </c>
    </row>
    <row r="6465" spans="1:3" ht="15.75" thickBot="1">
      <c r="A6465" s="6" t="s">
        <v>12313</v>
      </c>
      <c r="B6465" s="5" t="s">
        <v>6749</v>
      </c>
      <c r="C6465" s="3" t="s">
        <v>5</v>
      </c>
    </row>
    <row r="6466" spans="1:3" ht="15.75" thickBot="1">
      <c r="A6466" s="6" t="s">
        <v>12314</v>
      </c>
      <c r="B6466" s="5" t="s">
        <v>12315</v>
      </c>
      <c r="C6466" s="3" t="s">
        <v>5</v>
      </c>
    </row>
    <row r="6467" spans="1:3" ht="15.75" thickBot="1">
      <c r="A6467" s="6" t="s">
        <v>12316</v>
      </c>
      <c r="B6467" s="5" t="s">
        <v>12317</v>
      </c>
      <c r="C6467" s="3" t="s">
        <v>5</v>
      </c>
    </row>
    <row r="6468" spans="1:3" ht="15.75" thickBot="1">
      <c r="A6468" s="6" t="s">
        <v>12318</v>
      </c>
      <c r="B6468" s="5" t="s">
        <v>12319</v>
      </c>
      <c r="C6468" s="3" t="s">
        <v>5</v>
      </c>
    </row>
    <row r="6469" spans="1:3" ht="15.75" thickBot="1">
      <c r="A6469" s="6" t="s">
        <v>12320</v>
      </c>
      <c r="B6469" s="5" t="s">
        <v>12321</v>
      </c>
      <c r="C6469" s="3" t="s">
        <v>5</v>
      </c>
    </row>
    <row r="6470" spans="1:3" ht="15.75" thickBot="1">
      <c r="A6470" s="6" t="s">
        <v>12322</v>
      </c>
      <c r="B6470" s="5" t="s">
        <v>12323</v>
      </c>
      <c r="C6470" s="3" t="s">
        <v>5</v>
      </c>
    </row>
    <row r="6471" spans="1:3" ht="15.75" thickBot="1">
      <c r="A6471" s="6" t="s">
        <v>12324</v>
      </c>
      <c r="B6471" s="5" t="s">
        <v>12325</v>
      </c>
      <c r="C6471" s="3" t="s">
        <v>5</v>
      </c>
    </row>
    <row r="6472" spans="1:3" ht="15.75" thickBot="1">
      <c r="A6472" s="6" t="s">
        <v>12326</v>
      </c>
      <c r="B6472" s="5" t="s">
        <v>12327</v>
      </c>
      <c r="C6472" s="3" t="s">
        <v>5</v>
      </c>
    </row>
    <row r="6473" spans="1:3" ht="15.75" thickBot="1">
      <c r="A6473" s="6" t="s">
        <v>12328</v>
      </c>
      <c r="B6473" s="5" t="s">
        <v>12329</v>
      </c>
      <c r="C6473" s="3" t="s">
        <v>5</v>
      </c>
    </row>
    <row r="6474" spans="1:3" ht="15.75" thickBot="1">
      <c r="A6474" s="6" t="s">
        <v>12330</v>
      </c>
      <c r="B6474" s="5" t="s">
        <v>12331</v>
      </c>
      <c r="C6474" s="3" t="s">
        <v>5</v>
      </c>
    </row>
    <row r="6475" spans="1:3" ht="15.75" thickBot="1">
      <c r="A6475" s="6" t="s">
        <v>12332</v>
      </c>
      <c r="B6475" s="5" t="s">
        <v>12333</v>
      </c>
      <c r="C6475" s="3" t="s">
        <v>5</v>
      </c>
    </row>
    <row r="6476" spans="1:3" ht="15.75" thickBot="1">
      <c r="A6476" s="6" t="s">
        <v>12332</v>
      </c>
      <c r="B6476" s="5" t="s">
        <v>12333</v>
      </c>
      <c r="C6476" s="3" t="s">
        <v>5</v>
      </c>
    </row>
    <row r="6477" spans="1:3" ht="15.75" thickBot="1">
      <c r="A6477" s="6" t="s">
        <v>12334</v>
      </c>
      <c r="B6477" s="5" t="s">
        <v>12335</v>
      </c>
      <c r="C6477" s="3" t="s">
        <v>5</v>
      </c>
    </row>
    <row r="6478" spans="1:3" ht="15.75" thickBot="1">
      <c r="A6478" s="6" t="s">
        <v>12336</v>
      </c>
      <c r="B6478" s="5" t="s">
        <v>12337</v>
      </c>
      <c r="C6478" s="3" t="s">
        <v>5</v>
      </c>
    </row>
    <row r="6479" spans="1:3" ht="15.75" thickBot="1">
      <c r="A6479" s="6" t="s">
        <v>12338</v>
      </c>
      <c r="B6479" s="5" t="s">
        <v>12339</v>
      </c>
      <c r="C6479" s="3" t="s">
        <v>5</v>
      </c>
    </row>
    <row r="6480" spans="1:3" ht="15.75" thickBot="1">
      <c r="A6480" s="6" t="s">
        <v>12340</v>
      </c>
      <c r="B6480" s="5" t="s">
        <v>12341</v>
      </c>
      <c r="C6480" s="3" t="s">
        <v>5</v>
      </c>
    </row>
    <row r="6481" spans="1:3" ht="15.75" thickBot="1">
      <c r="A6481" s="6" t="s">
        <v>12342</v>
      </c>
      <c r="B6481" s="5" t="s">
        <v>12343</v>
      </c>
      <c r="C6481" s="3" t="s">
        <v>5</v>
      </c>
    </row>
    <row r="6482" spans="1:3" ht="15.75" thickBot="1">
      <c r="A6482" s="6" t="s">
        <v>12344</v>
      </c>
      <c r="B6482" s="5" t="s">
        <v>12345</v>
      </c>
      <c r="C6482" s="3" t="s">
        <v>5</v>
      </c>
    </row>
    <row r="6483" spans="1:3" ht="15.75" thickBot="1">
      <c r="A6483" s="6" t="s">
        <v>12346</v>
      </c>
      <c r="B6483" s="5" t="s">
        <v>12347</v>
      </c>
      <c r="C6483" s="3" t="s">
        <v>5</v>
      </c>
    </row>
    <row r="6484" spans="1:3" ht="15.75" thickBot="1">
      <c r="A6484" s="6" t="s">
        <v>12348</v>
      </c>
      <c r="B6484" s="5" t="s">
        <v>12349</v>
      </c>
      <c r="C6484" s="3" t="s">
        <v>5</v>
      </c>
    </row>
    <row r="6485" spans="1:3" ht="15.75" thickBot="1">
      <c r="A6485" s="6" t="s">
        <v>12350</v>
      </c>
      <c r="B6485" s="5" t="s">
        <v>12351</v>
      </c>
      <c r="C6485" s="3" t="s">
        <v>5</v>
      </c>
    </row>
    <row r="6486" spans="1:3" ht="15.75" thickBot="1">
      <c r="A6486" s="6" t="s">
        <v>12352</v>
      </c>
      <c r="B6486" s="5" t="s">
        <v>12353</v>
      </c>
      <c r="C6486" s="3" t="s">
        <v>5</v>
      </c>
    </row>
    <row r="6487" spans="1:3">
      <c r="A6487" s="1" t="s">
        <v>12354</v>
      </c>
      <c r="B6487" s="2" t="s">
        <v>12355</v>
      </c>
      <c r="C6487" s="3" t="s">
        <v>5</v>
      </c>
    </row>
    <row r="6488" spans="1:3" ht="15.75" thickBot="1">
      <c r="A6488" s="4"/>
      <c r="B6488" s="5" t="s">
        <v>7286</v>
      </c>
      <c r="C6488" s="3" t="s">
        <v>5</v>
      </c>
    </row>
    <row r="6489" spans="1:3" ht="15.75" thickBot="1">
      <c r="A6489" s="6" t="s">
        <v>12356</v>
      </c>
      <c r="B6489" s="5" t="s">
        <v>12357</v>
      </c>
      <c r="C6489" s="3" t="s">
        <v>5</v>
      </c>
    </row>
    <row r="6490" spans="1:3" ht="15.75" thickBot="1">
      <c r="A6490" s="6" t="s">
        <v>12358</v>
      </c>
      <c r="B6490" s="5" t="s">
        <v>12359</v>
      </c>
      <c r="C6490" s="3" t="s">
        <v>5</v>
      </c>
    </row>
    <row r="6491" spans="1:3" ht="15.75" thickBot="1">
      <c r="A6491" s="6" t="s">
        <v>12360</v>
      </c>
      <c r="B6491" s="5" t="s">
        <v>12361</v>
      </c>
      <c r="C6491" s="3" t="s">
        <v>5</v>
      </c>
    </row>
    <row r="6492" spans="1:3" ht="15.75" thickBot="1">
      <c r="A6492" s="6" t="s">
        <v>12362</v>
      </c>
      <c r="B6492" s="5" t="s">
        <v>12363</v>
      </c>
      <c r="C6492" s="3" t="s">
        <v>5</v>
      </c>
    </row>
    <row r="6493" spans="1:3" ht="15.75" thickBot="1">
      <c r="A6493" s="6" t="s">
        <v>12364</v>
      </c>
      <c r="B6493" s="5" t="s">
        <v>12365</v>
      </c>
      <c r="C6493" s="3" t="s">
        <v>5</v>
      </c>
    </row>
    <row r="6494" spans="1:3" ht="15.75" thickBot="1">
      <c r="A6494" s="6" t="s">
        <v>12366</v>
      </c>
      <c r="B6494" s="5" t="s">
        <v>12367</v>
      </c>
      <c r="C6494" s="3" t="s">
        <v>5</v>
      </c>
    </row>
    <row r="6495" spans="1:3" ht="15.75" thickBot="1">
      <c r="A6495" s="6" t="s">
        <v>12368</v>
      </c>
      <c r="B6495" s="5" t="s">
        <v>12369</v>
      </c>
      <c r="C6495" s="3" t="s">
        <v>5</v>
      </c>
    </row>
    <row r="6496" spans="1:3" ht="15.75" thickBot="1">
      <c r="A6496" s="6" t="s">
        <v>12370</v>
      </c>
      <c r="B6496" s="5" t="s">
        <v>12371</v>
      </c>
      <c r="C6496" s="3" t="s">
        <v>5</v>
      </c>
    </row>
    <row r="6497" spans="1:3" ht="15.75" thickBot="1">
      <c r="A6497" s="6" t="s">
        <v>12372</v>
      </c>
      <c r="B6497" s="5" t="s">
        <v>12373</v>
      </c>
      <c r="C6497" s="3" t="s">
        <v>5</v>
      </c>
    </row>
    <row r="6498" spans="1:3" ht="15.75" thickBot="1">
      <c r="A6498" s="6" t="s">
        <v>12374</v>
      </c>
      <c r="B6498" s="5" t="s">
        <v>12375</v>
      </c>
      <c r="C6498" s="3" t="s">
        <v>5</v>
      </c>
    </row>
    <row r="6499" spans="1:3" ht="15.75" thickBot="1">
      <c r="A6499" s="6" t="s">
        <v>12376</v>
      </c>
      <c r="B6499" s="5" t="s">
        <v>12377</v>
      </c>
      <c r="C6499" s="3" t="s">
        <v>5</v>
      </c>
    </row>
    <row r="6500" spans="1:3" ht="15.75" thickBot="1">
      <c r="A6500" s="6" t="s">
        <v>12378</v>
      </c>
      <c r="B6500" s="5" t="s">
        <v>12379</v>
      </c>
      <c r="C6500" s="3" t="s">
        <v>5</v>
      </c>
    </row>
    <row r="6501" spans="1:3" ht="15.75" thickBot="1">
      <c r="A6501" s="6" t="s">
        <v>12380</v>
      </c>
      <c r="B6501" s="5" t="s">
        <v>12381</v>
      </c>
      <c r="C6501" s="3" t="s">
        <v>5</v>
      </c>
    </row>
    <row r="6502" spans="1:3" ht="15.75" thickBot="1">
      <c r="A6502" s="6" t="s">
        <v>12382</v>
      </c>
      <c r="B6502" s="5" t="s">
        <v>12383</v>
      </c>
      <c r="C6502" s="3" t="s">
        <v>5</v>
      </c>
    </row>
    <row r="6503" spans="1:3" ht="15.75" thickBot="1">
      <c r="A6503" s="6" t="s">
        <v>12384</v>
      </c>
      <c r="B6503" s="5" t="s">
        <v>12385</v>
      </c>
      <c r="C6503" s="3" t="s">
        <v>5</v>
      </c>
    </row>
    <row r="6504" spans="1:3" ht="15.75" thickBot="1">
      <c r="A6504" s="6" t="s">
        <v>12386</v>
      </c>
      <c r="B6504" s="5" t="s">
        <v>12387</v>
      </c>
      <c r="C6504" s="3" t="s">
        <v>5</v>
      </c>
    </row>
    <row r="6505" spans="1:3" ht="15.75" thickBot="1">
      <c r="A6505" s="6" t="s">
        <v>12388</v>
      </c>
      <c r="B6505" s="5" t="s">
        <v>12389</v>
      </c>
      <c r="C6505" s="3" t="s">
        <v>5</v>
      </c>
    </row>
    <row r="6506" spans="1:3" ht="15.75" thickBot="1">
      <c r="A6506" s="6" t="s">
        <v>12390</v>
      </c>
      <c r="B6506" s="5" t="s">
        <v>12391</v>
      </c>
      <c r="C6506" s="3" t="s">
        <v>5</v>
      </c>
    </row>
    <row r="6507" spans="1:3" ht="15.75" thickBot="1">
      <c r="A6507" s="6" t="s">
        <v>12392</v>
      </c>
      <c r="B6507" s="5" t="s">
        <v>12393</v>
      </c>
      <c r="C6507" s="3" t="s">
        <v>5</v>
      </c>
    </row>
    <row r="6508" spans="1:3" ht="15.75" thickBot="1">
      <c r="A6508" s="6" t="s">
        <v>12394</v>
      </c>
      <c r="B6508" s="5" t="s">
        <v>12395</v>
      </c>
      <c r="C6508" s="3" t="s">
        <v>5</v>
      </c>
    </row>
    <row r="6509" spans="1:3" ht="15.75" thickBot="1">
      <c r="A6509" s="6" t="s">
        <v>12396</v>
      </c>
      <c r="B6509" s="5" t="s">
        <v>12397</v>
      </c>
      <c r="C6509" s="3" t="s">
        <v>5</v>
      </c>
    </row>
    <row r="6510" spans="1:3" ht="15.75" thickBot="1">
      <c r="A6510" s="6" t="s">
        <v>12398</v>
      </c>
      <c r="B6510" s="5" t="s">
        <v>12399</v>
      </c>
      <c r="C6510" s="3" t="s">
        <v>5</v>
      </c>
    </row>
    <row r="6511" spans="1:3" ht="15.75" thickBot="1">
      <c r="A6511" s="6" t="s">
        <v>12400</v>
      </c>
      <c r="B6511" s="5" t="s">
        <v>12401</v>
      </c>
      <c r="C6511" s="3" t="s">
        <v>5</v>
      </c>
    </row>
    <row r="6512" spans="1:3" ht="15.75" thickBot="1">
      <c r="A6512" s="6" t="s">
        <v>12402</v>
      </c>
      <c r="B6512" s="5" t="s">
        <v>12403</v>
      </c>
      <c r="C6512" s="3" t="s">
        <v>5</v>
      </c>
    </row>
    <row r="6513" spans="1:3" ht="15.75" thickBot="1">
      <c r="A6513" s="6" t="s">
        <v>12404</v>
      </c>
      <c r="B6513" s="5" t="s">
        <v>12405</v>
      </c>
      <c r="C6513" s="3" t="s">
        <v>5</v>
      </c>
    </row>
    <row r="6514" spans="1:3" ht="15.75" thickBot="1">
      <c r="A6514" s="6" t="s">
        <v>12406</v>
      </c>
      <c r="B6514" s="5" t="s">
        <v>12407</v>
      </c>
      <c r="C6514" s="3" t="s">
        <v>5</v>
      </c>
    </row>
    <row r="6515" spans="1:3" ht="15.75" thickBot="1">
      <c r="A6515" s="6" t="s">
        <v>12408</v>
      </c>
      <c r="B6515" s="5" t="s">
        <v>12409</v>
      </c>
      <c r="C6515" s="3" t="s">
        <v>5</v>
      </c>
    </row>
    <row r="6516" spans="1:3" ht="15.75" thickBot="1">
      <c r="A6516" s="6" t="s">
        <v>12410</v>
      </c>
      <c r="B6516" s="5" t="s">
        <v>12411</v>
      </c>
      <c r="C6516" s="3" t="s">
        <v>5</v>
      </c>
    </row>
    <row r="6517" spans="1:3" ht="15.75" thickBot="1">
      <c r="A6517" s="6" t="s">
        <v>12412</v>
      </c>
      <c r="B6517" s="5" t="s">
        <v>12413</v>
      </c>
      <c r="C6517" s="3" t="s">
        <v>5</v>
      </c>
    </row>
    <row r="6518" spans="1:3" ht="15.75" thickBot="1">
      <c r="A6518" s="6" t="s">
        <v>12414</v>
      </c>
      <c r="B6518" s="5" t="s">
        <v>12415</v>
      </c>
      <c r="C6518" s="3" t="s">
        <v>5</v>
      </c>
    </row>
    <row r="6519" spans="1:3" ht="15.75" thickBot="1">
      <c r="A6519" s="6" t="s">
        <v>12416</v>
      </c>
      <c r="B6519" s="5" t="s">
        <v>12417</v>
      </c>
      <c r="C6519" s="3" t="s">
        <v>5</v>
      </c>
    </row>
    <row r="6520" spans="1:3" ht="15.75" thickBot="1">
      <c r="A6520" s="6" t="s">
        <v>12418</v>
      </c>
      <c r="B6520" s="5" t="s">
        <v>12419</v>
      </c>
      <c r="C6520" s="3" t="s">
        <v>5</v>
      </c>
    </row>
    <row r="6521" spans="1:3" ht="15.75" thickBot="1">
      <c r="A6521" s="6" t="s">
        <v>12420</v>
      </c>
      <c r="B6521" s="5" t="s">
        <v>12421</v>
      </c>
      <c r="C6521" s="3" t="s">
        <v>5</v>
      </c>
    </row>
    <row r="6522" spans="1:3" ht="15.75" thickBot="1">
      <c r="A6522" s="6" t="s">
        <v>12422</v>
      </c>
      <c r="B6522" s="5" t="s">
        <v>12423</v>
      </c>
      <c r="C6522" s="3" t="s">
        <v>5</v>
      </c>
    </row>
    <row r="6523" spans="1:3" ht="15.75" thickBot="1">
      <c r="A6523" s="6" t="s">
        <v>11838</v>
      </c>
      <c r="B6523" s="5" t="s">
        <v>12424</v>
      </c>
      <c r="C6523" s="3" t="s">
        <v>5</v>
      </c>
    </row>
    <row r="6524" spans="1:3" ht="15.75" thickBot="1">
      <c r="A6524" s="6" t="s">
        <v>12425</v>
      </c>
      <c r="B6524" s="5" t="s">
        <v>12426</v>
      </c>
      <c r="C6524" s="3" t="s">
        <v>5</v>
      </c>
    </row>
    <row r="6525" spans="1:3" ht="15.75" thickBot="1">
      <c r="A6525" s="6" t="s">
        <v>12427</v>
      </c>
      <c r="B6525" s="5" t="s">
        <v>12428</v>
      </c>
      <c r="C6525" s="3" t="s">
        <v>5</v>
      </c>
    </row>
    <row r="6526" spans="1:3" ht="15.75" thickBot="1">
      <c r="A6526" s="6" t="s">
        <v>12429</v>
      </c>
      <c r="B6526" s="5" t="s">
        <v>12430</v>
      </c>
      <c r="C6526" s="3" t="s">
        <v>5</v>
      </c>
    </row>
    <row r="6527" spans="1:3" ht="15.75" thickBot="1">
      <c r="A6527" s="6" t="s">
        <v>12431</v>
      </c>
      <c r="B6527" s="5" t="s">
        <v>12432</v>
      </c>
      <c r="C6527" s="3" t="s">
        <v>5</v>
      </c>
    </row>
    <row r="6528" spans="1:3" ht="15.75" thickBot="1">
      <c r="A6528" s="6" t="s">
        <v>12433</v>
      </c>
      <c r="B6528" s="5" t="s">
        <v>12434</v>
      </c>
      <c r="C6528" s="3" t="s">
        <v>5</v>
      </c>
    </row>
    <row r="6529" spans="1:3" ht="15.75" thickBot="1">
      <c r="A6529" s="6" t="s">
        <v>12435</v>
      </c>
      <c r="B6529" s="5" t="s">
        <v>12436</v>
      </c>
      <c r="C6529" s="3" t="s">
        <v>5</v>
      </c>
    </row>
    <row r="6530" spans="1:3" ht="15.75" thickBot="1">
      <c r="A6530" s="6" t="s">
        <v>12437</v>
      </c>
      <c r="B6530" s="5" t="s">
        <v>12438</v>
      </c>
      <c r="C6530" s="3" t="s">
        <v>5</v>
      </c>
    </row>
    <row r="6531" spans="1:3" ht="15.75" thickBot="1">
      <c r="A6531" s="6" t="s">
        <v>12439</v>
      </c>
      <c r="B6531" s="5" t="s">
        <v>12440</v>
      </c>
      <c r="C6531" s="3" t="s">
        <v>5</v>
      </c>
    </row>
    <row r="6532" spans="1:3" ht="15.75" thickBot="1">
      <c r="A6532" s="6" t="s">
        <v>12441</v>
      </c>
      <c r="B6532" s="5" t="s">
        <v>12442</v>
      </c>
      <c r="C6532" s="3" t="s">
        <v>5</v>
      </c>
    </row>
    <row r="6533" spans="1:3" ht="15.75" thickBot="1">
      <c r="A6533" s="6" t="s">
        <v>12443</v>
      </c>
      <c r="B6533" s="5" t="s">
        <v>12444</v>
      </c>
      <c r="C6533" s="3" t="s">
        <v>5</v>
      </c>
    </row>
    <row r="6534" spans="1:3" ht="15.75" thickBot="1">
      <c r="A6534" s="6" t="s">
        <v>12445</v>
      </c>
      <c r="B6534" s="5" t="s">
        <v>12446</v>
      </c>
      <c r="C6534" s="3" t="s">
        <v>5</v>
      </c>
    </row>
    <row r="6535" spans="1:3" ht="15.75" thickBot="1">
      <c r="A6535" s="6" t="s">
        <v>12447</v>
      </c>
      <c r="B6535" s="5" t="s">
        <v>12448</v>
      </c>
      <c r="C6535" s="3" t="s">
        <v>5</v>
      </c>
    </row>
    <row r="6536" spans="1:3" ht="15.75" thickBot="1">
      <c r="A6536" s="6" t="s">
        <v>12449</v>
      </c>
      <c r="B6536" s="5" t="s">
        <v>12450</v>
      </c>
      <c r="C6536" s="3" t="s">
        <v>5</v>
      </c>
    </row>
    <row r="6537" spans="1:3" ht="15.75" thickBot="1">
      <c r="A6537" s="6" t="s">
        <v>12451</v>
      </c>
      <c r="B6537" s="5" t="s">
        <v>12452</v>
      </c>
      <c r="C6537" s="3" t="s">
        <v>5</v>
      </c>
    </row>
    <row r="6538" spans="1:3" ht="15.75" thickBot="1">
      <c r="A6538" s="6" t="s">
        <v>12453</v>
      </c>
      <c r="B6538" s="5" t="s">
        <v>12454</v>
      </c>
      <c r="C6538" s="3" t="s">
        <v>5</v>
      </c>
    </row>
    <row r="6539" spans="1:3" ht="15.75" thickBot="1">
      <c r="A6539" s="6" t="s">
        <v>12455</v>
      </c>
      <c r="B6539" s="5" t="s">
        <v>12456</v>
      </c>
      <c r="C6539" s="3" t="s">
        <v>5</v>
      </c>
    </row>
    <row r="6540" spans="1:3" ht="15.75" thickBot="1">
      <c r="A6540" s="6" t="s">
        <v>12457</v>
      </c>
      <c r="B6540" s="5" t="s">
        <v>12458</v>
      </c>
      <c r="C6540" s="3" t="s">
        <v>5</v>
      </c>
    </row>
    <row r="6541" spans="1:3" ht="15.75" thickBot="1">
      <c r="A6541" s="6" t="s">
        <v>12459</v>
      </c>
      <c r="B6541" s="5" t="s">
        <v>12460</v>
      </c>
      <c r="C6541" s="3" t="s">
        <v>5</v>
      </c>
    </row>
    <row r="6542" spans="1:3" ht="15.75" thickBot="1">
      <c r="A6542" s="6" t="s">
        <v>12461</v>
      </c>
      <c r="B6542" s="5" t="s">
        <v>12462</v>
      </c>
      <c r="C6542" s="3" t="s">
        <v>5</v>
      </c>
    </row>
    <row r="6543" spans="1:3" ht="15.75" thickBot="1">
      <c r="A6543" s="6" t="s">
        <v>12463</v>
      </c>
      <c r="B6543" s="5" t="s">
        <v>1941</v>
      </c>
      <c r="C6543" s="3" t="s">
        <v>5</v>
      </c>
    </row>
    <row r="6544" spans="1:3" ht="15.75" thickBot="1">
      <c r="A6544" s="6" t="s">
        <v>12464</v>
      </c>
      <c r="B6544" s="5" t="s">
        <v>12465</v>
      </c>
      <c r="C6544" s="3" t="s">
        <v>5</v>
      </c>
    </row>
    <row r="6545" spans="1:3" ht="15.75" thickBot="1">
      <c r="A6545" s="6" t="s">
        <v>12466</v>
      </c>
      <c r="B6545" s="5" t="s">
        <v>12467</v>
      </c>
      <c r="C6545" s="3" t="s">
        <v>5</v>
      </c>
    </row>
    <row r="6546" spans="1:3" ht="15.75" thickBot="1">
      <c r="A6546" s="6" t="s">
        <v>12468</v>
      </c>
      <c r="B6546" s="5" t="s">
        <v>12469</v>
      </c>
      <c r="C6546" s="3" t="s">
        <v>5</v>
      </c>
    </row>
    <row r="6547" spans="1:3" ht="15.75" thickBot="1">
      <c r="A6547" s="6" t="s">
        <v>12470</v>
      </c>
      <c r="B6547" s="5" t="s">
        <v>12471</v>
      </c>
      <c r="C6547" s="3" t="s">
        <v>5</v>
      </c>
    </row>
    <row r="6548" spans="1:3" ht="15.75" thickBot="1">
      <c r="A6548" s="6" t="s">
        <v>12472</v>
      </c>
      <c r="B6548" s="5" t="s">
        <v>12473</v>
      </c>
      <c r="C6548" s="3" t="s">
        <v>5</v>
      </c>
    </row>
    <row r="6549" spans="1:3" ht="15.75" thickBot="1">
      <c r="A6549" s="6" t="s">
        <v>12474</v>
      </c>
      <c r="B6549" s="5" t="s">
        <v>12475</v>
      </c>
      <c r="C6549" s="3" t="s">
        <v>5</v>
      </c>
    </row>
    <row r="6550" spans="1:3" ht="15.75" thickBot="1">
      <c r="A6550" s="6" t="s">
        <v>12476</v>
      </c>
      <c r="B6550" s="5" t="s">
        <v>12477</v>
      </c>
      <c r="C6550" s="3" t="s">
        <v>5</v>
      </c>
    </row>
    <row r="6551" spans="1:3" ht="15.75" thickBot="1">
      <c r="A6551" s="6" t="s">
        <v>12478</v>
      </c>
      <c r="B6551" s="5" t="s">
        <v>12479</v>
      </c>
      <c r="C6551" s="3" t="s">
        <v>5</v>
      </c>
    </row>
    <row r="6552" spans="1:3" ht="15.75" thickBot="1">
      <c r="A6552" s="6" t="s">
        <v>12480</v>
      </c>
      <c r="B6552" s="5" t="s">
        <v>12481</v>
      </c>
      <c r="C6552" s="3" t="s">
        <v>5</v>
      </c>
    </row>
    <row r="6553" spans="1:3" ht="15.75" thickBot="1">
      <c r="A6553" s="6" t="s">
        <v>12482</v>
      </c>
      <c r="B6553" s="5" t="s">
        <v>12483</v>
      </c>
      <c r="C6553" s="3" t="s">
        <v>5</v>
      </c>
    </row>
    <row r="6554" spans="1:3" ht="15.75" thickBot="1">
      <c r="A6554" s="6" t="s">
        <v>12484</v>
      </c>
      <c r="B6554" s="5" t="s">
        <v>12485</v>
      </c>
      <c r="C6554" s="3" t="s">
        <v>5</v>
      </c>
    </row>
    <row r="6555" spans="1:3" ht="15.75" thickBot="1">
      <c r="A6555" s="6" t="s">
        <v>12486</v>
      </c>
      <c r="B6555" s="5" t="s">
        <v>12487</v>
      </c>
      <c r="C6555" s="3" t="s">
        <v>5</v>
      </c>
    </row>
    <row r="6556" spans="1:3" ht="15.75" thickBot="1">
      <c r="A6556" s="6" t="s">
        <v>12488</v>
      </c>
      <c r="B6556" s="5" t="s">
        <v>12489</v>
      </c>
      <c r="C6556" s="3" t="s">
        <v>5</v>
      </c>
    </row>
    <row r="6557" spans="1:3" ht="15.75" thickBot="1">
      <c r="A6557" s="6" t="s">
        <v>12490</v>
      </c>
      <c r="B6557" s="5" t="s">
        <v>12491</v>
      </c>
      <c r="C6557" s="3" t="s">
        <v>5</v>
      </c>
    </row>
    <row r="6558" spans="1:3" ht="15.75" thickBot="1">
      <c r="A6558" s="6" t="s">
        <v>12492</v>
      </c>
      <c r="B6558" s="5" t="s">
        <v>12493</v>
      </c>
      <c r="C6558" s="3" t="s">
        <v>5</v>
      </c>
    </row>
    <row r="6559" spans="1:3" ht="15.75" thickBot="1">
      <c r="A6559" s="6" t="s">
        <v>12494</v>
      </c>
      <c r="B6559" s="5" t="s">
        <v>12495</v>
      </c>
      <c r="C6559" s="3" t="s">
        <v>5</v>
      </c>
    </row>
    <row r="6560" spans="1:3" ht="15.75" thickBot="1">
      <c r="A6560" s="6" t="s">
        <v>12496</v>
      </c>
      <c r="B6560" s="5" t="s">
        <v>12497</v>
      </c>
      <c r="C6560" s="3" t="s">
        <v>5</v>
      </c>
    </row>
    <row r="6561" spans="1:3" ht="15.75" thickBot="1">
      <c r="A6561" s="6" t="s">
        <v>12498</v>
      </c>
      <c r="B6561" s="5" t="s">
        <v>12499</v>
      </c>
      <c r="C6561" s="3" t="s">
        <v>5</v>
      </c>
    </row>
    <row r="6562" spans="1:3" ht="15.75" thickBot="1">
      <c r="A6562" s="6" t="s">
        <v>12500</v>
      </c>
      <c r="B6562" s="5" t="s">
        <v>12501</v>
      </c>
      <c r="C6562" s="3" t="s">
        <v>5</v>
      </c>
    </row>
    <row r="6563" spans="1:3" ht="15.75" thickBot="1">
      <c r="A6563" s="6" t="s">
        <v>12502</v>
      </c>
      <c r="B6563" s="5" t="s">
        <v>12503</v>
      </c>
      <c r="C6563" s="3" t="s">
        <v>5</v>
      </c>
    </row>
    <row r="6564" spans="1:3" ht="15.75" thickBot="1">
      <c r="A6564" s="6" t="s">
        <v>12504</v>
      </c>
      <c r="B6564" s="5" t="s">
        <v>12505</v>
      </c>
      <c r="C6564" s="3" t="s">
        <v>5</v>
      </c>
    </row>
    <row r="6565" spans="1:3" ht="15.75" thickBot="1">
      <c r="A6565" s="6" t="s">
        <v>12506</v>
      </c>
      <c r="B6565" s="5" t="s">
        <v>12507</v>
      </c>
      <c r="C6565" s="3" t="s">
        <v>5</v>
      </c>
    </row>
    <row r="6566" spans="1:3" ht="15.75" thickBot="1">
      <c r="A6566" s="6" t="s">
        <v>12508</v>
      </c>
      <c r="B6566" s="5" t="s">
        <v>12509</v>
      </c>
      <c r="C6566" s="3" t="s">
        <v>5</v>
      </c>
    </row>
    <row r="6567" spans="1:3" ht="15.75" thickBot="1">
      <c r="A6567" s="6" t="s">
        <v>12510</v>
      </c>
      <c r="B6567" s="5" t="s">
        <v>12511</v>
      </c>
      <c r="C6567" s="3" t="s">
        <v>5</v>
      </c>
    </row>
    <row r="6568" spans="1:3" ht="15.75" thickBot="1">
      <c r="A6568" s="6" t="s">
        <v>12512</v>
      </c>
      <c r="B6568" s="5" t="s">
        <v>12513</v>
      </c>
      <c r="C6568" s="3" t="s">
        <v>5</v>
      </c>
    </row>
    <row r="6569" spans="1:3" ht="15.75" thickBot="1">
      <c r="A6569" s="6" t="s">
        <v>12514</v>
      </c>
      <c r="B6569" s="5" t="s">
        <v>12515</v>
      </c>
      <c r="C6569" s="3" t="s">
        <v>5</v>
      </c>
    </row>
    <row r="6570" spans="1:3" ht="15.75" thickBot="1">
      <c r="A6570" s="6" t="s">
        <v>12516</v>
      </c>
      <c r="B6570" s="5" t="s">
        <v>12517</v>
      </c>
      <c r="C6570" s="3" t="s">
        <v>5</v>
      </c>
    </row>
    <row r="6571" spans="1:3" ht="15.75" thickBot="1">
      <c r="A6571" s="6" t="s">
        <v>12518</v>
      </c>
      <c r="B6571" s="5" t="s">
        <v>12519</v>
      </c>
      <c r="C6571" s="3" t="s">
        <v>5</v>
      </c>
    </row>
    <row r="6572" spans="1:3" ht="15.75" thickBot="1">
      <c r="A6572" s="6" t="s">
        <v>12520</v>
      </c>
      <c r="B6572" s="5" t="s">
        <v>12521</v>
      </c>
      <c r="C6572" s="3" t="s">
        <v>5</v>
      </c>
    </row>
    <row r="6573" spans="1:3" ht="15.75" thickBot="1">
      <c r="A6573" s="6" t="s">
        <v>12522</v>
      </c>
      <c r="B6573" s="5" t="s">
        <v>12523</v>
      </c>
      <c r="C6573" s="3" t="s">
        <v>5</v>
      </c>
    </row>
    <row r="6574" spans="1:3" ht="15.75" thickBot="1">
      <c r="A6574" s="6" t="s">
        <v>12524</v>
      </c>
      <c r="B6574" s="5" t="e">
        <f xml:space="preserve"> regeneration</f>
        <v>#NAME?</v>
      </c>
      <c r="C6574" s="3" t="s">
        <v>5</v>
      </c>
    </row>
    <row r="6575" spans="1:3" ht="15.75" thickBot="1">
      <c r="A6575" s="6" t="s">
        <v>12525</v>
      </c>
      <c r="B6575" s="5" t="s">
        <v>12526</v>
      </c>
      <c r="C6575" s="3" t="s">
        <v>5</v>
      </c>
    </row>
    <row r="6576" spans="1:3" ht="15.75" thickBot="1">
      <c r="A6576" s="6" t="s">
        <v>12527</v>
      </c>
      <c r="B6576" s="5" t="s">
        <v>12528</v>
      </c>
      <c r="C6576" s="3" t="s">
        <v>5</v>
      </c>
    </row>
    <row r="6577" spans="1:3" ht="15.75" thickBot="1">
      <c r="A6577" s="6" t="s">
        <v>12529</v>
      </c>
      <c r="B6577" s="5" t="s">
        <v>12530</v>
      </c>
      <c r="C6577" s="3" t="s">
        <v>5</v>
      </c>
    </row>
    <row r="6578" spans="1:3" ht="15.75" thickBot="1">
      <c r="A6578" s="6" t="s">
        <v>12531</v>
      </c>
      <c r="B6578" s="5" t="s">
        <v>12532</v>
      </c>
      <c r="C6578" s="3" t="s">
        <v>5</v>
      </c>
    </row>
    <row r="6579" spans="1:3" ht="15.75" thickBot="1">
      <c r="A6579" s="6" t="s">
        <v>12533</v>
      </c>
      <c r="B6579" s="5" t="s">
        <v>12534</v>
      </c>
      <c r="C6579" s="3" t="s">
        <v>5</v>
      </c>
    </row>
    <row r="6580" spans="1:3" ht="15.75" thickBot="1">
      <c r="A6580" s="6" t="s">
        <v>12535</v>
      </c>
      <c r="B6580" s="5" t="s">
        <v>12536</v>
      </c>
      <c r="C6580" s="3" t="s">
        <v>5</v>
      </c>
    </row>
    <row r="6581" spans="1:3" ht="15.75" thickBot="1">
      <c r="A6581" s="6" t="s">
        <v>12537</v>
      </c>
      <c r="B6581" s="5" t="s">
        <v>12538</v>
      </c>
      <c r="C6581" s="3" t="s">
        <v>5</v>
      </c>
    </row>
    <row r="6582" spans="1:3" ht="15.75" thickBot="1">
      <c r="A6582" s="6" t="s">
        <v>12539</v>
      </c>
      <c r="B6582" s="5" t="s">
        <v>12540</v>
      </c>
      <c r="C6582" s="3" t="s">
        <v>5</v>
      </c>
    </row>
    <row r="6583" spans="1:3" ht="15.75" thickBot="1">
      <c r="A6583" s="6" t="s">
        <v>12541</v>
      </c>
      <c r="B6583" s="5" t="s">
        <v>12542</v>
      </c>
      <c r="C6583" s="3" t="s">
        <v>5</v>
      </c>
    </row>
    <row r="6584" spans="1:3" ht="15.75" thickBot="1">
      <c r="A6584" s="6" t="s">
        <v>12543</v>
      </c>
      <c r="B6584" s="5" t="s">
        <v>12544</v>
      </c>
      <c r="C6584" s="3" t="s">
        <v>5</v>
      </c>
    </row>
    <row r="6585" spans="1:3" ht="15.75" thickBot="1">
      <c r="A6585" s="6" t="s">
        <v>12545</v>
      </c>
      <c r="B6585" s="5" t="s">
        <v>12546</v>
      </c>
      <c r="C6585" s="3" t="s">
        <v>5</v>
      </c>
    </row>
    <row r="6586" spans="1:3" ht="15.75" thickBot="1">
      <c r="A6586" s="6" t="s">
        <v>12547</v>
      </c>
      <c r="B6586" s="5" t="s">
        <v>12548</v>
      </c>
      <c r="C6586" s="3" t="s">
        <v>5</v>
      </c>
    </row>
    <row r="6587" spans="1:3" ht="15.75" thickBot="1">
      <c r="A6587" s="6" t="s">
        <v>12549</v>
      </c>
      <c r="B6587" s="5" t="s">
        <v>12550</v>
      </c>
      <c r="C6587" s="3" t="s">
        <v>5</v>
      </c>
    </row>
    <row r="6588" spans="1:3" ht="15.75" thickBot="1">
      <c r="A6588" s="6" t="s">
        <v>12551</v>
      </c>
      <c r="B6588" s="5" t="s">
        <v>12552</v>
      </c>
      <c r="C6588" s="3" t="s">
        <v>5</v>
      </c>
    </row>
    <row r="6589" spans="1:3" ht="15.75" thickBot="1">
      <c r="A6589" s="6" t="s">
        <v>12553</v>
      </c>
      <c r="B6589" s="5" t="s">
        <v>12554</v>
      </c>
      <c r="C6589" s="3" t="s">
        <v>5</v>
      </c>
    </row>
    <row r="6590" spans="1:3" ht="15.75" thickBot="1">
      <c r="A6590" s="6" t="s">
        <v>12555</v>
      </c>
      <c r="B6590" s="5" t="s">
        <v>12556</v>
      </c>
      <c r="C6590" s="3" t="s">
        <v>5</v>
      </c>
    </row>
    <row r="6591" spans="1:3" ht="15.75" thickBot="1">
      <c r="A6591" s="6" t="s">
        <v>12557</v>
      </c>
      <c r="B6591" s="5" t="s">
        <v>12558</v>
      </c>
      <c r="C6591" s="3" t="s">
        <v>5</v>
      </c>
    </row>
    <row r="6592" spans="1:3" ht="15.75" thickBot="1">
      <c r="A6592" s="6" t="s">
        <v>12559</v>
      </c>
      <c r="B6592" s="5" t="s">
        <v>12560</v>
      </c>
      <c r="C6592" s="3" t="s">
        <v>5</v>
      </c>
    </row>
    <row r="6593" spans="1:3" ht="15.75" thickBot="1">
      <c r="A6593" s="6" t="s">
        <v>12561</v>
      </c>
      <c r="B6593" s="5" t="s">
        <v>12562</v>
      </c>
      <c r="C6593" s="3" t="s">
        <v>5</v>
      </c>
    </row>
    <row r="6594" spans="1:3" ht="15.75" thickBot="1">
      <c r="A6594" s="6" t="s">
        <v>12563</v>
      </c>
      <c r="B6594" s="5" t="s">
        <v>12536</v>
      </c>
      <c r="C6594" s="3" t="s">
        <v>5</v>
      </c>
    </row>
    <row r="6595" spans="1:3" ht="15.75" thickBot="1">
      <c r="A6595" s="6" t="s">
        <v>12563</v>
      </c>
      <c r="B6595" s="5" t="s">
        <v>12564</v>
      </c>
      <c r="C6595" s="3" t="s">
        <v>5</v>
      </c>
    </row>
    <row r="6596" spans="1:3" ht="15.75" thickBot="1">
      <c r="A6596" s="6" t="s">
        <v>12565</v>
      </c>
      <c r="B6596" s="5" t="s">
        <v>12566</v>
      </c>
      <c r="C6596" s="3" t="s">
        <v>5</v>
      </c>
    </row>
    <row r="6597" spans="1:3" ht="15.75" thickBot="1">
      <c r="A6597" s="6" t="s">
        <v>12567</v>
      </c>
      <c r="B6597" s="5" t="s">
        <v>12568</v>
      </c>
      <c r="C6597" s="3" t="s">
        <v>5</v>
      </c>
    </row>
    <row r="6598" spans="1:3" ht="15.75" thickBot="1">
      <c r="A6598" s="6" t="s">
        <v>12569</v>
      </c>
      <c r="B6598" s="5" t="s">
        <v>12570</v>
      </c>
      <c r="C6598" s="3" t="s">
        <v>5</v>
      </c>
    </row>
    <row r="6599" spans="1:3" ht="15.75" thickBot="1">
      <c r="A6599" s="6" t="s">
        <v>12571</v>
      </c>
      <c r="B6599" s="5" t="s">
        <v>12572</v>
      </c>
      <c r="C6599" s="3" t="s">
        <v>5</v>
      </c>
    </row>
    <row r="6600" spans="1:3" ht="15.75" thickBot="1">
      <c r="A6600" s="6" t="s">
        <v>12573</v>
      </c>
      <c r="B6600" s="5" t="s">
        <v>12574</v>
      </c>
      <c r="C6600" s="3" t="s">
        <v>5</v>
      </c>
    </row>
    <row r="6601" spans="1:3" ht="15.75" thickBot="1">
      <c r="A6601" s="6" t="s">
        <v>12575</v>
      </c>
      <c r="B6601" s="5" t="s">
        <v>12576</v>
      </c>
      <c r="C6601" s="3" t="s">
        <v>5</v>
      </c>
    </row>
    <row r="6602" spans="1:3" ht="15.75" thickBot="1">
      <c r="A6602" s="6" t="s">
        <v>12577</v>
      </c>
      <c r="B6602" s="5" t="s">
        <v>12578</v>
      </c>
      <c r="C6602" s="3" t="s">
        <v>5</v>
      </c>
    </row>
    <row r="6603" spans="1:3" ht="15.75" thickBot="1">
      <c r="A6603" s="6" t="s">
        <v>12579</v>
      </c>
      <c r="B6603" s="5" t="s">
        <v>12580</v>
      </c>
      <c r="C6603" s="3" t="s">
        <v>5</v>
      </c>
    </row>
    <row r="6604" spans="1:3" ht="15.75" thickBot="1">
      <c r="A6604" s="6" t="s">
        <v>12581</v>
      </c>
      <c r="B6604" s="5" t="s">
        <v>12582</v>
      </c>
      <c r="C6604" s="3" t="s">
        <v>5</v>
      </c>
    </row>
    <row r="6605" spans="1:3" ht="15.75" thickBot="1">
      <c r="A6605" s="6" t="s">
        <v>12583</v>
      </c>
      <c r="B6605" s="5" t="s">
        <v>12584</v>
      </c>
      <c r="C6605" s="3" t="s">
        <v>5</v>
      </c>
    </row>
    <row r="6606" spans="1:3" ht="15.75" thickBot="1">
      <c r="A6606" s="6" t="s">
        <v>12585</v>
      </c>
      <c r="B6606" s="5" t="s">
        <v>12586</v>
      </c>
      <c r="C6606" s="3" t="s">
        <v>5</v>
      </c>
    </row>
    <row r="6607" spans="1:3" ht="15.75" thickBot="1">
      <c r="A6607" s="6" t="s">
        <v>12587</v>
      </c>
      <c r="B6607" s="5" t="s">
        <v>12586</v>
      </c>
      <c r="C6607" s="3" t="s">
        <v>5</v>
      </c>
    </row>
    <row r="6608" spans="1:3" ht="15.75" thickBot="1">
      <c r="A6608" s="6" t="s">
        <v>12588</v>
      </c>
      <c r="B6608" s="5" t="s">
        <v>12589</v>
      </c>
      <c r="C6608" s="3" t="s">
        <v>5</v>
      </c>
    </row>
    <row r="6609" spans="1:3" ht="15.75" thickBot="1">
      <c r="A6609" s="6" t="s">
        <v>12590</v>
      </c>
      <c r="B6609" s="5" t="s">
        <v>12591</v>
      </c>
      <c r="C6609" s="3" t="s">
        <v>5</v>
      </c>
    </row>
    <row r="6610" spans="1:3" ht="15.75" thickBot="1">
      <c r="A6610" s="6" t="s">
        <v>12592</v>
      </c>
      <c r="B6610" s="5" t="s">
        <v>12593</v>
      </c>
      <c r="C6610" s="3" t="s">
        <v>5</v>
      </c>
    </row>
    <row r="6611" spans="1:3" ht="15.75" thickBot="1">
      <c r="A6611" s="6" t="s">
        <v>12594</v>
      </c>
      <c r="B6611" s="5" t="s">
        <v>12595</v>
      </c>
      <c r="C6611" s="3" t="s">
        <v>5</v>
      </c>
    </row>
    <row r="6612" spans="1:3" ht="15.75" thickBot="1">
      <c r="A6612" s="6" t="s">
        <v>12596</v>
      </c>
      <c r="B6612" s="5" t="s">
        <v>12597</v>
      </c>
      <c r="C6612" s="3" t="s">
        <v>5</v>
      </c>
    </row>
    <row r="6613" spans="1:3" ht="15.75" thickBot="1">
      <c r="A6613" s="6" t="s">
        <v>12598</v>
      </c>
      <c r="B6613" s="5" t="s">
        <v>12599</v>
      </c>
      <c r="C6613" s="3" t="s">
        <v>5</v>
      </c>
    </row>
    <row r="6614" spans="1:3" ht="15.75" thickBot="1">
      <c r="A6614" s="6" t="s">
        <v>12600</v>
      </c>
      <c r="B6614" s="5" t="s">
        <v>12601</v>
      </c>
      <c r="C6614" s="3" t="s">
        <v>5</v>
      </c>
    </row>
    <row r="6615" spans="1:3" ht="15.75" thickBot="1">
      <c r="A6615" s="6" t="s">
        <v>12602</v>
      </c>
      <c r="B6615" s="5" t="s">
        <v>12603</v>
      </c>
      <c r="C6615" s="3" t="s">
        <v>5</v>
      </c>
    </row>
    <row r="6616" spans="1:3" ht="15.75" thickBot="1">
      <c r="A6616" s="6" t="s">
        <v>12604</v>
      </c>
      <c r="B6616" s="5" t="s">
        <v>12605</v>
      </c>
      <c r="C6616" s="3" t="s">
        <v>5</v>
      </c>
    </row>
    <row r="6617" spans="1:3" ht="15.75" thickBot="1">
      <c r="A6617" s="6" t="s">
        <v>12606</v>
      </c>
      <c r="B6617" s="5" t="s">
        <v>12607</v>
      </c>
      <c r="C6617" s="3" t="s">
        <v>5</v>
      </c>
    </row>
    <row r="6618" spans="1:3" ht="15.75" thickBot="1">
      <c r="A6618" s="6" t="s">
        <v>12608</v>
      </c>
      <c r="B6618" s="5" t="s">
        <v>12609</v>
      </c>
      <c r="C6618" s="3" t="s">
        <v>5</v>
      </c>
    </row>
    <row r="6619" spans="1:3" ht="15.75" thickBot="1">
      <c r="A6619" s="6" t="s">
        <v>12610</v>
      </c>
      <c r="B6619" s="5" t="s">
        <v>12611</v>
      </c>
      <c r="C6619" s="3" t="s">
        <v>5</v>
      </c>
    </row>
    <row r="6620" spans="1:3" ht="15.75" thickBot="1">
      <c r="A6620" s="6" t="s">
        <v>12612</v>
      </c>
      <c r="B6620" s="5" t="s">
        <v>12613</v>
      </c>
      <c r="C6620" s="3" t="s">
        <v>5</v>
      </c>
    </row>
    <row r="6621" spans="1:3" ht="15.75" thickBot="1">
      <c r="A6621" s="6" t="s">
        <v>12614</v>
      </c>
      <c r="B6621" s="5" t="s">
        <v>12615</v>
      </c>
      <c r="C6621" s="3" t="s">
        <v>5</v>
      </c>
    </row>
    <row r="6622" spans="1:3" ht="15.75" thickBot="1">
      <c r="A6622" s="6" t="s">
        <v>12616</v>
      </c>
      <c r="B6622" s="5" t="s">
        <v>12617</v>
      </c>
      <c r="C6622" s="3" t="s">
        <v>5</v>
      </c>
    </row>
    <row r="6623" spans="1:3" ht="15.75" thickBot="1">
      <c r="A6623" s="6" t="s">
        <v>12618</v>
      </c>
      <c r="B6623" s="5" t="s">
        <v>12619</v>
      </c>
      <c r="C6623" s="3" t="s">
        <v>5</v>
      </c>
    </row>
    <row r="6624" spans="1:3" ht="15.75" thickBot="1">
      <c r="A6624" s="6" t="s">
        <v>12620</v>
      </c>
      <c r="B6624" s="5" t="s">
        <v>12621</v>
      </c>
      <c r="C6624" s="3" t="s">
        <v>5</v>
      </c>
    </row>
    <row r="6625" spans="1:3" ht="15.75" thickBot="1">
      <c r="A6625" s="6" t="s">
        <v>12622</v>
      </c>
      <c r="B6625" s="5" t="s">
        <v>12623</v>
      </c>
      <c r="C6625" s="3" t="s">
        <v>5</v>
      </c>
    </row>
    <row r="6626" spans="1:3" ht="15.75" thickBot="1">
      <c r="A6626" s="6" t="s">
        <v>12624</v>
      </c>
      <c r="B6626" s="5" t="s">
        <v>12625</v>
      </c>
      <c r="C6626" s="3" t="s">
        <v>5</v>
      </c>
    </row>
    <row r="6627" spans="1:3" ht="15.75" thickBot="1">
      <c r="A6627" s="6" t="s">
        <v>12626</v>
      </c>
      <c r="B6627" s="5" t="s">
        <v>12627</v>
      </c>
      <c r="C6627" s="3" t="s">
        <v>5</v>
      </c>
    </row>
    <row r="6628" spans="1:3" ht="15.75" thickBot="1">
      <c r="A6628" s="6" t="s">
        <v>12628</v>
      </c>
      <c r="B6628" s="5" t="s">
        <v>12629</v>
      </c>
      <c r="C6628" s="3" t="s">
        <v>5</v>
      </c>
    </row>
    <row r="6629" spans="1:3" ht="15.75" thickBot="1">
      <c r="A6629" s="6" t="s">
        <v>12630</v>
      </c>
      <c r="B6629" s="5" t="s">
        <v>12631</v>
      </c>
      <c r="C6629" s="3" t="s">
        <v>5</v>
      </c>
    </row>
    <row r="6630" spans="1:3" ht="15.75" thickBot="1">
      <c r="A6630" s="6" t="s">
        <v>12632</v>
      </c>
      <c r="B6630" s="5" t="s">
        <v>12633</v>
      </c>
      <c r="C6630" s="3" t="s">
        <v>5</v>
      </c>
    </row>
    <row r="6631" spans="1:3" ht="15.75" thickBot="1">
      <c r="A6631" s="6" t="s">
        <v>12634</v>
      </c>
      <c r="B6631" s="5" t="s">
        <v>12635</v>
      </c>
      <c r="C6631" s="3" t="s">
        <v>5</v>
      </c>
    </row>
    <row r="6632" spans="1:3" ht="15.75" thickBot="1">
      <c r="A6632" s="6" t="s">
        <v>12636</v>
      </c>
      <c r="B6632" s="5" t="s">
        <v>12637</v>
      </c>
      <c r="C6632" s="3" t="s">
        <v>5</v>
      </c>
    </row>
    <row r="6633" spans="1:3" ht="15.75" thickBot="1">
      <c r="A6633" s="6" t="s">
        <v>12638</v>
      </c>
      <c r="B6633" s="5" t="e">
        <f xml:space="preserve"> x rays</f>
        <v>#NAME?</v>
      </c>
      <c r="C6633" s="3" t="s">
        <v>5</v>
      </c>
    </row>
    <row r="6634" spans="1:3" ht="15.75" thickBot="1">
      <c r="A6634" s="6" t="s">
        <v>12639</v>
      </c>
      <c r="B6634" s="5" t="s">
        <v>2618</v>
      </c>
      <c r="C6634" s="3" t="s">
        <v>5</v>
      </c>
    </row>
    <row r="6635" spans="1:3" ht="15.75" thickBot="1">
      <c r="A6635" s="6" t="s">
        <v>12640</v>
      </c>
      <c r="B6635" s="5" t="s">
        <v>12641</v>
      </c>
      <c r="C6635" s="3" t="s">
        <v>5</v>
      </c>
    </row>
    <row r="6636" spans="1:3" ht="15.75" thickBot="1">
      <c r="A6636" s="6" t="s">
        <v>12642</v>
      </c>
      <c r="B6636" s="5" t="s">
        <v>12643</v>
      </c>
      <c r="C6636" s="3" t="s">
        <v>5</v>
      </c>
    </row>
    <row r="6637" spans="1:3">
      <c r="A6637" s="1" t="s">
        <v>12644</v>
      </c>
      <c r="B6637" s="2" t="s">
        <v>12645</v>
      </c>
      <c r="C6637" s="3" t="s">
        <v>5</v>
      </c>
    </row>
    <row r="6638" spans="1:3" ht="15.75" thickBot="1">
      <c r="A6638" s="4"/>
      <c r="B6638" s="5" t="s">
        <v>12646</v>
      </c>
      <c r="C6638" s="3" t="s">
        <v>5</v>
      </c>
    </row>
    <row r="6639" spans="1:3" ht="15.75" thickBot="1">
      <c r="A6639" s="6" t="s">
        <v>12647</v>
      </c>
      <c r="B6639" s="5" t="s">
        <v>12648</v>
      </c>
      <c r="C6639" s="3" t="s">
        <v>5</v>
      </c>
    </row>
    <row r="6640" spans="1:3" ht="15.75" thickBot="1">
      <c r="A6640" s="6" t="s">
        <v>12649</v>
      </c>
      <c r="B6640" s="5" t="s">
        <v>12650</v>
      </c>
      <c r="C6640" s="3" t="s">
        <v>5</v>
      </c>
    </row>
    <row r="6641" spans="1:3" ht="15.75" thickBot="1">
      <c r="A6641" s="6" t="s">
        <v>12651</v>
      </c>
      <c r="B6641" s="5" t="s">
        <v>12652</v>
      </c>
      <c r="C6641" s="3" t="s">
        <v>5</v>
      </c>
    </row>
    <row r="6642" spans="1:3" ht="15.75" thickBot="1">
      <c r="A6642" s="6" t="s">
        <v>12653</v>
      </c>
      <c r="B6642" s="5" t="s">
        <v>12654</v>
      </c>
      <c r="C6642" s="3" t="s">
        <v>5</v>
      </c>
    </row>
    <row r="6643" spans="1:3" ht="15.75" thickBot="1">
      <c r="A6643" s="6" t="s">
        <v>12655</v>
      </c>
      <c r="B6643" s="5" t="s">
        <v>12656</v>
      </c>
      <c r="C6643" s="3" t="s">
        <v>5</v>
      </c>
    </row>
    <row r="6644" spans="1:3" ht="15.75" thickBot="1">
      <c r="A6644" s="6" t="s">
        <v>12657</v>
      </c>
      <c r="B6644" s="5" t="s">
        <v>12658</v>
      </c>
      <c r="C6644" s="3" t="s">
        <v>5</v>
      </c>
    </row>
    <row r="6645" spans="1:3" ht="15.75" thickBot="1">
      <c r="A6645" s="6" t="s">
        <v>12659</v>
      </c>
      <c r="B6645" s="5" t="s">
        <v>12660</v>
      </c>
      <c r="C6645" s="3" t="s">
        <v>5</v>
      </c>
    </row>
    <row r="6646" spans="1:3">
      <c r="A6646" s="1" t="s">
        <v>12661</v>
      </c>
      <c r="B6646" s="2" t="s">
        <v>12662</v>
      </c>
      <c r="C6646" s="3" t="s">
        <v>5</v>
      </c>
    </row>
    <row r="6647" spans="1:3" ht="15.75" thickBot="1">
      <c r="A6647" s="4"/>
      <c r="B6647" s="5" t="s">
        <v>12663</v>
      </c>
      <c r="C6647" s="3" t="s">
        <v>5</v>
      </c>
    </row>
    <row r="6648" spans="1:3" ht="15.75" thickBot="1">
      <c r="A6648" s="6" t="s">
        <v>12664</v>
      </c>
      <c r="B6648" s="5" t="s">
        <v>12665</v>
      </c>
      <c r="C6648" s="3" t="s">
        <v>5</v>
      </c>
    </row>
    <row r="6649" spans="1:3" ht="15.75" thickBot="1">
      <c r="A6649" s="6" t="s">
        <v>12666</v>
      </c>
      <c r="B6649" s="5" t="s">
        <v>12667</v>
      </c>
      <c r="C6649" s="3" t="s">
        <v>5</v>
      </c>
    </row>
    <row r="6650" spans="1:3" ht="15.75" thickBot="1">
      <c r="A6650" s="6" t="s">
        <v>12668</v>
      </c>
      <c r="B6650" s="5" t="s">
        <v>12669</v>
      </c>
      <c r="C6650" s="3" t="s">
        <v>5</v>
      </c>
    </row>
    <row r="6651" spans="1:3" ht="15.75" thickBot="1">
      <c r="A6651" s="6" t="s">
        <v>12670</v>
      </c>
      <c r="B6651" s="5" t="s">
        <v>12671</v>
      </c>
      <c r="C6651" s="3" t="s">
        <v>5</v>
      </c>
    </row>
    <row r="6652" spans="1:3" ht="15.75" thickBot="1">
      <c r="A6652" s="6" t="s">
        <v>12672</v>
      </c>
      <c r="B6652" s="5" t="s">
        <v>12673</v>
      </c>
      <c r="C6652" s="3" t="s">
        <v>5</v>
      </c>
    </row>
    <row r="6653" spans="1:3" ht="15.75" thickBot="1">
      <c r="A6653" s="6" t="s">
        <v>12674</v>
      </c>
      <c r="B6653" s="5" t="s">
        <v>12675</v>
      </c>
      <c r="C6653" s="3" t="s">
        <v>5</v>
      </c>
    </row>
    <row r="6654" spans="1:3" ht="15.75" thickBot="1">
      <c r="A6654" s="6" t="s">
        <v>12676</v>
      </c>
      <c r="B6654" s="5" t="s">
        <v>12677</v>
      </c>
      <c r="C6654" s="3" t="s">
        <v>5</v>
      </c>
    </row>
    <row r="6655" spans="1:3" ht="15.75" thickBot="1">
      <c r="A6655" s="6" t="s">
        <v>12678</v>
      </c>
      <c r="B6655" s="5" t="s">
        <v>12679</v>
      </c>
      <c r="C6655" s="3" t="s">
        <v>5</v>
      </c>
    </row>
    <row r="6656" spans="1:3" ht="15.75" thickBot="1">
      <c r="A6656" s="6" t="s">
        <v>12680</v>
      </c>
      <c r="B6656" s="5" t="s">
        <v>12681</v>
      </c>
      <c r="C6656" s="3" t="s">
        <v>5</v>
      </c>
    </row>
    <row r="6657" spans="1:3" ht="15.75" thickBot="1">
      <c r="A6657" s="6" t="s">
        <v>12682</v>
      </c>
      <c r="B6657" s="5" t="s">
        <v>12683</v>
      </c>
      <c r="C6657" s="3" t="s">
        <v>5</v>
      </c>
    </row>
    <row r="6658" spans="1:3" ht="15.75" thickBot="1">
      <c r="A6658" s="6" t="s">
        <v>12684</v>
      </c>
      <c r="B6658" s="5" t="s">
        <v>12685</v>
      </c>
      <c r="C6658" s="3" t="s">
        <v>5</v>
      </c>
    </row>
    <row r="6659" spans="1:3">
      <c r="A6659" s="1" t="s">
        <v>12686</v>
      </c>
      <c r="B6659" s="2" t="s">
        <v>12687</v>
      </c>
      <c r="C6659" s="3" t="s">
        <v>5</v>
      </c>
    </row>
    <row r="6660" spans="1:3" ht="15.75" thickBot="1">
      <c r="A6660" s="4"/>
      <c r="B6660" s="5" t="s">
        <v>7286</v>
      </c>
      <c r="C6660" s="3" t="s">
        <v>5</v>
      </c>
    </row>
    <row r="6661" spans="1:3" ht="15.75" thickBot="1">
      <c r="A6661" s="6" t="s">
        <v>12688</v>
      </c>
      <c r="B6661" s="5" t="s">
        <v>12689</v>
      </c>
      <c r="C6661" s="3" t="s">
        <v>5</v>
      </c>
    </row>
    <row r="6662" spans="1:3" ht="15.75" thickBot="1">
      <c r="A6662" s="6" t="s">
        <v>12690</v>
      </c>
      <c r="B6662" s="5" t="s">
        <v>8816</v>
      </c>
      <c r="C6662" s="3" t="s">
        <v>5</v>
      </c>
    </row>
    <row r="6663" spans="1:3" ht="15.75" thickBot="1">
      <c r="A6663" s="6" t="s">
        <v>12691</v>
      </c>
      <c r="B6663" s="5" t="s">
        <v>12692</v>
      </c>
      <c r="C6663" s="3" t="s">
        <v>5</v>
      </c>
    </row>
    <row r="6664" spans="1:3" ht="15.75" thickBot="1">
      <c r="A6664" s="6" t="s">
        <v>12693</v>
      </c>
      <c r="B6664" s="5" t="s">
        <v>8980</v>
      </c>
      <c r="C6664" s="3" t="s">
        <v>5</v>
      </c>
    </row>
    <row r="6665" spans="1:3" ht="15.75" thickBot="1">
      <c r="A6665" s="6" t="s">
        <v>12694</v>
      </c>
      <c r="B6665" s="5" t="s">
        <v>12695</v>
      </c>
      <c r="C6665" s="3" t="s">
        <v>5</v>
      </c>
    </row>
    <row r="6666" spans="1:3" ht="15.75" thickBot="1">
      <c r="A6666" s="6" t="s">
        <v>12696</v>
      </c>
      <c r="B6666" s="5" t="s">
        <v>12697</v>
      </c>
      <c r="C6666" s="3" t="s">
        <v>5</v>
      </c>
    </row>
    <row r="6667" spans="1:3" ht="15.75" thickBot="1">
      <c r="A6667" s="6" t="s">
        <v>12698</v>
      </c>
      <c r="B6667" s="5" t="e">
        <f xml:space="preserve"> breaking capacity</f>
        <v>#NAME?</v>
      </c>
      <c r="C6667" s="3" t="s">
        <v>5</v>
      </c>
    </row>
    <row r="6668" spans="1:3" ht="15.75" thickBot="1">
      <c r="A6668" s="6" t="s">
        <v>12699</v>
      </c>
      <c r="B6668" s="5" t="s">
        <v>12700</v>
      </c>
      <c r="C6668" s="3" t="s">
        <v>5</v>
      </c>
    </row>
    <row r="6669" spans="1:3" ht="15.75" thickBot="1">
      <c r="A6669" s="6" t="s">
        <v>12701</v>
      </c>
      <c r="B6669" s="5" t="s">
        <v>12702</v>
      </c>
      <c r="C6669" s="3" t="s">
        <v>5</v>
      </c>
    </row>
    <row r="6670" spans="1:3" ht="15.75" thickBot="1">
      <c r="A6670" s="6" t="s">
        <v>12703</v>
      </c>
      <c r="B6670" s="5" t="s">
        <v>12704</v>
      </c>
      <c r="C6670" s="3" t="s">
        <v>5</v>
      </c>
    </row>
    <row r="6671" spans="1:3" ht="15.75" thickBot="1">
      <c r="A6671" s="6" t="s">
        <v>12705</v>
      </c>
      <c r="B6671" s="5" t="s">
        <v>12706</v>
      </c>
      <c r="C6671" s="3" t="s">
        <v>5</v>
      </c>
    </row>
    <row r="6672" spans="1:3" ht="15.75" thickBot="1">
      <c r="A6672" s="6" t="s">
        <v>12707</v>
      </c>
      <c r="B6672" s="5" t="s">
        <v>12708</v>
      </c>
      <c r="C6672" s="3" t="s">
        <v>5</v>
      </c>
    </row>
    <row r="6673" spans="1:3" ht="15.75" thickBot="1">
      <c r="A6673" s="6" t="s">
        <v>12709</v>
      </c>
      <c r="B6673" s="5" t="s">
        <v>12710</v>
      </c>
      <c r="C6673" s="3" t="s">
        <v>5</v>
      </c>
    </row>
    <row r="6674" spans="1:3" ht="15.75" thickBot="1">
      <c r="A6674" s="6" t="s">
        <v>12711</v>
      </c>
      <c r="B6674" s="5" t="s">
        <v>12712</v>
      </c>
      <c r="C6674" s="3" t="s">
        <v>5</v>
      </c>
    </row>
    <row r="6675" spans="1:3" ht="15.75" thickBot="1">
      <c r="A6675" s="6" t="s">
        <v>12713</v>
      </c>
      <c r="B6675" s="5" t="s">
        <v>12714</v>
      </c>
      <c r="C6675" s="3" t="s">
        <v>5</v>
      </c>
    </row>
    <row r="6676" spans="1:3" ht="15.75" thickBot="1">
      <c r="A6676" s="6" t="s">
        <v>12715</v>
      </c>
      <c r="B6676" s="5" t="s">
        <v>12716</v>
      </c>
      <c r="C6676" s="3" t="s">
        <v>5</v>
      </c>
    </row>
    <row r="6677" spans="1:3" ht="15.75" thickBot="1">
      <c r="A6677" s="6" t="s">
        <v>12717</v>
      </c>
      <c r="B6677" s="5" t="s">
        <v>12718</v>
      </c>
      <c r="C6677" s="3" t="s">
        <v>5</v>
      </c>
    </row>
    <row r="6678" spans="1:3" ht="15.75" thickBot="1">
      <c r="A6678" s="6" t="s">
        <v>12719</v>
      </c>
      <c r="B6678" s="5" t="s">
        <v>12720</v>
      </c>
      <c r="C6678" s="3" t="s">
        <v>5</v>
      </c>
    </row>
    <row r="6679" spans="1:3" ht="15.75" thickBot="1">
      <c r="A6679" s="6" t="s">
        <v>12721</v>
      </c>
      <c r="B6679" s="5" t="s">
        <v>12722</v>
      </c>
      <c r="C6679" s="3" t="s">
        <v>5</v>
      </c>
    </row>
    <row r="6680" spans="1:3" ht="15.75" thickBot="1">
      <c r="A6680" s="6" t="s">
        <v>12723</v>
      </c>
      <c r="B6680" s="5" t="s">
        <v>12724</v>
      </c>
      <c r="C6680" s="3" t="s">
        <v>5</v>
      </c>
    </row>
    <row r="6681" spans="1:3" ht="15.75" thickBot="1">
      <c r="A6681" s="6" t="s">
        <v>12725</v>
      </c>
      <c r="B6681" s="5" t="s">
        <v>12726</v>
      </c>
      <c r="C6681" s="3" t="s">
        <v>5</v>
      </c>
    </row>
    <row r="6682" spans="1:3" ht="15.75" thickBot="1">
      <c r="A6682" s="6" t="s">
        <v>12727</v>
      </c>
      <c r="B6682" s="5" t="s">
        <v>12728</v>
      </c>
      <c r="C6682" s="3" t="s">
        <v>5</v>
      </c>
    </row>
    <row r="6683" spans="1:3" ht="15.75" thickBot="1">
      <c r="A6683" s="6" t="s">
        <v>12729</v>
      </c>
      <c r="B6683" s="5" t="s">
        <v>12730</v>
      </c>
      <c r="C6683" s="3" t="s">
        <v>5</v>
      </c>
    </row>
    <row r="6684" spans="1:3" ht="15.75" thickBot="1">
      <c r="A6684" s="6" t="s">
        <v>12731</v>
      </c>
      <c r="B6684" s="5" t="s">
        <v>12732</v>
      </c>
      <c r="C6684" s="3" t="s">
        <v>5</v>
      </c>
    </row>
    <row r="6685" spans="1:3" ht="15.75" thickBot="1">
      <c r="A6685" s="6" t="s">
        <v>12733</v>
      </c>
      <c r="B6685" s="5" t="s">
        <v>12734</v>
      </c>
      <c r="C6685" s="3" t="s">
        <v>5</v>
      </c>
    </row>
    <row r="6686" spans="1:3" ht="15.75" thickBot="1">
      <c r="A6686" s="6" t="s">
        <v>12735</v>
      </c>
      <c r="B6686" s="5" t="s">
        <v>12736</v>
      </c>
      <c r="C6686" s="3" t="s">
        <v>5</v>
      </c>
    </row>
    <row r="6687" spans="1:3" ht="15.75" thickBot="1">
      <c r="A6687" s="6" t="s">
        <v>12737</v>
      </c>
      <c r="B6687" s="5" t="s">
        <v>12738</v>
      </c>
      <c r="C6687" s="3" t="s">
        <v>5</v>
      </c>
    </row>
    <row r="6688" spans="1:3" ht="15.75" thickBot="1">
      <c r="A6688" s="6" t="s">
        <v>12739</v>
      </c>
      <c r="B6688" s="5" t="s">
        <v>12740</v>
      </c>
      <c r="C6688" s="3" t="s">
        <v>5</v>
      </c>
    </row>
    <row r="6689" spans="1:3" ht="15.75" thickBot="1">
      <c r="A6689" s="6" t="s">
        <v>12741</v>
      </c>
      <c r="B6689" s="5" t="s">
        <v>12742</v>
      </c>
      <c r="C6689" s="3" t="s">
        <v>5</v>
      </c>
    </row>
    <row r="6690" spans="1:3" ht="15.75" thickBot="1">
      <c r="A6690" s="6" t="s">
        <v>12743</v>
      </c>
      <c r="B6690" s="5" t="s">
        <v>12744</v>
      </c>
      <c r="C6690" s="3" t="s">
        <v>5</v>
      </c>
    </row>
    <row r="6691" spans="1:3" ht="15.75" thickBot="1">
      <c r="A6691" s="6" t="s">
        <v>12745</v>
      </c>
      <c r="B6691" s="5" t="s">
        <v>12746</v>
      </c>
      <c r="C6691" s="3" t="s">
        <v>5</v>
      </c>
    </row>
    <row r="6692" spans="1:3" ht="15.75" thickBot="1">
      <c r="A6692" s="6" t="s">
        <v>12747</v>
      </c>
      <c r="B6692" s="5" t="s">
        <v>12748</v>
      </c>
      <c r="C6692" s="3" t="s">
        <v>5</v>
      </c>
    </row>
    <row r="6693" spans="1:3" ht="15.75" thickBot="1">
      <c r="A6693" s="6" t="s">
        <v>12749</v>
      </c>
      <c r="B6693" s="5" t="s">
        <v>12750</v>
      </c>
      <c r="C6693" s="3" t="s">
        <v>5</v>
      </c>
    </row>
    <row r="6694" spans="1:3" ht="15.75" thickBot="1">
      <c r="A6694" s="6" t="s">
        <v>12751</v>
      </c>
      <c r="B6694" s="5" t="s">
        <v>12752</v>
      </c>
      <c r="C6694" s="3" t="s">
        <v>5</v>
      </c>
    </row>
    <row r="6695" spans="1:3" ht="15.75" thickBot="1">
      <c r="A6695" s="6" t="s">
        <v>12753</v>
      </c>
      <c r="B6695" s="5" t="s">
        <v>12754</v>
      </c>
      <c r="C6695" s="3" t="s">
        <v>5</v>
      </c>
    </row>
    <row r="6696" spans="1:3" ht="15.75" thickBot="1">
      <c r="A6696" s="6" t="s">
        <v>12755</v>
      </c>
      <c r="B6696" s="5" t="s">
        <v>12756</v>
      </c>
      <c r="C6696" s="3" t="s">
        <v>5</v>
      </c>
    </row>
    <row r="6697" spans="1:3" ht="15.75" thickBot="1">
      <c r="A6697" s="6" t="s">
        <v>12757</v>
      </c>
      <c r="B6697" s="5" t="s">
        <v>12758</v>
      </c>
      <c r="C6697" s="3" t="s">
        <v>5</v>
      </c>
    </row>
    <row r="6698" spans="1:3" ht="15.75" thickBot="1">
      <c r="A6698" s="6" t="s">
        <v>12759</v>
      </c>
      <c r="B6698" s="5" t="s">
        <v>12760</v>
      </c>
      <c r="C6698" s="3" t="s">
        <v>5</v>
      </c>
    </row>
    <row r="6699" spans="1:3" ht="15.75" thickBot="1">
      <c r="A6699" s="6" t="s">
        <v>12761</v>
      </c>
      <c r="B6699" s="5" t="s">
        <v>12762</v>
      </c>
      <c r="C6699" s="3" t="s">
        <v>5</v>
      </c>
    </row>
    <row r="6700" spans="1:3" ht="15.75" thickBot="1">
      <c r="A6700" s="6" t="s">
        <v>12763</v>
      </c>
      <c r="B6700" s="5" t="s">
        <v>12764</v>
      </c>
      <c r="C6700" s="3" t="s">
        <v>5</v>
      </c>
    </row>
    <row r="6701" spans="1:3">
      <c r="A6701" s="1" t="s">
        <v>12765</v>
      </c>
      <c r="B6701" s="2" t="s">
        <v>12766</v>
      </c>
      <c r="C6701" s="3" t="s">
        <v>5</v>
      </c>
    </row>
    <row r="6702" spans="1:3" ht="15.75" thickBot="1">
      <c r="A6702" s="4"/>
      <c r="B6702" s="5" t="s">
        <v>3193</v>
      </c>
      <c r="C6702" s="3" t="s">
        <v>5</v>
      </c>
    </row>
    <row r="6703" spans="1:3" ht="15.75" thickBot="1">
      <c r="A6703" s="6" t="s">
        <v>12767</v>
      </c>
      <c r="B6703" s="5" t="s">
        <v>12768</v>
      </c>
      <c r="C6703" s="3" t="s">
        <v>5</v>
      </c>
    </row>
    <row r="6704" spans="1:3" ht="15.75" thickBot="1">
      <c r="A6704" s="6" t="s">
        <v>12769</v>
      </c>
      <c r="B6704" s="5" t="s">
        <v>12770</v>
      </c>
      <c r="C6704" s="3" t="s">
        <v>5</v>
      </c>
    </row>
    <row r="6705" spans="1:3" ht="15.75" thickBot="1">
      <c r="A6705" s="6" t="s">
        <v>12771</v>
      </c>
      <c r="B6705" s="5" t="s">
        <v>12772</v>
      </c>
      <c r="C6705" s="3" t="s">
        <v>5</v>
      </c>
    </row>
    <row r="6706" spans="1:3" ht="15.75" thickBot="1">
      <c r="A6706" s="6" t="s">
        <v>12773</v>
      </c>
      <c r="B6706" s="5" t="s">
        <v>12774</v>
      </c>
      <c r="C6706" s="3" t="s">
        <v>5</v>
      </c>
    </row>
    <row r="6707" spans="1:3" ht="15.75" thickBot="1">
      <c r="A6707" s="6" t="s">
        <v>12775</v>
      </c>
      <c r="B6707" s="5" t="s">
        <v>12776</v>
      </c>
      <c r="C6707" s="3" t="s">
        <v>5</v>
      </c>
    </row>
    <row r="6708" spans="1:3" ht="15.75" thickBot="1">
      <c r="A6708" s="6" t="s">
        <v>12777</v>
      </c>
      <c r="B6708" s="5" t="s">
        <v>12778</v>
      </c>
      <c r="C6708" s="3" t="s">
        <v>5</v>
      </c>
    </row>
    <row r="6709" spans="1:3" ht="26.25" thickBot="1">
      <c r="A6709" s="6" t="s">
        <v>12779</v>
      </c>
      <c r="B6709" s="5" t="s">
        <v>12780</v>
      </c>
      <c r="C6709" s="3" t="s">
        <v>5</v>
      </c>
    </row>
    <row r="6710" spans="1:3" ht="15.75" thickBot="1">
      <c r="A6710" s="6" t="s">
        <v>12781</v>
      </c>
      <c r="B6710" s="5" t="s">
        <v>12782</v>
      </c>
      <c r="C6710" s="3" t="s">
        <v>5</v>
      </c>
    </row>
    <row r="6711" spans="1:3" ht="15.75" thickBot="1">
      <c r="A6711" s="6" t="s">
        <v>12783</v>
      </c>
      <c r="B6711" s="5" t="s">
        <v>12784</v>
      </c>
      <c r="C6711" s="3" t="s">
        <v>5</v>
      </c>
    </row>
    <row r="6712" spans="1:3" ht="15.75" thickBot="1">
      <c r="A6712" s="6" t="s">
        <v>12785</v>
      </c>
      <c r="B6712" s="5" t="s">
        <v>12786</v>
      </c>
      <c r="C6712" s="3" t="s">
        <v>5</v>
      </c>
    </row>
    <row r="6713" spans="1:3" ht="15.75" thickBot="1">
      <c r="A6713" s="6" t="s">
        <v>12787</v>
      </c>
      <c r="B6713" s="5" t="s">
        <v>12788</v>
      </c>
      <c r="C6713" s="3" t="s">
        <v>5</v>
      </c>
    </row>
    <row r="6714" spans="1:3" ht="15.75" thickBot="1">
      <c r="A6714" s="6" t="s">
        <v>12789</v>
      </c>
      <c r="B6714" s="5" t="s">
        <v>12790</v>
      </c>
      <c r="C6714" s="3" t="s">
        <v>5</v>
      </c>
    </row>
    <row r="6715" spans="1:3" ht="15.75" thickBot="1">
      <c r="A6715" s="6" t="s">
        <v>12791</v>
      </c>
      <c r="B6715" s="5" t="s">
        <v>12792</v>
      </c>
      <c r="C6715" s="3" t="s">
        <v>5</v>
      </c>
    </row>
    <row r="6716" spans="1:3" ht="15.75" thickBot="1">
      <c r="A6716" s="6" t="s">
        <v>12793</v>
      </c>
      <c r="B6716" s="5" t="s">
        <v>12794</v>
      </c>
      <c r="C6716" s="3" t="s">
        <v>5</v>
      </c>
    </row>
    <row r="6717" spans="1:3" ht="15.75" thickBot="1">
      <c r="A6717" s="6" t="s">
        <v>12795</v>
      </c>
      <c r="B6717" s="5" t="s">
        <v>12796</v>
      </c>
      <c r="C6717" s="3" t="s">
        <v>5</v>
      </c>
    </row>
    <row r="6718" spans="1:3" ht="15.75" thickBot="1">
      <c r="A6718" s="6" t="s">
        <v>12797</v>
      </c>
      <c r="B6718" s="5" t="s">
        <v>12798</v>
      </c>
      <c r="C6718" s="3" t="s">
        <v>5</v>
      </c>
    </row>
    <row r="6719" spans="1:3" ht="15.75" thickBot="1">
      <c r="A6719" s="6" t="s">
        <v>12799</v>
      </c>
      <c r="B6719" s="5" t="s">
        <v>12800</v>
      </c>
      <c r="C6719" s="3" t="s">
        <v>5</v>
      </c>
    </row>
    <row r="6720" spans="1:3" ht="15.75" thickBot="1">
      <c r="A6720" s="6" t="s">
        <v>12801</v>
      </c>
      <c r="B6720" s="5" t="s">
        <v>12802</v>
      </c>
      <c r="C6720" s="3" t="s">
        <v>5</v>
      </c>
    </row>
    <row r="6721" spans="1:3" ht="15.75" thickBot="1">
      <c r="A6721" s="6" t="s">
        <v>12803</v>
      </c>
      <c r="B6721" s="5" t="s">
        <v>12804</v>
      </c>
      <c r="C6721" s="3" t="s">
        <v>5</v>
      </c>
    </row>
    <row r="6722" spans="1:3" ht="15.75" thickBot="1">
      <c r="A6722" s="6" t="s">
        <v>12805</v>
      </c>
      <c r="B6722" s="5" t="s">
        <v>12806</v>
      </c>
      <c r="C6722" s="3" t="s">
        <v>5</v>
      </c>
    </row>
    <row r="6723" spans="1:3" ht="15.75" thickBot="1">
      <c r="A6723" s="6" t="s">
        <v>12807</v>
      </c>
      <c r="B6723" s="5" t="s">
        <v>12808</v>
      </c>
      <c r="C6723" s="3" t="s">
        <v>5</v>
      </c>
    </row>
    <row r="6724" spans="1:3" ht="15.75" thickBot="1">
      <c r="A6724" s="6" t="s">
        <v>12809</v>
      </c>
      <c r="B6724" s="5" t="s">
        <v>12810</v>
      </c>
      <c r="C6724" s="3" t="s">
        <v>5</v>
      </c>
    </row>
    <row r="6725" spans="1:3" ht="15.75" thickBot="1">
      <c r="A6725" s="6" t="s">
        <v>12811</v>
      </c>
      <c r="B6725" s="5" t="s">
        <v>12812</v>
      </c>
      <c r="C6725" s="3" t="s">
        <v>5</v>
      </c>
    </row>
    <row r="6726" spans="1:3" ht="15.75" thickBot="1">
      <c r="A6726" s="6" t="s">
        <v>12813</v>
      </c>
      <c r="B6726" s="5" t="s">
        <v>12814</v>
      </c>
      <c r="C6726" s="3" t="s">
        <v>5</v>
      </c>
    </row>
    <row r="6727" spans="1:3" ht="15.75" thickBot="1">
      <c r="A6727" s="6" t="s">
        <v>12815</v>
      </c>
      <c r="B6727" s="5" t="s">
        <v>12816</v>
      </c>
      <c r="C6727" s="3" t="s">
        <v>5</v>
      </c>
    </row>
    <row r="6728" spans="1:3" ht="15.75" thickBot="1">
      <c r="A6728" s="6" t="s">
        <v>12817</v>
      </c>
      <c r="B6728" s="5" t="s">
        <v>12818</v>
      </c>
      <c r="C6728" s="3" t="s">
        <v>5</v>
      </c>
    </row>
    <row r="6729" spans="1:3" ht="15.75" thickBot="1">
      <c r="A6729" s="6" t="s">
        <v>12819</v>
      </c>
      <c r="B6729" s="5" t="s">
        <v>12820</v>
      </c>
      <c r="C6729" s="3" t="s">
        <v>5</v>
      </c>
    </row>
    <row r="6730" spans="1:3" ht="15.75" thickBot="1">
      <c r="A6730" s="6" t="s">
        <v>12821</v>
      </c>
      <c r="B6730" s="5" t="s">
        <v>12822</v>
      </c>
      <c r="C6730" s="3" t="s">
        <v>5</v>
      </c>
    </row>
    <row r="6731" spans="1:3" ht="15.75" thickBot="1">
      <c r="A6731" s="6" t="s">
        <v>12823</v>
      </c>
      <c r="B6731" s="5" t="s">
        <v>12824</v>
      </c>
      <c r="C6731" s="3" t="s">
        <v>5</v>
      </c>
    </row>
    <row r="6732" spans="1:3" ht="15.75" thickBot="1">
      <c r="A6732" s="6" t="s">
        <v>12825</v>
      </c>
      <c r="B6732" s="5" t="s">
        <v>12826</v>
      </c>
      <c r="C6732" s="3" t="s">
        <v>5</v>
      </c>
    </row>
    <row r="6733" spans="1:3" ht="15.75" thickBot="1">
      <c r="A6733" s="6" t="s">
        <v>12827</v>
      </c>
      <c r="B6733" s="5" t="s">
        <v>12828</v>
      </c>
      <c r="C6733" s="3" t="s">
        <v>5</v>
      </c>
    </row>
    <row r="6734" spans="1:3" ht="15.75" thickBot="1">
      <c r="A6734" s="6" t="s">
        <v>12829</v>
      </c>
      <c r="B6734" s="5" t="s">
        <v>12830</v>
      </c>
      <c r="C6734" s="3" t="s">
        <v>5</v>
      </c>
    </row>
    <row r="6735" spans="1:3" ht="15.75" thickBot="1">
      <c r="A6735" s="6" t="s">
        <v>12831</v>
      </c>
      <c r="B6735" s="5" t="s">
        <v>12832</v>
      </c>
      <c r="C6735" s="3" t="s">
        <v>5</v>
      </c>
    </row>
    <row r="6736" spans="1:3" ht="15.75" thickBot="1">
      <c r="A6736" s="6" t="s">
        <v>12833</v>
      </c>
      <c r="B6736" s="5" t="s">
        <v>12834</v>
      </c>
      <c r="C6736" s="3" t="s">
        <v>5</v>
      </c>
    </row>
    <row r="6737" spans="1:3" ht="15.75" thickBot="1">
      <c r="A6737" s="6" t="s">
        <v>12835</v>
      </c>
      <c r="B6737" s="5" t="s">
        <v>12836</v>
      </c>
      <c r="C6737" s="3" t="s">
        <v>5</v>
      </c>
    </row>
    <row r="6738" spans="1:3" ht="15.75" thickBot="1">
      <c r="A6738" s="6" t="s">
        <v>12837</v>
      </c>
      <c r="B6738" s="5" t="s">
        <v>12838</v>
      </c>
      <c r="C6738" s="3" t="s">
        <v>5</v>
      </c>
    </row>
    <row r="6739" spans="1:3" ht="15.75" thickBot="1">
      <c r="A6739" s="6" t="s">
        <v>12839</v>
      </c>
      <c r="B6739" s="5" t="s">
        <v>12840</v>
      </c>
      <c r="C6739" s="3" t="s">
        <v>5</v>
      </c>
    </row>
    <row r="6740" spans="1:3" ht="15.75" thickBot="1">
      <c r="A6740" s="6" t="s">
        <v>12841</v>
      </c>
      <c r="B6740" s="5" t="s">
        <v>12842</v>
      </c>
      <c r="C6740" s="3" t="s">
        <v>5</v>
      </c>
    </row>
    <row r="6741" spans="1:3" ht="15.75" thickBot="1">
      <c r="A6741" s="6" t="s">
        <v>12843</v>
      </c>
      <c r="B6741" s="5" t="s">
        <v>12844</v>
      </c>
      <c r="C6741" s="3" t="s">
        <v>5</v>
      </c>
    </row>
    <row r="6742" spans="1:3" ht="15.75" thickBot="1">
      <c r="A6742" s="6" t="s">
        <v>12845</v>
      </c>
      <c r="B6742" s="5" t="s">
        <v>12846</v>
      </c>
      <c r="C6742" s="3" t="s">
        <v>5</v>
      </c>
    </row>
    <row r="6743" spans="1:3" ht="15.75" thickBot="1">
      <c r="A6743" s="6" t="s">
        <v>12847</v>
      </c>
      <c r="B6743" s="5" t="s">
        <v>12848</v>
      </c>
      <c r="C6743" s="3" t="s">
        <v>5</v>
      </c>
    </row>
    <row r="6744" spans="1:3" ht="15.75" thickBot="1">
      <c r="A6744" s="6" t="s">
        <v>12849</v>
      </c>
      <c r="B6744" s="5" t="s">
        <v>12850</v>
      </c>
      <c r="C6744" s="3" t="s">
        <v>5</v>
      </c>
    </row>
    <row r="6745" spans="1:3" ht="15.75" thickBot="1">
      <c r="A6745" s="6" t="s">
        <v>12851</v>
      </c>
      <c r="B6745" s="5" t="s">
        <v>12852</v>
      </c>
      <c r="C6745" s="3" t="s">
        <v>5</v>
      </c>
    </row>
    <row r="6746" spans="1:3" ht="15.75" thickBot="1">
      <c r="A6746" s="6" t="s">
        <v>12853</v>
      </c>
      <c r="B6746" s="5" t="s">
        <v>12854</v>
      </c>
      <c r="C6746" s="3" t="s">
        <v>5</v>
      </c>
    </row>
    <row r="6747" spans="1:3" ht="15.75" thickBot="1">
      <c r="A6747" s="6" t="s">
        <v>12855</v>
      </c>
      <c r="B6747" s="5" t="s">
        <v>12856</v>
      </c>
      <c r="C6747" s="3" t="s">
        <v>5</v>
      </c>
    </row>
    <row r="6748" spans="1:3" ht="15.75" thickBot="1">
      <c r="A6748" s="6" t="s">
        <v>12857</v>
      </c>
      <c r="B6748" s="5" t="s">
        <v>12858</v>
      </c>
      <c r="C6748" s="3" t="s">
        <v>5</v>
      </c>
    </row>
    <row r="6749" spans="1:3" ht="15.75" thickBot="1">
      <c r="A6749" s="6" t="s">
        <v>12859</v>
      </c>
      <c r="B6749" s="5" t="s">
        <v>12860</v>
      </c>
      <c r="C6749" s="3" t="s">
        <v>5</v>
      </c>
    </row>
    <row r="6750" spans="1:3" ht="15.75" thickBot="1">
      <c r="A6750" s="6" t="s">
        <v>12861</v>
      </c>
      <c r="B6750" s="5" t="s">
        <v>12862</v>
      </c>
      <c r="C6750" s="3" t="s">
        <v>5</v>
      </c>
    </row>
    <row r="6751" spans="1:3" ht="15.75" thickBot="1">
      <c r="A6751" s="6" t="s">
        <v>12863</v>
      </c>
      <c r="B6751" s="5" t="s">
        <v>12864</v>
      </c>
      <c r="C6751" s="3" t="s">
        <v>5</v>
      </c>
    </row>
    <row r="6752" spans="1:3" ht="15.75" thickBot="1">
      <c r="A6752" s="6" t="s">
        <v>12865</v>
      </c>
      <c r="B6752" s="5" t="s">
        <v>12866</v>
      </c>
      <c r="C6752" s="3" t="s">
        <v>5</v>
      </c>
    </row>
    <row r="6753" spans="1:3" ht="15.75" thickBot="1">
      <c r="A6753" s="6" t="s">
        <v>12867</v>
      </c>
      <c r="B6753" s="5" t="s">
        <v>12868</v>
      </c>
      <c r="C6753" s="3" t="s">
        <v>5</v>
      </c>
    </row>
    <row r="6754" spans="1:3" ht="15.75" thickBot="1">
      <c r="A6754" s="6" t="s">
        <v>12869</v>
      </c>
      <c r="B6754" s="5" t="s">
        <v>12870</v>
      </c>
      <c r="C6754" s="3" t="s">
        <v>5</v>
      </c>
    </row>
    <row r="6755" spans="1:3" ht="15.75" thickBot="1">
      <c r="A6755" s="6" t="s">
        <v>12871</v>
      </c>
      <c r="B6755" s="5" t="s">
        <v>12872</v>
      </c>
      <c r="C6755" s="3" t="s">
        <v>5</v>
      </c>
    </row>
    <row r="6756" spans="1:3" ht="15.75" thickBot="1">
      <c r="A6756" s="6" t="s">
        <v>12873</v>
      </c>
      <c r="B6756" s="5" t="s">
        <v>12874</v>
      </c>
      <c r="C6756" s="3" t="s">
        <v>5</v>
      </c>
    </row>
    <row r="6757" spans="1:3" ht="15.75" thickBot="1">
      <c r="A6757" s="6" t="s">
        <v>12875</v>
      </c>
      <c r="B6757" s="5" t="s">
        <v>12876</v>
      </c>
      <c r="C6757" s="3" t="s">
        <v>5</v>
      </c>
    </row>
    <row r="6758" spans="1:3" ht="15.75" thickBot="1">
      <c r="A6758" s="6" t="s">
        <v>12877</v>
      </c>
      <c r="B6758" s="5" t="s">
        <v>12878</v>
      </c>
      <c r="C6758" s="3" t="s">
        <v>5</v>
      </c>
    </row>
    <row r="6759" spans="1:3" ht="15.75" thickBot="1">
      <c r="A6759" s="6" t="s">
        <v>12879</v>
      </c>
      <c r="B6759" s="5" t="s">
        <v>12880</v>
      </c>
      <c r="C6759" s="3" t="s">
        <v>5</v>
      </c>
    </row>
    <row r="6760" spans="1:3" ht="15.75" thickBot="1">
      <c r="A6760" s="6" t="s">
        <v>12881</v>
      </c>
      <c r="B6760" s="5" t="s">
        <v>4120</v>
      </c>
      <c r="C6760" s="3" t="s">
        <v>5</v>
      </c>
    </row>
    <row r="6761" spans="1:3" ht="15.75" thickBot="1">
      <c r="A6761" s="6" t="s">
        <v>12882</v>
      </c>
      <c r="B6761" s="5" t="s">
        <v>12883</v>
      </c>
      <c r="C6761" s="3" t="s">
        <v>5</v>
      </c>
    </row>
    <row r="6762" spans="1:3">
      <c r="A6762" s="1" t="s">
        <v>12884</v>
      </c>
      <c r="B6762" s="2" t="s">
        <v>12885</v>
      </c>
      <c r="C6762" s="3" t="s">
        <v>5</v>
      </c>
    </row>
    <row r="6763" spans="1:3" ht="15.75" thickBot="1">
      <c r="A6763" s="4"/>
      <c r="B6763" s="5" t="s">
        <v>12886</v>
      </c>
      <c r="C6763" s="3" t="s">
        <v>5</v>
      </c>
    </row>
    <row r="6764" spans="1:3" ht="15.75" thickBot="1">
      <c r="A6764" s="6" t="s">
        <v>12887</v>
      </c>
      <c r="B6764" s="5" t="s">
        <v>12888</v>
      </c>
      <c r="C6764" s="3" t="s">
        <v>5</v>
      </c>
    </row>
    <row r="6765" spans="1:3">
      <c r="A6765" s="1" t="s">
        <v>12889</v>
      </c>
      <c r="B6765" s="2" t="s">
        <v>12890</v>
      </c>
      <c r="C6765" s="3" t="s">
        <v>5</v>
      </c>
    </row>
    <row r="6766" spans="1:3" ht="15.75" thickBot="1">
      <c r="A6766" s="4"/>
      <c r="B6766" s="5" t="s">
        <v>12891</v>
      </c>
      <c r="C6766" s="3" t="s">
        <v>5</v>
      </c>
    </row>
    <row r="6767" spans="1:3" ht="26.25" thickBot="1">
      <c r="A6767" s="6" t="s">
        <v>12889</v>
      </c>
      <c r="B6767" s="5" t="s">
        <v>12892</v>
      </c>
      <c r="C6767" s="3" t="s">
        <v>5</v>
      </c>
    </row>
    <row r="6768" spans="1:3" ht="15.75" thickBot="1">
      <c r="A6768" s="6" t="s">
        <v>12893</v>
      </c>
      <c r="B6768" s="5" t="s">
        <v>12894</v>
      </c>
      <c r="C6768" s="3" t="s">
        <v>5</v>
      </c>
    </row>
    <row r="6769" spans="1:3" ht="15.75" thickBot="1">
      <c r="A6769" s="6" t="s">
        <v>12895</v>
      </c>
      <c r="B6769" s="5" t="s">
        <v>12896</v>
      </c>
      <c r="C6769" s="3" t="s">
        <v>5</v>
      </c>
    </row>
    <row r="6770" spans="1:3" ht="15.75" thickBot="1">
      <c r="A6770" s="6" t="s">
        <v>12897</v>
      </c>
      <c r="B6770" s="5" t="s">
        <v>12890</v>
      </c>
      <c r="C6770" s="3" t="s">
        <v>5</v>
      </c>
    </row>
    <row r="6771" spans="1:3" ht="15.75" thickBot="1">
      <c r="A6771" s="6" t="s">
        <v>12898</v>
      </c>
      <c r="B6771" s="5" t="s">
        <v>12899</v>
      </c>
      <c r="C6771" s="3" t="s">
        <v>5</v>
      </c>
    </row>
    <row r="6772" spans="1:3" ht="15.75" thickBot="1">
      <c r="A6772" s="6" t="s">
        <v>12900</v>
      </c>
      <c r="B6772" s="5" t="s">
        <v>12901</v>
      </c>
      <c r="C6772" s="3" t="s">
        <v>5</v>
      </c>
    </row>
    <row r="6773" spans="1:3" ht="15.75" thickBot="1">
      <c r="A6773" s="6" t="s">
        <v>12902</v>
      </c>
      <c r="B6773" s="5" t="s">
        <v>12903</v>
      </c>
      <c r="C6773" s="3" t="s">
        <v>5</v>
      </c>
    </row>
    <row r="6774" spans="1:3" ht="15.75" thickBot="1">
      <c r="A6774" s="6" t="s">
        <v>12904</v>
      </c>
      <c r="B6774" s="5" t="s">
        <v>12905</v>
      </c>
      <c r="C6774" s="3" t="s">
        <v>5</v>
      </c>
    </row>
    <row r="6775" spans="1:3" ht="15.75" thickBot="1">
      <c r="A6775" s="6" t="s">
        <v>12906</v>
      </c>
      <c r="B6775" s="5" t="s">
        <v>12907</v>
      </c>
      <c r="C6775" s="3" t="s">
        <v>5</v>
      </c>
    </row>
    <row r="6776" spans="1:3" ht="15.75" thickBot="1">
      <c r="A6776" s="6" t="s">
        <v>12908</v>
      </c>
      <c r="B6776" s="5" t="s">
        <v>12909</v>
      </c>
      <c r="C6776" s="3" t="s">
        <v>5</v>
      </c>
    </row>
    <row r="6777" spans="1:3" ht="15.75" thickBot="1">
      <c r="A6777" s="6" t="s">
        <v>12910</v>
      </c>
      <c r="B6777" s="5" t="s">
        <v>12911</v>
      </c>
      <c r="C6777" s="3" t="s">
        <v>5</v>
      </c>
    </row>
    <row r="6778" spans="1:3" ht="15.75" thickBot="1">
      <c r="A6778" s="6" t="s">
        <v>12912</v>
      </c>
      <c r="B6778" s="5" t="s">
        <v>12913</v>
      </c>
      <c r="C6778" s="3" t="s">
        <v>5</v>
      </c>
    </row>
    <row r="6779" spans="1:3" ht="15.75" thickBot="1">
      <c r="A6779" s="6" t="s">
        <v>12914</v>
      </c>
      <c r="B6779" s="5" t="s">
        <v>12915</v>
      </c>
      <c r="C6779" s="3" t="s">
        <v>5</v>
      </c>
    </row>
    <row r="6780" spans="1:3" ht="15.75" thickBot="1">
      <c r="A6780" s="6" t="s">
        <v>12916</v>
      </c>
      <c r="B6780" s="5" t="s">
        <v>12917</v>
      </c>
      <c r="C6780" s="3" t="s">
        <v>5</v>
      </c>
    </row>
    <row r="6781" spans="1:3" ht="15.75" thickBot="1">
      <c r="A6781" s="6" t="s">
        <v>12918</v>
      </c>
      <c r="B6781" s="5" t="s">
        <v>12919</v>
      </c>
      <c r="C6781" s="3" t="s">
        <v>5</v>
      </c>
    </row>
    <row r="6782" spans="1:3" ht="15.75" thickBot="1">
      <c r="A6782" s="6" t="s">
        <v>12920</v>
      </c>
      <c r="B6782" s="5" t="s">
        <v>12921</v>
      </c>
      <c r="C6782" s="3" t="s">
        <v>5</v>
      </c>
    </row>
    <row r="6783" spans="1:3" ht="15.75" thickBot="1">
      <c r="A6783" s="6" t="s">
        <v>12922</v>
      </c>
      <c r="B6783" s="5" t="s">
        <v>12923</v>
      </c>
      <c r="C6783" s="3" t="s">
        <v>5</v>
      </c>
    </row>
    <row r="6784" spans="1:3" ht="15.75" thickBot="1">
      <c r="A6784" s="6" t="s">
        <v>12924</v>
      </c>
      <c r="B6784" s="5" t="s">
        <v>12925</v>
      </c>
      <c r="C6784" s="3" t="s">
        <v>5</v>
      </c>
    </row>
    <row r="6785" spans="1:3" ht="15.75" thickBot="1">
      <c r="A6785" s="6" t="s">
        <v>12926</v>
      </c>
      <c r="B6785" s="5" t="s">
        <v>12927</v>
      </c>
      <c r="C6785" s="3" t="s">
        <v>5</v>
      </c>
    </row>
    <row r="6786" spans="1:3" ht="15.75" thickBot="1">
      <c r="A6786" s="6" t="s">
        <v>12928</v>
      </c>
      <c r="B6786" s="5" t="s">
        <v>12929</v>
      </c>
      <c r="C6786" s="3" t="s">
        <v>5</v>
      </c>
    </row>
    <row r="6787" spans="1:3" ht="15.75" thickBot="1">
      <c r="A6787" s="6" t="s">
        <v>12930</v>
      </c>
      <c r="B6787" s="5" t="s">
        <v>11617</v>
      </c>
      <c r="C6787" s="3" t="s">
        <v>5</v>
      </c>
    </row>
    <row r="6788" spans="1:3" ht="15.75" thickBot="1">
      <c r="A6788" s="6" t="s">
        <v>12931</v>
      </c>
      <c r="B6788" s="5" t="e">
        <f xml:space="preserve"> locking switch</f>
        <v>#NAME?</v>
      </c>
      <c r="C6788" s="3" t="s">
        <v>5</v>
      </c>
    </row>
    <row r="6789" spans="1:3" ht="15.75" thickBot="1">
      <c r="A6789" s="6" t="s">
        <v>12932</v>
      </c>
      <c r="B6789" s="5" t="s">
        <v>12933</v>
      </c>
      <c r="C6789" s="3" t="s">
        <v>5</v>
      </c>
    </row>
    <row r="6790" spans="1:3" ht="15.75" thickBot="1">
      <c r="A6790" s="6" t="s">
        <v>12934</v>
      </c>
      <c r="B6790" s="5" t="e">
        <f xml:space="preserve"> overlap span</f>
        <v>#NAME?</v>
      </c>
      <c r="C6790" s="3" t="s">
        <v>5</v>
      </c>
    </row>
    <row r="6791" spans="1:3" ht="15.75" thickBot="1">
      <c r="A6791" s="6" t="s">
        <v>12935</v>
      </c>
      <c r="B6791" s="5" t="s">
        <v>12936</v>
      </c>
      <c r="C6791" s="3" t="s">
        <v>5</v>
      </c>
    </row>
    <row r="6792" spans="1:3" ht="15.75" thickBot="1">
      <c r="A6792" s="6" t="s">
        <v>12937</v>
      </c>
      <c r="B6792" s="5" t="s">
        <v>12938</v>
      </c>
      <c r="C6792" s="3" t="s">
        <v>5</v>
      </c>
    </row>
    <row r="6793" spans="1:3" ht="15.75" thickBot="1">
      <c r="A6793" s="6" t="s">
        <v>12939</v>
      </c>
      <c r="B6793" s="5" t="s">
        <v>12940</v>
      </c>
      <c r="C6793" s="3" t="s">
        <v>5</v>
      </c>
    </row>
    <row r="6794" spans="1:3" ht="15.75" thickBot="1">
      <c r="A6794" s="6" t="s">
        <v>12941</v>
      </c>
      <c r="B6794" s="5" t="s">
        <v>12942</v>
      </c>
      <c r="C6794" s="3" t="s">
        <v>5</v>
      </c>
    </row>
    <row r="6795" spans="1:3" ht="15.75" thickBot="1">
      <c r="A6795" s="6" t="s">
        <v>12943</v>
      </c>
      <c r="B6795" s="5" t="s">
        <v>12944</v>
      </c>
      <c r="C6795" s="3" t="s">
        <v>5</v>
      </c>
    </row>
    <row r="6796" spans="1:3" ht="15.75" thickBot="1">
      <c r="A6796" s="6" t="s">
        <v>12945</v>
      </c>
      <c r="B6796" s="5" t="s">
        <v>12946</v>
      </c>
      <c r="C6796" s="3" t="s">
        <v>5</v>
      </c>
    </row>
    <row r="6797" spans="1:3" ht="15.75" thickBot="1">
      <c r="A6797" s="6" t="s">
        <v>12947</v>
      </c>
      <c r="B6797" s="5" t="s">
        <v>12948</v>
      </c>
      <c r="C6797" s="3" t="s">
        <v>5</v>
      </c>
    </row>
    <row r="6798" spans="1:3" ht="15.75" thickBot="1">
      <c r="A6798" s="6" t="s">
        <v>12949</v>
      </c>
      <c r="B6798" s="5" t="s">
        <v>12950</v>
      </c>
      <c r="C6798" s="3" t="s">
        <v>5</v>
      </c>
    </row>
    <row r="6799" spans="1:3" ht="15.75" thickBot="1">
      <c r="A6799" s="6" t="s">
        <v>12951</v>
      </c>
      <c r="B6799" s="5" t="s">
        <v>12952</v>
      </c>
      <c r="C6799" s="3" t="s">
        <v>5</v>
      </c>
    </row>
    <row r="6800" spans="1:3" ht="15.75" thickBot="1">
      <c r="A6800" s="6" t="s">
        <v>12953</v>
      </c>
      <c r="B6800" s="5" t="s">
        <v>12954</v>
      </c>
      <c r="C6800" s="3" t="s">
        <v>5</v>
      </c>
    </row>
    <row r="6801" spans="1:3" ht="15.75" thickBot="1">
      <c r="A6801" s="6" t="s">
        <v>12955</v>
      </c>
      <c r="B6801" s="5" t="s">
        <v>12956</v>
      </c>
      <c r="C6801" s="3" t="s">
        <v>5</v>
      </c>
    </row>
    <row r="6802" spans="1:3" ht="15.75" thickBot="1">
      <c r="A6802" s="6" t="s">
        <v>12957</v>
      </c>
      <c r="B6802" s="5" t="s">
        <v>12958</v>
      </c>
      <c r="C6802" s="3" t="s">
        <v>5</v>
      </c>
    </row>
    <row r="6803" spans="1:3" ht="15.75" thickBot="1">
      <c r="A6803" s="6" t="s">
        <v>12959</v>
      </c>
      <c r="B6803" s="5" t="s">
        <v>12960</v>
      </c>
      <c r="C6803" s="3" t="s">
        <v>5</v>
      </c>
    </row>
    <row r="6804" spans="1:3" ht="15.75" thickBot="1">
      <c r="A6804" s="6" t="s">
        <v>12961</v>
      </c>
      <c r="B6804" s="5" t="s">
        <v>12962</v>
      </c>
      <c r="C6804" s="3" t="s">
        <v>5</v>
      </c>
    </row>
    <row r="6805" spans="1:3" ht="15.75" thickBot="1">
      <c r="A6805" s="6" t="s">
        <v>12963</v>
      </c>
      <c r="B6805" s="5" t="s">
        <v>12964</v>
      </c>
      <c r="C6805" s="3" t="s">
        <v>5</v>
      </c>
    </row>
    <row r="6806" spans="1:3" ht="15.75" thickBot="1">
      <c r="A6806" s="6" t="s">
        <v>12965</v>
      </c>
      <c r="B6806" s="5" t="s">
        <v>12966</v>
      </c>
      <c r="C6806" s="3" t="s">
        <v>5</v>
      </c>
    </row>
    <row r="6807" spans="1:3" ht="15.75" thickBot="1">
      <c r="A6807" s="6" t="s">
        <v>12967</v>
      </c>
      <c r="B6807" s="5" t="s">
        <v>12968</v>
      </c>
      <c r="C6807" s="3" t="s">
        <v>5</v>
      </c>
    </row>
    <row r="6808" spans="1:3" ht="15.75" thickBot="1">
      <c r="A6808" s="6" t="s">
        <v>12969</v>
      </c>
      <c r="B6808" s="5" t="s">
        <v>12970</v>
      </c>
      <c r="C6808" s="3" t="s">
        <v>5</v>
      </c>
    </row>
    <row r="6809" spans="1:3" ht="15.75" thickBot="1">
      <c r="A6809" s="6" t="s">
        <v>12971</v>
      </c>
      <c r="B6809" s="5" t="s">
        <v>12972</v>
      </c>
      <c r="C6809" s="3" t="s">
        <v>5</v>
      </c>
    </row>
    <row r="6810" spans="1:3" ht="15.75" thickBot="1">
      <c r="A6810" s="6" t="s">
        <v>12973</v>
      </c>
      <c r="B6810" s="5" t="s">
        <v>12974</v>
      </c>
      <c r="C6810" s="3" t="s">
        <v>5</v>
      </c>
    </row>
    <row r="6811" spans="1:3" ht="15.75" thickBot="1">
      <c r="A6811" s="6" t="s">
        <v>12975</v>
      </c>
      <c r="B6811" s="5" t="s">
        <v>12976</v>
      </c>
      <c r="C6811" s="3" t="s">
        <v>5</v>
      </c>
    </row>
    <row r="6812" spans="1:3" ht="15.75" thickBot="1">
      <c r="A6812" s="6" t="s">
        <v>12977</v>
      </c>
      <c r="B6812" s="5" t="s">
        <v>12978</v>
      </c>
      <c r="C6812" s="3" t="s">
        <v>5</v>
      </c>
    </row>
    <row r="6813" spans="1:3" ht="15.75" thickBot="1">
      <c r="A6813" s="6" t="s">
        <v>12979</v>
      </c>
      <c r="B6813" s="5" t="s">
        <v>12980</v>
      </c>
      <c r="C6813" s="3" t="s">
        <v>5</v>
      </c>
    </row>
    <row r="6814" spans="1:3" ht="15.75" thickBot="1">
      <c r="A6814" s="6" t="s">
        <v>12981</v>
      </c>
      <c r="B6814" s="5" t="s">
        <v>12982</v>
      </c>
      <c r="C6814" s="3" t="s">
        <v>5</v>
      </c>
    </row>
    <row r="6815" spans="1:3" ht="15.75" thickBot="1">
      <c r="A6815" s="6" t="s">
        <v>12983</v>
      </c>
      <c r="B6815" s="5" t="s">
        <v>12984</v>
      </c>
      <c r="C6815" s="3" t="s">
        <v>5</v>
      </c>
    </row>
    <row r="6816" spans="1:3" ht="15.75" thickBot="1">
      <c r="A6816" s="6" t="s">
        <v>12985</v>
      </c>
      <c r="B6816" s="5" t="s">
        <v>12986</v>
      </c>
      <c r="C6816" s="3" t="s">
        <v>5</v>
      </c>
    </row>
    <row r="6817" spans="1:3" ht="15.75" thickBot="1">
      <c r="A6817" s="6" t="s">
        <v>12987</v>
      </c>
      <c r="B6817" s="5" t="s">
        <v>12988</v>
      </c>
      <c r="C6817" s="3" t="s">
        <v>5</v>
      </c>
    </row>
    <row r="6818" spans="1:3" ht="15.75" thickBot="1">
      <c r="A6818" s="6" t="s">
        <v>12989</v>
      </c>
      <c r="B6818" s="5" t="s">
        <v>12990</v>
      </c>
      <c r="C6818" s="3" t="s">
        <v>5</v>
      </c>
    </row>
    <row r="6819" spans="1:3" ht="15.75" thickBot="1">
      <c r="A6819" s="6" t="s">
        <v>12991</v>
      </c>
      <c r="B6819" s="5" t="s">
        <v>12992</v>
      </c>
      <c r="C6819" s="3" t="s">
        <v>5</v>
      </c>
    </row>
    <row r="6820" spans="1:3" ht="15.75" thickBot="1">
      <c r="A6820" s="6" t="s">
        <v>12993</v>
      </c>
      <c r="B6820" s="5" t="s">
        <v>12994</v>
      </c>
      <c r="C6820" s="3" t="s">
        <v>5</v>
      </c>
    </row>
    <row r="6821" spans="1:3" ht="15.75" thickBot="1">
      <c r="A6821" s="6" t="s">
        <v>12995</v>
      </c>
      <c r="B6821" s="5" t="s">
        <v>12996</v>
      </c>
      <c r="C6821" s="3" t="s">
        <v>5</v>
      </c>
    </row>
    <row r="6822" spans="1:3" ht="15.75" thickBot="1">
      <c r="A6822" s="6" t="s">
        <v>12997</v>
      </c>
      <c r="B6822" s="5" t="s">
        <v>12998</v>
      </c>
      <c r="C6822" s="3" t="s">
        <v>5</v>
      </c>
    </row>
    <row r="6823" spans="1:3" ht="15.75" thickBot="1">
      <c r="A6823" s="6" t="s">
        <v>12999</v>
      </c>
      <c r="B6823" s="5" t="s">
        <v>13000</v>
      </c>
      <c r="C6823" s="3" t="s">
        <v>5</v>
      </c>
    </row>
    <row r="6824" spans="1:3" ht="15.75" thickBot="1">
      <c r="A6824" s="6" t="s">
        <v>13001</v>
      </c>
      <c r="B6824" s="5" t="s">
        <v>13002</v>
      </c>
      <c r="C6824" s="3" t="s">
        <v>5</v>
      </c>
    </row>
    <row r="6825" spans="1:3" ht="15.75" thickBot="1">
      <c r="A6825" s="6" t="s">
        <v>13003</v>
      </c>
      <c r="B6825" s="5" t="s">
        <v>13004</v>
      </c>
      <c r="C6825" s="3" t="s">
        <v>5</v>
      </c>
    </row>
    <row r="6826" spans="1:3" ht="15.75" thickBot="1">
      <c r="A6826" s="6" t="s">
        <v>13005</v>
      </c>
      <c r="B6826" s="5" t="s">
        <v>13006</v>
      </c>
      <c r="C6826" s="3" t="s">
        <v>5</v>
      </c>
    </row>
    <row r="6827" spans="1:3" ht="15.75" thickBot="1">
      <c r="A6827" s="6" t="s">
        <v>13007</v>
      </c>
      <c r="B6827" s="5" t="s">
        <v>13008</v>
      </c>
      <c r="C6827" s="3" t="s">
        <v>5</v>
      </c>
    </row>
    <row r="6828" spans="1:3" ht="15.75" thickBot="1">
      <c r="A6828" s="6" t="s">
        <v>13009</v>
      </c>
      <c r="B6828" s="5" t="s">
        <v>13010</v>
      </c>
      <c r="C6828" s="3" t="s">
        <v>5</v>
      </c>
    </row>
    <row r="6829" spans="1:3" ht="15.75" thickBot="1">
      <c r="A6829" s="6" t="s">
        <v>13011</v>
      </c>
      <c r="B6829" s="5" t="s">
        <v>13012</v>
      </c>
      <c r="C6829" s="3" t="s">
        <v>5</v>
      </c>
    </row>
    <row r="6830" spans="1:3" ht="15.75" thickBot="1">
      <c r="A6830" s="6" t="s">
        <v>13013</v>
      </c>
      <c r="B6830" s="5" t="s">
        <v>13014</v>
      </c>
      <c r="C6830" s="3" t="s">
        <v>5</v>
      </c>
    </row>
    <row r="6831" spans="1:3" ht="15.75" thickBot="1">
      <c r="A6831" s="6" t="s">
        <v>13015</v>
      </c>
      <c r="B6831" s="5" t="s">
        <v>13016</v>
      </c>
      <c r="C6831" s="3" t="s">
        <v>5</v>
      </c>
    </row>
    <row r="6832" spans="1:3" ht="15.75" thickBot="1">
      <c r="A6832" s="6" t="s">
        <v>13017</v>
      </c>
      <c r="B6832" s="5" t="s">
        <v>13018</v>
      </c>
      <c r="C6832" s="3" t="s">
        <v>5</v>
      </c>
    </row>
    <row r="6833" spans="1:3" ht="15.75" thickBot="1">
      <c r="A6833" s="6" t="s">
        <v>13019</v>
      </c>
      <c r="B6833" s="5" t="s">
        <v>13020</v>
      </c>
      <c r="C6833" s="3" t="s">
        <v>5</v>
      </c>
    </row>
    <row r="6834" spans="1:3" ht="15.75" thickBot="1">
      <c r="A6834" s="6" t="s">
        <v>13021</v>
      </c>
      <c r="B6834" s="5" t="s">
        <v>13022</v>
      </c>
      <c r="C6834" s="3" t="s">
        <v>5</v>
      </c>
    </row>
    <row r="6835" spans="1:3" ht="15.75" thickBot="1">
      <c r="A6835" s="6" t="s">
        <v>13023</v>
      </c>
      <c r="B6835" s="5" t="s">
        <v>13024</v>
      </c>
      <c r="C6835" s="3" t="s">
        <v>5</v>
      </c>
    </row>
    <row r="6836" spans="1:3" ht="15.75" thickBot="1">
      <c r="A6836" s="6" t="s">
        <v>13025</v>
      </c>
      <c r="B6836" s="5" t="s">
        <v>13026</v>
      </c>
      <c r="C6836" s="3" t="s">
        <v>5</v>
      </c>
    </row>
    <row r="6837" spans="1:3" ht="15.75" thickBot="1">
      <c r="A6837" s="6" t="s">
        <v>13027</v>
      </c>
      <c r="B6837" s="5" t="s">
        <v>13028</v>
      </c>
      <c r="C6837" s="3" t="s">
        <v>5</v>
      </c>
    </row>
    <row r="6838" spans="1:3" ht="15.75" thickBot="1">
      <c r="A6838" s="6" t="s">
        <v>13029</v>
      </c>
      <c r="B6838" s="5" t="s">
        <v>13030</v>
      </c>
      <c r="C6838" s="3" t="s">
        <v>5</v>
      </c>
    </row>
    <row r="6839" spans="1:3" ht="15.75" thickBot="1">
      <c r="A6839" s="6" t="s">
        <v>13031</v>
      </c>
      <c r="B6839" s="5" t="s">
        <v>13032</v>
      </c>
      <c r="C6839" s="3" t="s">
        <v>5</v>
      </c>
    </row>
    <row r="6840" spans="1:3" ht="15.75" thickBot="1">
      <c r="A6840" s="6" t="s">
        <v>13033</v>
      </c>
      <c r="B6840" s="5" t="s">
        <v>13034</v>
      </c>
      <c r="C6840" s="3" t="s">
        <v>5</v>
      </c>
    </row>
    <row r="6841" spans="1:3" ht="15.75" thickBot="1">
      <c r="A6841" s="6" t="s">
        <v>13035</v>
      </c>
      <c r="B6841" s="5" t="s">
        <v>13036</v>
      </c>
      <c r="C6841" s="3" t="s">
        <v>5</v>
      </c>
    </row>
    <row r="6842" spans="1:3" ht="15.75" thickBot="1">
      <c r="A6842" s="6" t="s">
        <v>13037</v>
      </c>
      <c r="B6842" s="5" t="s">
        <v>13038</v>
      </c>
      <c r="C6842" s="3" t="s">
        <v>5</v>
      </c>
    </row>
    <row r="6843" spans="1:3" ht="15.75" thickBot="1">
      <c r="A6843" s="6" t="s">
        <v>13039</v>
      </c>
      <c r="B6843" s="5" t="s">
        <v>13040</v>
      </c>
      <c r="C6843" s="3" t="s">
        <v>5</v>
      </c>
    </row>
    <row r="6844" spans="1:3" ht="15.75" thickBot="1">
      <c r="A6844" s="6" t="s">
        <v>13039</v>
      </c>
      <c r="B6844" s="5" t="s">
        <v>13041</v>
      </c>
      <c r="C6844" s="3" t="s">
        <v>5</v>
      </c>
    </row>
    <row r="6845" spans="1:3" ht="15.75" thickBot="1">
      <c r="A6845" s="6" t="s">
        <v>13042</v>
      </c>
      <c r="B6845" s="5" t="s">
        <v>13043</v>
      </c>
      <c r="C6845" s="3" t="s">
        <v>5</v>
      </c>
    </row>
    <row r="6846" spans="1:3" ht="15.75" thickBot="1">
      <c r="A6846" s="6" t="s">
        <v>13044</v>
      </c>
      <c r="B6846" s="5" t="e">
        <f xml:space="preserve"> synchro</f>
        <v>#NAME?</v>
      </c>
      <c r="C6846" s="3" t="s">
        <v>5</v>
      </c>
    </row>
    <row r="6847" spans="1:3" ht="15.75" thickBot="1">
      <c r="A6847" s="6" t="s">
        <v>13045</v>
      </c>
      <c r="B6847" s="5" t="s">
        <v>13046</v>
      </c>
      <c r="C6847" s="3" t="s">
        <v>5</v>
      </c>
    </row>
    <row r="6848" spans="1:3" ht="15.75" thickBot="1">
      <c r="A6848" s="6" t="s">
        <v>13047</v>
      </c>
      <c r="B6848" s="5" t="s">
        <v>13048</v>
      </c>
      <c r="C6848" s="3" t="s">
        <v>5</v>
      </c>
    </row>
    <row r="6849" spans="1:3" ht="15.75" thickBot="1">
      <c r="A6849" s="6" t="s">
        <v>13049</v>
      </c>
      <c r="B6849" s="5" t="s">
        <v>13050</v>
      </c>
      <c r="C6849" s="3" t="s">
        <v>5</v>
      </c>
    </row>
    <row r="6850" spans="1:3" ht="15.75" thickBot="1">
      <c r="A6850" s="6" t="s">
        <v>13051</v>
      </c>
      <c r="B6850" s="5" t="s">
        <v>13052</v>
      </c>
      <c r="C6850" s="3" t="s">
        <v>5</v>
      </c>
    </row>
    <row r="6851" spans="1:3" ht="15.75" thickBot="1">
      <c r="A6851" s="6" t="s">
        <v>13053</v>
      </c>
      <c r="B6851" s="5" t="s">
        <v>13054</v>
      </c>
      <c r="C6851" s="3" t="s">
        <v>5</v>
      </c>
    </row>
    <row r="6852" spans="1:3">
      <c r="A6852" s="1" t="s">
        <v>13055</v>
      </c>
      <c r="B6852" s="2" t="s">
        <v>13056</v>
      </c>
      <c r="C6852" s="3" t="s">
        <v>5</v>
      </c>
    </row>
    <row r="6853" spans="1:3" ht="26.25" thickBot="1">
      <c r="A6853" s="4"/>
      <c r="B6853" s="5" t="s">
        <v>13057</v>
      </c>
      <c r="C6853" s="3" t="s">
        <v>5</v>
      </c>
    </row>
    <row r="6854" spans="1:3" ht="15.75" thickBot="1">
      <c r="A6854" s="6" t="s">
        <v>13058</v>
      </c>
      <c r="B6854" s="5" t="s">
        <v>13059</v>
      </c>
      <c r="C6854" s="3" t="s">
        <v>5</v>
      </c>
    </row>
    <row r="6855" spans="1:3" ht="15.75" thickBot="1">
      <c r="A6855" s="6" t="s">
        <v>13060</v>
      </c>
      <c r="B6855" s="5" t="s">
        <v>13061</v>
      </c>
      <c r="C6855" s="3" t="s">
        <v>5</v>
      </c>
    </row>
    <row r="6856" spans="1:3" ht="15.75" thickBot="1">
      <c r="A6856" s="6" t="s">
        <v>13062</v>
      </c>
      <c r="B6856" s="5" t="s">
        <v>13063</v>
      </c>
      <c r="C6856" s="3" t="s">
        <v>5</v>
      </c>
    </row>
    <row r="6857" spans="1:3" ht="15.75" thickBot="1">
      <c r="A6857" s="6" t="s">
        <v>13064</v>
      </c>
      <c r="B6857" s="5" t="s">
        <v>13065</v>
      </c>
      <c r="C6857" s="3" t="s">
        <v>5</v>
      </c>
    </row>
    <row r="6858" spans="1:3" ht="15.75" thickBot="1">
      <c r="A6858" s="6" t="s">
        <v>13066</v>
      </c>
      <c r="B6858" s="5" t="s">
        <v>13067</v>
      </c>
      <c r="C6858" s="3" t="s">
        <v>5</v>
      </c>
    </row>
    <row r="6859" spans="1:3" ht="15.75" thickBot="1">
      <c r="A6859" s="6" t="s">
        <v>13068</v>
      </c>
      <c r="B6859" s="5" t="s">
        <v>13069</v>
      </c>
      <c r="C6859" s="3" t="s">
        <v>5</v>
      </c>
    </row>
    <row r="6860" spans="1:3" ht="15.75" thickBot="1">
      <c r="A6860" s="6" t="s">
        <v>13070</v>
      </c>
      <c r="B6860" s="5" t="s">
        <v>13071</v>
      </c>
      <c r="C6860" s="3" t="s">
        <v>5</v>
      </c>
    </row>
    <row r="6861" spans="1:3" ht="15.75" thickBot="1">
      <c r="A6861" s="6" t="s">
        <v>13072</v>
      </c>
      <c r="B6861" s="5" t="s">
        <v>13073</v>
      </c>
      <c r="C6861" s="3" t="s">
        <v>5</v>
      </c>
    </row>
    <row r="6862" spans="1:3" ht="15.75" thickBot="1">
      <c r="A6862" s="6" t="s">
        <v>13074</v>
      </c>
      <c r="B6862" s="5" t="s">
        <v>13075</v>
      </c>
      <c r="C6862" s="3" t="s">
        <v>5</v>
      </c>
    </row>
    <row r="6863" spans="1:3" ht="15.75" thickBot="1">
      <c r="A6863" s="6" t="s">
        <v>13076</v>
      </c>
      <c r="B6863" s="5" t="s">
        <v>13077</v>
      </c>
      <c r="C6863" s="3" t="s">
        <v>5</v>
      </c>
    </row>
    <row r="6864" spans="1:3" ht="15.75" thickBot="1">
      <c r="A6864" s="6" t="s">
        <v>13078</v>
      </c>
      <c r="B6864" s="5" t="s">
        <v>13079</v>
      </c>
      <c r="C6864" s="3" t="s">
        <v>5</v>
      </c>
    </row>
    <row r="6865" spans="1:3" ht="15.75" thickBot="1">
      <c r="A6865" s="6" t="s">
        <v>13080</v>
      </c>
      <c r="B6865" s="5" t="s">
        <v>13081</v>
      </c>
      <c r="C6865" s="3" t="s">
        <v>5</v>
      </c>
    </row>
    <row r="6866" spans="1:3" ht="15.75" thickBot="1">
      <c r="A6866" s="6" t="s">
        <v>13082</v>
      </c>
      <c r="B6866" s="5" t="s">
        <v>13083</v>
      </c>
      <c r="C6866" s="3" t="s">
        <v>5</v>
      </c>
    </row>
    <row r="6867" spans="1:3" ht="15.75" thickBot="1">
      <c r="A6867" s="6" t="s">
        <v>13084</v>
      </c>
      <c r="B6867" s="5" t="s">
        <v>13085</v>
      </c>
      <c r="C6867" s="3" t="s">
        <v>5</v>
      </c>
    </row>
    <row r="6868" spans="1:3" ht="15.75" thickBot="1">
      <c r="A6868" s="6" t="s">
        <v>13086</v>
      </c>
      <c r="B6868" s="5" t="s">
        <v>13087</v>
      </c>
      <c r="C6868" s="3" t="s">
        <v>5</v>
      </c>
    </row>
    <row r="6869" spans="1:3" ht="15.75" thickBot="1">
      <c r="A6869" s="6" t="s">
        <v>13088</v>
      </c>
      <c r="B6869" s="5" t="s">
        <v>13089</v>
      </c>
      <c r="C6869" s="3" t="s">
        <v>5</v>
      </c>
    </row>
    <row r="6870" spans="1:3" ht="15.75" thickBot="1">
      <c r="A6870" s="6" t="s">
        <v>13090</v>
      </c>
      <c r="B6870" s="5" t="s">
        <v>13091</v>
      </c>
      <c r="C6870" s="3" t="s">
        <v>5</v>
      </c>
    </row>
    <row r="6871" spans="1:3" ht="15.75" thickBot="1">
      <c r="A6871" s="6" t="s">
        <v>13092</v>
      </c>
      <c r="B6871" s="5" t="s">
        <v>13093</v>
      </c>
      <c r="C6871" s="3" t="s">
        <v>5</v>
      </c>
    </row>
    <row r="6872" spans="1:3" ht="15.75" thickBot="1">
      <c r="A6872" s="6" t="s">
        <v>13094</v>
      </c>
      <c r="B6872" s="5" t="s">
        <v>13095</v>
      </c>
      <c r="C6872" s="3" t="s">
        <v>5</v>
      </c>
    </row>
    <row r="6873" spans="1:3" ht="15.75" thickBot="1">
      <c r="A6873" s="6" t="s">
        <v>13096</v>
      </c>
      <c r="B6873" s="5" t="s">
        <v>13097</v>
      </c>
      <c r="C6873" s="3" t="s">
        <v>5</v>
      </c>
    </row>
    <row r="6874" spans="1:3" ht="15.75" thickBot="1">
      <c r="A6874" s="6" t="s">
        <v>13098</v>
      </c>
      <c r="B6874" s="5" t="s">
        <v>13099</v>
      </c>
      <c r="C6874" s="3" t="s">
        <v>5</v>
      </c>
    </row>
    <row r="6875" spans="1:3" ht="15.75" thickBot="1">
      <c r="A6875" s="6" t="s">
        <v>13100</v>
      </c>
      <c r="B6875" s="5" t="s">
        <v>13101</v>
      </c>
      <c r="C6875" s="3" t="s">
        <v>5</v>
      </c>
    </row>
    <row r="6876" spans="1:3" ht="15.75" thickBot="1">
      <c r="A6876" s="6" t="s">
        <v>13102</v>
      </c>
      <c r="B6876" s="5" t="s">
        <v>13103</v>
      </c>
      <c r="C6876" s="3" t="s">
        <v>5</v>
      </c>
    </row>
    <row r="6877" spans="1:3" ht="15.75" thickBot="1">
      <c r="A6877" s="6" t="s">
        <v>13104</v>
      </c>
      <c r="B6877" s="5" t="s">
        <v>13105</v>
      </c>
      <c r="C6877" s="3" t="s">
        <v>5</v>
      </c>
    </row>
    <row r="6878" spans="1:3" ht="15.75" thickBot="1">
      <c r="A6878" s="6" t="s">
        <v>13106</v>
      </c>
      <c r="B6878" s="5" t="s">
        <v>13107</v>
      </c>
      <c r="C6878" s="3" t="s">
        <v>5</v>
      </c>
    </row>
    <row r="6879" spans="1:3" ht="15.75" thickBot="1">
      <c r="A6879" s="6" t="s">
        <v>13108</v>
      </c>
      <c r="B6879" s="5" t="s">
        <v>13109</v>
      </c>
      <c r="C6879" s="3" t="s">
        <v>5</v>
      </c>
    </row>
    <row r="6880" spans="1:3" ht="15.75" thickBot="1">
      <c r="A6880" s="6" t="s">
        <v>13110</v>
      </c>
      <c r="B6880" s="5" t="s">
        <v>13111</v>
      </c>
      <c r="C6880" s="3" t="s">
        <v>5</v>
      </c>
    </row>
    <row r="6881" spans="1:3" ht="15.75" thickBot="1">
      <c r="A6881" s="6" t="s">
        <v>13112</v>
      </c>
      <c r="B6881" s="5" t="s">
        <v>13113</v>
      </c>
      <c r="C6881" s="3" t="s">
        <v>5</v>
      </c>
    </row>
    <row r="6882" spans="1:3" ht="15.75" thickBot="1">
      <c r="A6882" s="6" t="s">
        <v>13114</v>
      </c>
      <c r="B6882" s="5" t="e">
        <f xml:space="preserve"> separator circuit</f>
        <v>#NAME?</v>
      </c>
      <c r="C6882" s="3" t="s">
        <v>5</v>
      </c>
    </row>
    <row r="6883" spans="1:3" ht="15.75" thickBot="1">
      <c r="A6883" s="6" t="s">
        <v>13115</v>
      </c>
      <c r="B6883" s="5" t="s">
        <v>13116</v>
      </c>
      <c r="C6883" s="3" t="s">
        <v>5</v>
      </c>
    </row>
    <row r="6884" spans="1:3">
      <c r="A6884" s="1" t="s">
        <v>13117</v>
      </c>
      <c r="B6884" s="2" t="s">
        <v>13118</v>
      </c>
      <c r="C6884" s="3" t="s">
        <v>5</v>
      </c>
    </row>
    <row r="6885" spans="1:3" ht="15.75" thickBot="1">
      <c r="A6885" s="4"/>
      <c r="B6885" s="5" t="s">
        <v>13119</v>
      </c>
      <c r="C6885" s="3" t="s">
        <v>5</v>
      </c>
    </row>
    <row r="6886" spans="1:3" ht="15.75" thickBot="1">
      <c r="A6886" s="6" t="s">
        <v>13120</v>
      </c>
      <c r="B6886" s="5" t="s">
        <v>13121</v>
      </c>
      <c r="C6886" s="3" t="s">
        <v>5</v>
      </c>
    </row>
    <row r="6887" spans="1:3" ht="15.75" thickBot="1">
      <c r="A6887" s="6" t="s">
        <v>13120</v>
      </c>
      <c r="B6887" s="5" t="s">
        <v>13122</v>
      </c>
      <c r="C6887" s="3" t="s">
        <v>5</v>
      </c>
    </row>
    <row r="6888" spans="1:3" ht="15.75" thickBot="1">
      <c r="A6888" s="6" t="s">
        <v>13123</v>
      </c>
      <c r="B6888" s="5" t="s">
        <v>13124</v>
      </c>
      <c r="C6888" s="3" t="s">
        <v>5</v>
      </c>
    </row>
    <row r="6889" spans="1:3" ht="15.75" thickBot="1">
      <c r="A6889" s="6" t="s">
        <v>13125</v>
      </c>
      <c r="B6889" s="5" t="s">
        <v>13126</v>
      </c>
      <c r="C6889" s="3" t="s">
        <v>5</v>
      </c>
    </row>
    <row r="6890" spans="1:3" ht="15.75" thickBot="1">
      <c r="A6890" s="6" t="s">
        <v>13127</v>
      </c>
      <c r="B6890" s="5" t="s">
        <v>13128</v>
      </c>
      <c r="C6890" s="3" t="s">
        <v>5</v>
      </c>
    </row>
    <row r="6891" spans="1:3" ht="15.75" thickBot="1">
      <c r="A6891" s="6" t="s">
        <v>13129</v>
      </c>
      <c r="B6891" s="5" t="s">
        <v>13130</v>
      </c>
      <c r="C6891" s="3" t="s">
        <v>5</v>
      </c>
    </row>
    <row r="6892" spans="1:3" ht="15.75" thickBot="1">
      <c r="A6892" s="6" t="s">
        <v>13131</v>
      </c>
      <c r="B6892" s="5" t="s">
        <v>13132</v>
      </c>
      <c r="C6892" s="3" t="s">
        <v>5</v>
      </c>
    </row>
    <row r="6893" spans="1:3">
      <c r="A6893" s="1" t="s">
        <v>13133</v>
      </c>
      <c r="B6893" s="2" t="s">
        <v>13134</v>
      </c>
      <c r="C6893" s="3" t="s">
        <v>5</v>
      </c>
    </row>
    <row r="6894" spans="1:3" ht="15.75" thickBot="1">
      <c r="A6894" s="4"/>
      <c r="B6894" s="5" t="s">
        <v>13135</v>
      </c>
      <c r="C6894" s="3" t="s">
        <v>5</v>
      </c>
    </row>
    <row r="6895" spans="1:3" ht="15.75" thickBot="1">
      <c r="A6895" s="6" t="s">
        <v>13136</v>
      </c>
      <c r="B6895" s="5" t="s">
        <v>13137</v>
      </c>
      <c r="C6895" s="3" t="s">
        <v>5</v>
      </c>
    </row>
    <row r="6896" spans="1:3" ht="15.75" thickBot="1">
      <c r="A6896" s="6" t="s">
        <v>13138</v>
      </c>
      <c r="B6896" s="5" t="s">
        <v>13139</v>
      </c>
      <c r="C6896" s="3" t="s">
        <v>5</v>
      </c>
    </row>
    <row r="6897" spans="1:3" ht="15.75" thickBot="1">
      <c r="A6897" s="6" t="s">
        <v>13140</v>
      </c>
      <c r="B6897" s="5" t="s">
        <v>13141</v>
      </c>
      <c r="C6897" s="3" t="s">
        <v>5</v>
      </c>
    </row>
    <row r="6898" spans="1:3" ht="15.75" thickBot="1">
      <c r="A6898" s="6" t="s">
        <v>13142</v>
      </c>
      <c r="B6898" s="5" t="s">
        <v>13143</v>
      </c>
      <c r="C6898" s="3" t="s">
        <v>5</v>
      </c>
    </row>
    <row r="6899" spans="1:3" ht="15.75" thickBot="1">
      <c r="A6899" s="6" t="s">
        <v>13144</v>
      </c>
      <c r="B6899" s="5" t="s">
        <v>13145</v>
      </c>
      <c r="C6899" s="3" t="s">
        <v>5</v>
      </c>
    </row>
    <row r="6900" spans="1:3" ht="15.75" thickBot="1">
      <c r="A6900" s="6" t="s">
        <v>13146</v>
      </c>
      <c r="B6900" s="5" t="s">
        <v>13147</v>
      </c>
      <c r="C6900" s="3" t="s">
        <v>5</v>
      </c>
    </row>
    <row r="6901" spans="1:3" ht="15.75" thickBot="1">
      <c r="A6901" s="6" t="s">
        <v>13148</v>
      </c>
      <c r="B6901" s="5" t="s">
        <v>13149</v>
      </c>
      <c r="C6901" s="3" t="s">
        <v>5</v>
      </c>
    </row>
    <row r="6902" spans="1:3" ht="15.75" thickBot="1">
      <c r="A6902" s="6" t="s">
        <v>13150</v>
      </c>
      <c r="B6902" s="5" t="s">
        <v>13151</v>
      </c>
      <c r="C6902" s="3" t="s">
        <v>5</v>
      </c>
    </row>
    <row r="6903" spans="1:3" ht="15.75" thickBot="1">
      <c r="A6903" s="6" t="s">
        <v>13152</v>
      </c>
      <c r="B6903" s="5" t="s">
        <v>13153</v>
      </c>
      <c r="C6903" s="3" t="s">
        <v>5</v>
      </c>
    </row>
    <row r="6904" spans="1:3" ht="15.75" thickBot="1">
      <c r="A6904" s="6" t="s">
        <v>13154</v>
      </c>
      <c r="B6904" s="5" t="s">
        <v>13155</v>
      </c>
      <c r="C6904" s="3" t="s">
        <v>5</v>
      </c>
    </row>
    <row r="6905" spans="1:3" ht="15.75" thickBot="1">
      <c r="A6905" s="6" t="s">
        <v>13156</v>
      </c>
      <c r="B6905" s="5" t="s">
        <v>13157</v>
      </c>
      <c r="C6905" s="3" t="s">
        <v>5</v>
      </c>
    </row>
    <row r="6906" spans="1:3" ht="15.75" thickBot="1">
      <c r="A6906" s="6" t="s">
        <v>13158</v>
      </c>
      <c r="B6906" s="5" t="s">
        <v>13159</v>
      </c>
      <c r="C6906" s="3" t="s">
        <v>5</v>
      </c>
    </row>
    <row r="6907" spans="1:3" ht="15.75" thickBot="1">
      <c r="A6907" s="6" t="s">
        <v>13160</v>
      </c>
      <c r="B6907" s="5" t="s">
        <v>13161</v>
      </c>
      <c r="C6907" s="3" t="s">
        <v>5</v>
      </c>
    </row>
    <row r="6908" spans="1:3" ht="15.75" thickBot="1">
      <c r="A6908" s="6" t="s">
        <v>13162</v>
      </c>
      <c r="B6908" s="5" t="s">
        <v>13163</v>
      </c>
      <c r="C6908" s="3" t="s">
        <v>5</v>
      </c>
    </row>
    <row r="6909" spans="1:3" ht="15.75" thickBot="1">
      <c r="A6909" s="6" t="s">
        <v>13164</v>
      </c>
      <c r="B6909" s="5" t="s">
        <v>13165</v>
      </c>
      <c r="C6909" s="3" t="s">
        <v>5</v>
      </c>
    </row>
    <row r="6910" spans="1:3" ht="15.75" thickBot="1">
      <c r="A6910" s="6" t="s">
        <v>13166</v>
      </c>
      <c r="B6910" s="5" t="s">
        <v>13167</v>
      </c>
      <c r="C6910" s="3" t="s">
        <v>5</v>
      </c>
    </row>
    <row r="6911" spans="1:3" ht="15.75" thickBot="1">
      <c r="A6911" s="6" t="s">
        <v>13168</v>
      </c>
      <c r="B6911" s="5" t="s">
        <v>13169</v>
      </c>
      <c r="C6911" s="3" t="s">
        <v>5</v>
      </c>
    </row>
    <row r="6912" spans="1:3" ht="15.75" thickBot="1">
      <c r="A6912" s="6" t="s">
        <v>13170</v>
      </c>
      <c r="B6912" s="5" t="s">
        <v>13171</v>
      </c>
      <c r="C6912" s="3" t="s">
        <v>5</v>
      </c>
    </row>
    <row r="6913" spans="1:3" ht="15.75" thickBot="1">
      <c r="A6913" s="6" t="s">
        <v>13172</v>
      </c>
      <c r="B6913" s="5" t="s">
        <v>13173</v>
      </c>
      <c r="C6913" s="3" t="s">
        <v>5</v>
      </c>
    </row>
    <row r="6914" spans="1:3" ht="15.75" thickBot="1">
      <c r="A6914" s="6" t="s">
        <v>13174</v>
      </c>
      <c r="B6914" s="5" t="s">
        <v>13175</v>
      </c>
      <c r="C6914" s="3" t="s">
        <v>5</v>
      </c>
    </row>
    <row r="6915" spans="1:3" ht="15.75" thickBot="1">
      <c r="A6915" s="6" t="s">
        <v>13176</v>
      </c>
      <c r="B6915" s="5" t="s">
        <v>13177</v>
      </c>
      <c r="C6915" s="3" t="s">
        <v>5</v>
      </c>
    </row>
    <row r="6916" spans="1:3" ht="15.75" thickBot="1">
      <c r="A6916" s="6" t="s">
        <v>13178</v>
      </c>
      <c r="B6916" s="5" t="s">
        <v>13179</v>
      </c>
      <c r="C6916" s="3" t="s">
        <v>5</v>
      </c>
    </row>
    <row r="6917" spans="1:3" ht="15.75" thickBot="1">
      <c r="A6917" s="6" t="s">
        <v>13180</v>
      </c>
      <c r="B6917" s="5" t="s">
        <v>13181</v>
      </c>
      <c r="C6917" s="3" t="s">
        <v>5</v>
      </c>
    </row>
    <row r="6918" spans="1:3" ht="15.75" thickBot="1">
      <c r="A6918" s="6" t="s">
        <v>13182</v>
      </c>
      <c r="B6918" s="5" t="s">
        <v>13183</v>
      </c>
      <c r="C6918" s="3" t="s">
        <v>5</v>
      </c>
    </row>
    <row r="6919" spans="1:3" ht="15.75" thickBot="1">
      <c r="A6919" s="6" t="s">
        <v>13184</v>
      </c>
      <c r="B6919" s="5" t="s">
        <v>13185</v>
      </c>
      <c r="C6919" s="3" t="s">
        <v>5</v>
      </c>
    </row>
    <row r="6920" spans="1:3" ht="15.75" thickBot="1">
      <c r="A6920" s="6" t="s">
        <v>13186</v>
      </c>
      <c r="B6920" s="5" t="s">
        <v>13187</v>
      </c>
      <c r="C6920" s="3" t="s">
        <v>5</v>
      </c>
    </row>
    <row r="6921" spans="1:3" ht="15.75" thickBot="1">
      <c r="A6921" s="6" t="s">
        <v>13188</v>
      </c>
      <c r="B6921" s="5" t="s">
        <v>13189</v>
      </c>
      <c r="C6921" s="3" t="s">
        <v>5</v>
      </c>
    </row>
    <row r="6922" spans="1:3" ht="15.75" thickBot="1">
      <c r="A6922" s="6" t="s">
        <v>13190</v>
      </c>
      <c r="B6922" s="5" t="s">
        <v>13191</v>
      </c>
      <c r="C6922" s="3" t="s">
        <v>5</v>
      </c>
    </row>
    <row r="6923" spans="1:3" ht="15.75" thickBot="1">
      <c r="A6923" s="6" t="s">
        <v>13192</v>
      </c>
      <c r="B6923" s="5" t="s">
        <v>13193</v>
      </c>
      <c r="C6923" s="3" t="s">
        <v>5</v>
      </c>
    </row>
    <row r="6924" spans="1:3" ht="15.75" thickBot="1">
      <c r="A6924" s="6" t="s">
        <v>13194</v>
      </c>
      <c r="B6924" s="5" t="s">
        <v>13195</v>
      </c>
      <c r="C6924" s="3" t="s">
        <v>5</v>
      </c>
    </row>
    <row r="6925" spans="1:3" ht="15.75" thickBot="1">
      <c r="A6925" s="6" t="s">
        <v>13196</v>
      </c>
      <c r="B6925" s="5" t="s">
        <v>4913</v>
      </c>
      <c r="C6925" s="3" t="s">
        <v>5</v>
      </c>
    </row>
    <row r="6926" spans="1:3" ht="15.75" thickBot="1">
      <c r="A6926" s="6" t="s">
        <v>13197</v>
      </c>
      <c r="B6926" s="5" t="s">
        <v>13198</v>
      </c>
      <c r="C6926" s="3" t="s">
        <v>5</v>
      </c>
    </row>
    <row r="6927" spans="1:3" ht="15.75" thickBot="1">
      <c r="A6927" s="6" t="s">
        <v>13199</v>
      </c>
      <c r="B6927" s="5" t="s">
        <v>13200</v>
      </c>
      <c r="C6927" s="3" t="s">
        <v>5</v>
      </c>
    </row>
    <row r="6928" spans="1:3" ht="15.75" thickBot="1">
      <c r="A6928" s="6" t="s">
        <v>13201</v>
      </c>
      <c r="B6928" s="5" t="s">
        <v>13202</v>
      </c>
      <c r="C6928" s="3" t="s">
        <v>5</v>
      </c>
    </row>
    <row r="6929" spans="1:3" ht="15.75" thickBot="1">
      <c r="A6929" s="6" t="s">
        <v>13203</v>
      </c>
      <c r="B6929" s="5" t="s">
        <v>13204</v>
      </c>
      <c r="C6929" s="3" t="s">
        <v>5</v>
      </c>
    </row>
    <row r="6930" spans="1:3" ht="15.75" thickBot="1">
      <c r="A6930" s="6" t="s">
        <v>13205</v>
      </c>
      <c r="B6930" s="5" t="s">
        <v>13206</v>
      </c>
      <c r="C6930" s="3" t="s">
        <v>5</v>
      </c>
    </row>
    <row r="6931" spans="1:3" ht="15.75" thickBot="1">
      <c r="A6931" s="6" t="s">
        <v>13207</v>
      </c>
      <c r="B6931" s="5" t="s">
        <v>13208</v>
      </c>
      <c r="C6931" s="3" t="s">
        <v>5</v>
      </c>
    </row>
    <row r="6932" spans="1:3" ht="15.75" thickBot="1">
      <c r="A6932" s="6" t="s">
        <v>13209</v>
      </c>
      <c r="B6932" s="5" t="s">
        <v>13210</v>
      </c>
      <c r="C6932" s="3" t="s">
        <v>5</v>
      </c>
    </row>
    <row r="6933" spans="1:3" ht="15.75" thickBot="1">
      <c r="A6933" s="6" t="s">
        <v>13211</v>
      </c>
      <c r="B6933" s="5" t="s">
        <v>13212</v>
      </c>
      <c r="C6933" s="3" t="s">
        <v>5</v>
      </c>
    </row>
    <row r="6934" spans="1:3" ht="15.75" thickBot="1">
      <c r="A6934" s="6" t="s">
        <v>13213</v>
      </c>
      <c r="B6934" s="5" t="s">
        <v>13214</v>
      </c>
      <c r="C6934" s="3" t="s">
        <v>5</v>
      </c>
    </row>
    <row r="6935" spans="1:3" ht="15.75" thickBot="1">
      <c r="A6935" s="6" t="s">
        <v>13215</v>
      </c>
      <c r="B6935" s="5" t="s">
        <v>13216</v>
      </c>
      <c r="C6935" s="3" t="s">
        <v>5</v>
      </c>
    </row>
    <row r="6936" spans="1:3" ht="15.75" thickBot="1">
      <c r="A6936" s="6" t="s">
        <v>13217</v>
      </c>
      <c r="B6936" s="5" t="s">
        <v>13218</v>
      </c>
      <c r="C6936" s="3" t="s">
        <v>5</v>
      </c>
    </row>
    <row r="6937" spans="1:3" ht="15.75" thickBot="1">
      <c r="A6937" s="6" t="s">
        <v>13219</v>
      </c>
      <c r="B6937" s="5" t="s">
        <v>13220</v>
      </c>
      <c r="C6937" s="3" t="s">
        <v>5</v>
      </c>
    </row>
    <row r="6938" spans="1:3" ht="15.75" thickBot="1">
      <c r="A6938" s="6" t="s">
        <v>13221</v>
      </c>
      <c r="B6938" s="5" t="s">
        <v>13222</v>
      </c>
      <c r="C6938" s="3" t="s">
        <v>5</v>
      </c>
    </row>
    <row r="6939" spans="1:3" ht="15.75" thickBot="1">
      <c r="A6939" s="6" t="s">
        <v>13223</v>
      </c>
      <c r="B6939" s="5" t="s">
        <v>13224</v>
      </c>
      <c r="C6939" s="3" t="s">
        <v>5</v>
      </c>
    </row>
    <row r="6940" spans="1:3" ht="15.75" thickBot="1">
      <c r="A6940" s="6" t="s">
        <v>13225</v>
      </c>
      <c r="B6940" s="5" t="s">
        <v>13226</v>
      </c>
      <c r="C6940" s="3" t="s">
        <v>5</v>
      </c>
    </row>
    <row r="6941" spans="1:3" ht="15.75" thickBot="1">
      <c r="A6941" s="6" t="s">
        <v>13227</v>
      </c>
      <c r="B6941" s="5" t="s">
        <v>13228</v>
      </c>
      <c r="C6941" s="3" t="s">
        <v>5</v>
      </c>
    </row>
    <row r="6942" spans="1:3">
      <c r="A6942" s="1" t="s">
        <v>13229</v>
      </c>
      <c r="B6942" s="2" t="s">
        <v>13230</v>
      </c>
      <c r="C6942" s="3" t="s">
        <v>5</v>
      </c>
    </row>
    <row r="6943" spans="1:3" ht="15.75" thickBot="1">
      <c r="A6943" s="4"/>
      <c r="B6943" s="5" t="s">
        <v>13231</v>
      </c>
      <c r="C6943" s="3" t="s">
        <v>5</v>
      </c>
    </row>
    <row r="6944" spans="1:3" ht="15.75" thickBot="1">
      <c r="A6944" s="6" t="s">
        <v>13232</v>
      </c>
      <c r="B6944" s="5" t="s">
        <v>13233</v>
      </c>
      <c r="C6944" s="3" t="s">
        <v>5</v>
      </c>
    </row>
    <row r="6945" spans="1:3" ht="15.75" thickBot="1">
      <c r="A6945" s="6" t="s">
        <v>13234</v>
      </c>
      <c r="B6945" s="5" t="s">
        <v>13235</v>
      </c>
      <c r="C6945" s="3" t="s">
        <v>5</v>
      </c>
    </row>
    <row r="6946" spans="1:3" ht="15.75" thickBot="1">
      <c r="A6946" s="6" t="s">
        <v>13236</v>
      </c>
      <c r="B6946" s="5" t="s">
        <v>13237</v>
      </c>
      <c r="C6946" s="3" t="s">
        <v>5</v>
      </c>
    </row>
    <row r="6947" spans="1:3">
      <c r="A6947" s="1" t="s">
        <v>13238</v>
      </c>
      <c r="B6947" s="2" t="s">
        <v>13239</v>
      </c>
      <c r="C6947" s="3" t="s">
        <v>5</v>
      </c>
    </row>
    <row r="6948" spans="1:3" ht="15.75" thickBot="1">
      <c r="A6948" s="4"/>
      <c r="B6948" s="5" t="s">
        <v>13240</v>
      </c>
      <c r="C6948" s="3" t="s">
        <v>5</v>
      </c>
    </row>
    <row r="6949" spans="1:3" ht="15.75" thickBot="1">
      <c r="A6949" s="6" t="s">
        <v>13241</v>
      </c>
      <c r="B6949" s="5" t="s">
        <v>13242</v>
      </c>
      <c r="C6949" s="3" t="s">
        <v>5</v>
      </c>
    </row>
    <row r="6950" spans="1:3" ht="26.25" thickBot="1">
      <c r="A6950" s="6" t="s">
        <v>13243</v>
      </c>
      <c r="B6950" s="5" t="s">
        <v>13244</v>
      </c>
      <c r="C6950" s="3" t="s">
        <v>5</v>
      </c>
    </row>
    <row r="6951" spans="1:3" ht="15.75" thickBot="1">
      <c r="A6951" s="6" t="s">
        <v>13245</v>
      </c>
      <c r="B6951" s="5" t="s">
        <v>13246</v>
      </c>
      <c r="C6951" s="3" t="s">
        <v>5</v>
      </c>
    </row>
    <row r="6952" spans="1:3" ht="15.75" thickBot="1">
      <c r="A6952" s="6" t="s">
        <v>13247</v>
      </c>
      <c r="B6952" s="5" t="s">
        <v>13248</v>
      </c>
      <c r="C6952" s="3" t="s">
        <v>5</v>
      </c>
    </row>
    <row r="6953" spans="1:3" ht="15.75" thickBot="1">
      <c r="A6953" s="6" t="s">
        <v>13249</v>
      </c>
      <c r="B6953" s="5" t="s">
        <v>13250</v>
      </c>
      <c r="C6953" s="3" t="s">
        <v>5</v>
      </c>
    </row>
    <row r="6954" spans="1:3" ht="15.75" thickBot="1">
      <c r="A6954" s="6" t="s">
        <v>13251</v>
      </c>
      <c r="B6954" s="5" t="s">
        <v>13252</v>
      </c>
      <c r="C6954" s="3" t="s">
        <v>5</v>
      </c>
    </row>
    <row r="6955" spans="1:3" ht="15.75" thickBot="1">
      <c r="A6955" s="6" t="s">
        <v>13253</v>
      </c>
      <c r="B6955" s="5" t="s">
        <v>13254</v>
      </c>
      <c r="C6955" s="3" t="s">
        <v>5</v>
      </c>
    </row>
    <row r="6956" spans="1:3" ht="15.75" thickBot="1">
      <c r="A6956" s="6" t="s">
        <v>13255</v>
      </c>
      <c r="B6956" s="5" t="s">
        <v>13256</v>
      </c>
      <c r="C6956" s="3" t="s">
        <v>5</v>
      </c>
    </row>
    <row r="6957" spans="1:3" ht="15.75" thickBot="1">
      <c r="A6957" s="6" t="s">
        <v>13257</v>
      </c>
      <c r="B6957" s="5" t="s">
        <v>13258</v>
      </c>
      <c r="C6957" s="3" t="s">
        <v>5</v>
      </c>
    </row>
    <row r="6958" spans="1:3" ht="15.75" thickBot="1">
      <c r="A6958" s="6" t="s">
        <v>13259</v>
      </c>
      <c r="B6958" s="5" t="s">
        <v>13260</v>
      </c>
      <c r="C6958" s="3" t="s">
        <v>5</v>
      </c>
    </row>
    <row r="6959" spans="1:3" ht="15.75" thickBot="1">
      <c r="A6959" s="6" t="s">
        <v>13261</v>
      </c>
      <c r="B6959" s="5" t="s">
        <v>13262</v>
      </c>
      <c r="C6959" s="3" t="s">
        <v>5</v>
      </c>
    </row>
    <row r="6960" spans="1:3" ht="15.75" thickBot="1">
      <c r="A6960" s="6" t="s">
        <v>13263</v>
      </c>
      <c r="B6960" s="5" t="s">
        <v>13264</v>
      </c>
      <c r="C6960" s="3" t="s">
        <v>5</v>
      </c>
    </row>
    <row r="6961" spans="1:3" ht="15.75" thickBot="1">
      <c r="A6961" s="6" t="s">
        <v>13265</v>
      </c>
      <c r="B6961" s="5" t="s">
        <v>13266</v>
      </c>
      <c r="C6961" s="3" t="s">
        <v>5</v>
      </c>
    </row>
    <row r="6962" spans="1:3" ht="15.75" thickBot="1">
      <c r="A6962" s="6" t="s">
        <v>13267</v>
      </c>
      <c r="B6962" s="5" t="s">
        <v>13268</v>
      </c>
      <c r="C6962" s="3" t="s">
        <v>5</v>
      </c>
    </row>
    <row r="6963" spans="1:3" ht="15.75" thickBot="1">
      <c r="A6963" s="6" t="s">
        <v>13269</v>
      </c>
      <c r="B6963" s="5" t="s">
        <v>13270</v>
      </c>
      <c r="C6963" s="3" t="s">
        <v>5</v>
      </c>
    </row>
    <row r="6964" spans="1:3" ht="15.75" thickBot="1">
      <c r="A6964" s="6" t="s">
        <v>13271</v>
      </c>
      <c r="B6964" s="5" t="s">
        <v>896</v>
      </c>
      <c r="C6964" s="3" t="s">
        <v>5</v>
      </c>
    </row>
    <row r="6965" spans="1:3" ht="15.75" thickBot="1">
      <c r="A6965" s="6" t="s">
        <v>13272</v>
      </c>
      <c r="B6965" s="5" t="s">
        <v>13273</v>
      </c>
      <c r="C6965" s="3" t="s">
        <v>5</v>
      </c>
    </row>
    <row r="6966" spans="1:3" ht="15.75" thickBot="1">
      <c r="A6966" s="6" t="s">
        <v>13274</v>
      </c>
      <c r="B6966" s="5" t="s">
        <v>13275</v>
      </c>
      <c r="C6966" s="3" t="s">
        <v>5</v>
      </c>
    </row>
    <row r="6967" spans="1:3" ht="15.75" thickBot="1">
      <c r="A6967" s="6" t="s">
        <v>13276</v>
      </c>
      <c r="B6967" s="5" t="s">
        <v>13277</v>
      </c>
      <c r="C6967" s="3" t="s">
        <v>5</v>
      </c>
    </row>
    <row r="6968" spans="1:3" ht="15.75" thickBot="1">
      <c r="A6968" s="6" t="s">
        <v>13278</v>
      </c>
      <c r="B6968" s="5" t="s">
        <v>13279</v>
      </c>
      <c r="C6968" s="3" t="s">
        <v>5</v>
      </c>
    </row>
    <row r="6969" spans="1:3" ht="15.75" thickBot="1">
      <c r="A6969" s="6" t="s">
        <v>13280</v>
      </c>
      <c r="B6969" s="5" t="s">
        <v>13281</v>
      </c>
      <c r="C6969" s="3" t="s">
        <v>5</v>
      </c>
    </row>
    <row r="6970" spans="1:3" ht="15.75" thickBot="1">
      <c r="A6970" s="6" t="s">
        <v>13282</v>
      </c>
      <c r="B6970" s="5" t="e">
        <f xml:space="preserve"> shaded pole instrument</f>
        <v>#NAME?</v>
      </c>
      <c r="C6970" s="3" t="s">
        <v>5</v>
      </c>
    </row>
    <row r="6971" spans="1:3" ht="15.75" thickBot="1">
      <c r="A6971" s="6" t="s">
        <v>13283</v>
      </c>
      <c r="B6971" s="5" t="s">
        <v>13284</v>
      </c>
      <c r="C6971" s="3" t="s">
        <v>5</v>
      </c>
    </row>
    <row r="6972" spans="1:3" ht="15.75" thickBot="1">
      <c r="A6972" s="6" t="s">
        <v>13285</v>
      </c>
      <c r="B6972" s="5" t="s">
        <v>13286</v>
      </c>
      <c r="C6972" s="3" t="s">
        <v>5</v>
      </c>
    </row>
    <row r="6973" spans="1:3" ht="15.75" thickBot="1">
      <c r="A6973" s="6" t="s">
        <v>13287</v>
      </c>
      <c r="B6973" s="5" t="s">
        <v>13288</v>
      </c>
      <c r="C6973" s="3" t="s">
        <v>5</v>
      </c>
    </row>
    <row r="6974" spans="1:3" ht="15.75" thickBot="1">
      <c r="A6974" s="6" t="s">
        <v>13289</v>
      </c>
      <c r="B6974" s="5" t="s">
        <v>13290</v>
      </c>
      <c r="C6974" s="3" t="s">
        <v>5</v>
      </c>
    </row>
    <row r="6975" spans="1:3" ht="15.75" thickBot="1">
      <c r="A6975" s="6" t="s">
        <v>13291</v>
      </c>
      <c r="B6975" s="5" t="s">
        <v>13292</v>
      </c>
      <c r="C6975" s="3" t="s">
        <v>5</v>
      </c>
    </row>
    <row r="6976" spans="1:3" ht="15.75" thickBot="1">
      <c r="A6976" s="6" t="s">
        <v>13293</v>
      </c>
      <c r="B6976" s="5" t="s">
        <v>13294</v>
      </c>
      <c r="C6976" s="3" t="s">
        <v>5</v>
      </c>
    </row>
    <row r="6977" spans="1:3" ht="15.75" thickBot="1">
      <c r="A6977" s="6" t="s">
        <v>13295</v>
      </c>
      <c r="B6977" s="5" t="e">
        <f xml:space="preserve"> impulse excitation</f>
        <v>#NAME?</v>
      </c>
      <c r="C6977" s="3" t="s">
        <v>5</v>
      </c>
    </row>
    <row r="6978" spans="1:3" ht="15.75" thickBot="1">
      <c r="A6978" s="6" t="s">
        <v>13296</v>
      </c>
      <c r="B6978" s="5" t="s">
        <v>13297</v>
      </c>
      <c r="C6978" s="3" t="s">
        <v>5</v>
      </c>
    </row>
    <row r="6979" spans="1:3" ht="15.75" thickBot="1">
      <c r="A6979" s="6" t="s">
        <v>13298</v>
      </c>
      <c r="B6979" s="5" t="s">
        <v>13299</v>
      </c>
      <c r="C6979" s="3" t="s">
        <v>5</v>
      </c>
    </row>
    <row r="6980" spans="1:3" ht="15.75" thickBot="1">
      <c r="A6980" s="6" t="s">
        <v>13300</v>
      </c>
      <c r="B6980" s="5" t="s">
        <v>13301</v>
      </c>
      <c r="C6980" s="3" t="s">
        <v>5</v>
      </c>
    </row>
    <row r="6981" spans="1:3" ht="15.75" thickBot="1">
      <c r="A6981" s="6" t="s">
        <v>13302</v>
      </c>
      <c r="B6981" s="5" t="s">
        <v>13303</v>
      </c>
      <c r="C6981" s="3" t="s">
        <v>5</v>
      </c>
    </row>
    <row r="6982" spans="1:3" ht="15.75" thickBot="1">
      <c r="A6982" s="6" t="s">
        <v>13304</v>
      </c>
      <c r="B6982" s="5" t="s">
        <v>13305</v>
      </c>
      <c r="C6982" s="3" t="s">
        <v>5</v>
      </c>
    </row>
    <row r="6983" spans="1:3" ht="15.75" thickBot="1">
      <c r="A6983" s="6" t="s">
        <v>13306</v>
      </c>
      <c r="B6983" s="5" t="s">
        <v>13307</v>
      </c>
      <c r="C6983" s="3" t="s">
        <v>5</v>
      </c>
    </row>
    <row r="6984" spans="1:3" ht="15.75" thickBot="1">
      <c r="A6984" s="6" t="s">
        <v>13308</v>
      </c>
      <c r="B6984" s="5" t="s">
        <v>13309</v>
      </c>
      <c r="C6984" s="3" t="s">
        <v>5</v>
      </c>
    </row>
    <row r="6985" spans="1:3" ht="15.75" thickBot="1">
      <c r="A6985" s="6" t="s">
        <v>13310</v>
      </c>
      <c r="B6985" s="5" t="s">
        <v>13311</v>
      </c>
      <c r="C6985" s="3" t="s">
        <v>5</v>
      </c>
    </row>
    <row r="6986" spans="1:3" ht="15.75" thickBot="1">
      <c r="A6986" s="6" t="s">
        <v>13312</v>
      </c>
      <c r="B6986" s="5" t="s">
        <v>13313</v>
      </c>
      <c r="C6986" s="3" t="s">
        <v>5</v>
      </c>
    </row>
    <row r="6987" spans="1:3" ht="15.75" thickBot="1">
      <c r="A6987" s="6" t="s">
        <v>13314</v>
      </c>
      <c r="B6987" s="5" t="s">
        <v>13315</v>
      </c>
      <c r="C6987" s="3" t="s">
        <v>5</v>
      </c>
    </row>
    <row r="6988" spans="1:3" ht="15.75" thickBot="1">
      <c r="A6988" s="6" t="s">
        <v>13316</v>
      </c>
      <c r="B6988" s="5" t="s">
        <v>13317</v>
      </c>
      <c r="C6988" s="3" t="s">
        <v>5</v>
      </c>
    </row>
    <row r="6989" spans="1:3" ht="15.75" thickBot="1">
      <c r="A6989" s="6" t="s">
        <v>13318</v>
      </c>
      <c r="B6989" s="5" t="s">
        <v>13319</v>
      </c>
      <c r="C6989" s="3" t="s">
        <v>5</v>
      </c>
    </row>
    <row r="6990" spans="1:3" ht="15.75" thickBot="1">
      <c r="A6990" s="6" t="s">
        <v>13320</v>
      </c>
      <c r="B6990" s="5" t="s">
        <v>13321</v>
      </c>
      <c r="C6990" s="3" t="s">
        <v>5</v>
      </c>
    </row>
    <row r="6991" spans="1:3" ht="15.75" thickBot="1">
      <c r="A6991" s="6" t="s">
        <v>13322</v>
      </c>
      <c r="B6991" s="5" t="s">
        <v>13323</v>
      </c>
      <c r="C6991" s="3" t="s">
        <v>5</v>
      </c>
    </row>
    <row r="6992" spans="1:3" ht="15.75" thickBot="1">
      <c r="A6992" s="6" t="s">
        <v>13324</v>
      </c>
      <c r="B6992" s="5" t="s">
        <v>13325</v>
      </c>
      <c r="C6992" s="3" t="s">
        <v>5</v>
      </c>
    </row>
    <row r="6993" spans="1:3" ht="15.75" thickBot="1">
      <c r="A6993" s="6" t="s">
        <v>13326</v>
      </c>
      <c r="B6993" s="5" t="s">
        <v>13327</v>
      </c>
      <c r="C6993" s="3" t="s">
        <v>5</v>
      </c>
    </row>
    <row r="6994" spans="1:3" ht="15.75" thickBot="1">
      <c r="A6994" s="6" t="s">
        <v>13328</v>
      </c>
      <c r="B6994" s="5" t="s">
        <v>13329</v>
      </c>
      <c r="C6994" s="3" t="s">
        <v>5</v>
      </c>
    </row>
    <row r="6995" spans="1:3" ht="15.75" thickBot="1">
      <c r="A6995" s="6" t="s">
        <v>13330</v>
      </c>
      <c r="B6995" s="5" t="s">
        <v>13331</v>
      </c>
      <c r="C6995" s="3" t="s">
        <v>5</v>
      </c>
    </row>
    <row r="6996" spans="1:3" ht="15.75" thickBot="1">
      <c r="A6996" s="6" t="s">
        <v>13332</v>
      </c>
      <c r="B6996" s="5" t="s">
        <v>13333</v>
      </c>
      <c r="C6996" s="3" t="s">
        <v>5</v>
      </c>
    </row>
    <row r="6997" spans="1:3" ht="15.75" thickBot="1">
      <c r="A6997" s="6" t="s">
        <v>13334</v>
      </c>
      <c r="B6997" s="5" t="s">
        <v>13335</v>
      </c>
      <c r="C6997" s="3" t="s">
        <v>5</v>
      </c>
    </row>
    <row r="6998" spans="1:3" ht="15.75" thickBot="1">
      <c r="A6998" s="6" t="s">
        <v>13336</v>
      </c>
      <c r="B6998" s="5" t="s">
        <v>13337</v>
      </c>
      <c r="C6998" s="3" t="s">
        <v>5</v>
      </c>
    </row>
    <row r="6999" spans="1:3" ht="15.75" thickBot="1">
      <c r="A6999" s="6" t="s">
        <v>13338</v>
      </c>
      <c r="B6999" s="5" t="s">
        <v>13339</v>
      </c>
      <c r="C6999" s="3" t="s">
        <v>5</v>
      </c>
    </row>
    <row r="7000" spans="1:3" ht="15.75" thickBot="1">
      <c r="A7000" s="6" t="s">
        <v>13340</v>
      </c>
      <c r="B7000" s="5" t="s">
        <v>13341</v>
      </c>
      <c r="C7000" s="3" t="s">
        <v>5</v>
      </c>
    </row>
    <row r="7001" spans="1:3">
      <c r="A7001" s="1" t="s">
        <v>13342</v>
      </c>
      <c r="B7001" s="2" t="s">
        <v>13343</v>
      </c>
      <c r="C7001" s="3" t="s">
        <v>5</v>
      </c>
    </row>
    <row r="7002" spans="1:3" ht="15.75" thickBot="1">
      <c r="A7002" s="4"/>
      <c r="B7002" s="5" t="s">
        <v>13344</v>
      </c>
      <c r="C7002" s="3" t="s">
        <v>5</v>
      </c>
    </row>
    <row r="7003" spans="1:3" ht="15.75" thickBot="1">
      <c r="A7003" s="6" t="s">
        <v>13345</v>
      </c>
      <c r="B7003" s="5" t="s">
        <v>13346</v>
      </c>
      <c r="C7003" s="3" t="s">
        <v>5</v>
      </c>
    </row>
    <row r="7004" spans="1:3" ht="15.75" thickBot="1">
      <c r="A7004" s="6" t="s">
        <v>13347</v>
      </c>
      <c r="B7004" s="5" t="s">
        <v>13348</v>
      </c>
      <c r="C7004" s="3" t="s">
        <v>5</v>
      </c>
    </row>
    <row r="7005" spans="1:3">
      <c r="A7005" s="1" t="s">
        <v>13349</v>
      </c>
      <c r="B7005" s="2" t="s">
        <v>13350</v>
      </c>
      <c r="C7005" s="3" t="s">
        <v>5</v>
      </c>
    </row>
    <row r="7006" spans="1:3" ht="15.75" thickBot="1">
      <c r="A7006" s="4"/>
      <c r="B7006" s="5" t="e">
        <f xml:space="preserve"> shot noise</f>
        <v>#NAME?</v>
      </c>
      <c r="C7006" s="3" t="s">
        <v>5</v>
      </c>
    </row>
    <row r="7007" spans="1:3" ht="15.75" thickBot="1">
      <c r="A7007" s="6" t="s">
        <v>13351</v>
      </c>
      <c r="B7007" s="5" t="s">
        <v>13352</v>
      </c>
      <c r="C7007" s="3" t="s">
        <v>5</v>
      </c>
    </row>
    <row r="7008" spans="1:3" ht="15.75" thickBot="1">
      <c r="A7008" s="6" t="s">
        <v>13353</v>
      </c>
      <c r="B7008" s="5" t="s">
        <v>13354</v>
      </c>
      <c r="C7008" s="3" t="s">
        <v>5</v>
      </c>
    </row>
    <row r="7009" spans="1:3" ht="15.75" thickBot="1">
      <c r="A7009" s="6" t="s">
        <v>13355</v>
      </c>
      <c r="B7009" s="5" t="s">
        <v>13356</v>
      </c>
      <c r="C7009" s="3" t="s">
        <v>5</v>
      </c>
    </row>
    <row r="7010" spans="1:3" ht="15.75" thickBot="1">
      <c r="A7010" s="6" t="s">
        <v>13357</v>
      </c>
      <c r="B7010" s="5" t="s">
        <v>13358</v>
      </c>
      <c r="C7010" s="3" t="s">
        <v>5</v>
      </c>
    </row>
    <row r="7011" spans="1:3" ht="15.75" thickBot="1">
      <c r="A7011" s="6" t="s">
        <v>13359</v>
      </c>
      <c r="B7011" s="5" t="s">
        <v>13360</v>
      </c>
      <c r="C7011" s="3" t="s">
        <v>5</v>
      </c>
    </row>
    <row r="7012" spans="1:3" ht="15.75" thickBot="1">
      <c r="A7012" s="6" t="s">
        <v>13361</v>
      </c>
      <c r="B7012" s="5" t="s">
        <v>13362</v>
      </c>
      <c r="C7012" s="3" t="s">
        <v>5</v>
      </c>
    </row>
    <row r="7013" spans="1:3" ht="15.75" thickBot="1">
      <c r="A7013" s="6" t="s">
        <v>13363</v>
      </c>
      <c r="B7013" s="5" t="s">
        <v>13364</v>
      </c>
      <c r="C7013" s="3" t="s">
        <v>5</v>
      </c>
    </row>
    <row r="7014" spans="1:3" ht="15.75" thickBot="1">
      <c r="A7014" s="6" t="s">
        <v>13365</v>
      </c>
      <c r="B7014" s="5" t="s">
        <v>13366</v>
      </c>
      <c r="C7014" s="3" t="s">
        <v>5</v>
      </c>
    </row>
    <row r="7015" spans="1:3" ht="15.75" thickBot="1">
      <c r="A7015" s="6" t="s">
        <v>13367</v>
      </c>
      <c r="B7015" s="5" t="s">
        <v>13368</v>
      </c>
      <c r="C7015" s="3" t="s">
        <v>5</v>
      </c>
    </row>
    <row r="7016" spans="1:3" ht="15.75" thickBot="1">
      <c r="A7016" s="6" t="s">
        <v>13369</v>
      </c>
      <c r="B7016" s="5" t="s">
        <v>13370</v>
      </c>
      <c r="C7016" s="3" t="s">
        <v>5</v>
      </c>
    </row>
    <row r="7017" spans="1:3" ht="15.75" thickBot="1">
      <c r="A7017" s="6" t="s">
        <v>13371</v>
      </c>
      <c r="B7017" s="5" t="e">
        <f xml:space="preserve"> parallel feed</f>
        <v>#NAME?</v>
      </c>
      <c r="C7017" s="3" t="s">
        <v>5</v>
      </c>
    </row>
    <row r="7018" spans="1:3" ht="15.75" thickBot="1">
      <c r="A7018" s="6" t="s">
        <v>13372</v>
      </c>
      <c r="B7018" s="5" t="s">
        <v>13373</v>
      </c>
      <c r="C7018" s="3" t="s">
        <v>5</v>
      </c>
    </row>
    <row r="7019" spans="1:3" ht="15.75" thickBot="1">
      <c r="A7019" s="6" t="s">
        <v>13374</v>
      </c>
      <c r="B7019" s="5" t="s">
        <v>13375</v>
      </c>
      <c r="C7019" s="3" t="s">
        <v>5</v>
      </c>
    </row>
    <row r="7020" spans="1:3" ht="15.75" thickBot="1">
      <c r="A7020" s="6" t="s">
        <v>13376</v>
      </c>
      <c r="B7020" s="5" t="s">
        <v>13377</v>
      </c>
      <c r="C7020" s="3" t="s">
        <v>5</v>
      </c>
    </row>
    <row r="7021" spans="1:3" ht="15.75" thickBot="1">
      <c r="A7021" s="6" t="s">
        <v>13378</v>
      </c>
      <c r="B7021" s="5" t="s">
        <v>13379</v>
      </c>
      <c r="C7021" s="3" t="s">
        <v>5</v>
      </c>
    </row>
    <row r="7022" spans="1:3" ht="15.75" thickBot="1">
      <c r="A7022" s="6" t="s">
        <v>13380</v>
      </c>
      <c r="B7022" s="5" t="s">
        <v>13381</v>
      </c>
      <c r="C7022" s="3" t="s">
        <v>5</v>
      </c>
    </row>
    <row r="7023" spans="1:3" ht="15.75" thickBot="1">
      <c r="A7023" s="6" t="s">
        <v>13382</v>
      </c>
      <c r="B7023" s="5" t="s">
        <v>13383</v>
      </c>
      <c r="C7023" s="3" t="s">
        <v>5</v>
      </c>
    </row>
    <row r="7024" spans="1:3" ht="15.75" thickBot="1">
      <c r="A7024" s="6" t="s">
        <v>13384</v>
      </c>
      <c r="B7024" s="5" t="s">
        <v>13385</v>
      </c>
      <c r="C7024" s="3" t="s">
        <v>5</v>
      </c>
    </row>
    <row r="7025" spans="1:3" ht="15.75" thickBot="1">
      <c r="A7025" s="6" t="s">
        <v>13386</v>
      </c>
      <c r="B7025" s="5" t="s">
        <v>13387</v>
      </c>
      <c r="C7025" s="3" t="s">
        <v>5</v>
      </c>
    </row>
    <row r="7026" spans="1:3" ht="15.75" thickBot="1">
      <c r="A7026" s="6" t="s">
        <v>13388</v>
      </c>
      <c r="B7026" s="5" t="s">
        <v>13389</v>
      </c>
      <c r="C7026" s="3" t="s">
        <v>5</v>
      </c>
    </row>
    <row r="7027" spans="1:3" ht="15.75" thickBot="1">
      <c r="A7027" s="6" t="s">
        <v>13390</v>
      </c>
      <c r="B7027" s="5" t="s">
        <v>13391</v>
      </c>
      <c r="C7027" s="3" t="s">
        <v>5</v>
      </c>
    </row>
    <row r="7028" spans="1:3" ht="15.75" thickBot="1">
      <c r="A7028" s="6" t="s">
        <v>13392</v>
      </c>
      <c r="B7028" s="5" t="s">
        <v>13393</v>
      </c>
      <c r="C7028" s="3" t="s">
        <v>5</v>
      </c>
    </row>
    <row r="7029" spans="1:3" ht="15.75" thickBot="1">
      <c r="A7029" s="6" t="s">
        <v>13394</v>
      </c>
      <c r="B7029" s="5" t="s">
        <v>13395</v>
      </c>
      <c r="C7029" s="3" t="s">
        <v>5</v>
      </c>
    </row>
    <row r="7030" spans="1:3" ht="15.75" thickBot="1">
      <c r="A7030" s="6" t="s">
        <v>13396</v>
      </c>
      <c r="B7030" s="5" t="s">
        <v>13397</v>
      </c>
      <c r="C7030" s="3" t="s">
        <v>5</v>
      </c>
    </row>
    <row r="7031" spans="1:3" ht="15.75" thickBot="1">
      <c r="A7031" s="6" t="s">
        <v>13398</v>
      </c>
      <c r="B7031" s="5" t="s">
        <v>13399</v>
      </c>
      <c r="C7031" s="3" t="s">
        <v>5</v>
      </c>
    </row>
    <row r="7032" spans="1:3" ht="15.75" thickBot="1">
      <c r="A7032" s="6" t="s">
        <v>13400</v>
      </c>
      <c r="B7032" s="5" t="s">
        <v>13366</v>
      </c>
      <c r="C7032" s="3" t="s">
        <v>5</v>
      </c>
    </row>
    <row r="7033" spans="1:3" ht="15.75" thickBot="1">
      <c r="A7033" s="6" t="s">
        <v>13401</v>
      </c>
      <c r="B7033" s="5" t="s">
        <v>13402</v>
      </c>
      <c r="C7033" s="3" t="s">
        <v>5</v>
      </c>
    </row>
    <row r="7034" spans="1:3" ht="15.75" thickBot="1">
      <c r="A7034" s="6" t="s">
        <v>13403</v>
      </c>
      <c r="B7034" s="5" t="s">
        <v>13404</v>
      </c>
      <c r="C7034" s="3" t="s">
        <v>5</v>
      </c>
    </row>
    <row r="7035" spans="1:3" ht="15.75" thickBot="1">
      <c r="A7035" s="6" t="s">
        <v>13405</v>
      </c>
      <c r="B7035" s="5" t="s">
        <v>13406</v>
      </c>
      <c r="C7035" s="3" t="s">
        <v>5</v>
      </c>
    </row>
    <row r="7036" spans="1:3" ht="15.75" thickBot="1">
      <c r="A7036" s="6" t="s">
        <v>13407</v>
      </c>
      <c r="B7036" s="5" t="s">
        <v>13408</v>
      </c>
      <c r="C7036" s="3" t="s">
        <v>5</v>
      </c>
    </row>
    <row r="7037" spans="1:3" ht="15.75" thickBot="1">
      <c r="A7037" s="6" t="s">
        <v>13409</v>
      </c>
      <c r="B7037" s="5" t="s">
        <v>13410</v>
      </c>
      <c r="C7037" s="3" t="s">
        <v>5</v>
      </c>
    </row>
    <row r="7038" spans="1:3" ht="15.75" thickBot="1">
      <c r="A7038" s="6" t="s">
        <v>13411</v>
      </c>
      <c r="B7038" s="5" t="s">
        <v>13412</v>
      </c>
      <c r="C7038" s="3" t="s">
        <v>5</v>
      </c>
    </row>
    <row r="7039" spans="1:3" ht="15.75" thickBot="1">
      <c r="A7039" s="6" t="s">
        <v>13413</v>
      </c>
      <c r="B7039" s="5" t="s">
        <v>13414</v>
      </c>
      <c r="C7039" s="3" t="s">
        <v>5</v>
      </c>
    </row>
    <row r="7040" spans="1:3" ht="15.75" thickBot="1">
      <c r="A7040" s="6" t="s">
        <v>13415</v>
      </c>
      <c r="B7040" s="5" t="e">
        <f xml:space="preserve"> diametrical winding</f>
        <v>#NAME?</v>
      </c>
      <c r="C7040" s="3" t="s">
        <v>5</v>
      </c>
    </row>
    <row r="7041" spans="1:3" ht="15.75" thickBot="1">
      <c r="A7041" s="6" t="s">
        <v>13416</v>
      </c>
      <c r="B7041" s="5" t="s">
        <v>13417</v>
      </c>
      <c r="C7041" s="3" t="s">
        <v>5</v>
      </c>
    </row>
    <row r="7042" spans="1:3" ht="15.75" thickBot="1">
      <c r="A7042" s="6" t="s">
        <v>13418</v>
      </c>
      <c r="B7042" s="5" t="s">
        <v>13419</v>
      </c>
      <c r="C7042" s="3" t="s">
        <v>5</v>
      </c>
    </row>
    <row r="7043" spans="1:3" ht="15.75" thickBot="1">
      <c r="A7043" s="6" t="s">
        <v>13420</v>
      </c>
      <c r="B7043" s="5" t="s">
        <v>13421</v>
      </c>
      <c r="C7043" s="3" t="s">
        <v>5</v>
      </c>
    </row>
    <row r="7044" spans="1:3" ht="15.75" thickBot="1">
      <c r="A7044" s="6" t="s">
        <v>13422</v>
      </c>
      <c r="B7044" s="5" t="s">
        <v>13423</v>
      </c>
      <c r="C7044" s="3" t="s">
        <v>5</v>
      </c>
    </row>
    <row r="7045" spans="1:3" ht="15.75" thickBot="1">
      <c r="A7045" s="6" t="s">
        <v>13424</v>
      </c>
      <c r="B7045" s="5" t="s">
        <v>13425</v>
      </c>
      <c r="C7045" s="3" t="s">
        <v>5</v>
      </c>
    </row>
    <row r="7046" spans="1:3" ht="15.75" thickBot="1">
      <c r="A7046" s="6" t="s">
        <v>13426</v>
      </c>
      <c r="B7046" s="5" t="s">
        <v>13427</v>
      </c>
      <c r="C7046" s="3" t="s">
        <v>5</v>
      </c>
    </row>
    <row r="7047" spans="1:3" ht="15.75" thickBot="1">
      <c r="A7047" s="6" t="s">
        <v>13426</v>
      </c>
      <c r="B7047" s="5" t="s">
        <v>13427</v>
      </c>
      <c r="C7047" s="3" t="s">
        <v>5</v>
      </c>
    </row>
    <row r="7048" spans="1:3" ht="15.75" thickBot="1">
      <c r="A7048" s="6" t="s">
        <v>13428</v>
      </c>
      <c r="B7048" s="5" t="s">
        <v>13429</v>
      </c>
      <c r="C7048" s="3" t="s">
        <v>5</v>
      </c>
    </row>
    <row r="7049" spans="1:3" ht="15.75" thickBot="1">
      <c r="A7049" s="6" t="s">
        <v>13428</v>
      </c>
      <c r="B7049" s="5" t="s">
        <v>13429</v>
      </c>
      <c r="C7049" s="3" t="s">
        <v>5</v>
      </c>
    </row>
    <row r="7050" spans="1:3" ht="15.75" thickBot="1">
      <c r="A7050" s="6" t="s">
        <v>13430</v>
      </c>
      <c r="B7050" s="5" t="s">
        <v>13425</v>
      </c>
      <c r="C7050" s="3" t="s">
        <v>5</v>
      </c>
    </row>
    <row r="7051" spans="1:3" ht="15.75" thickBot="1">
      <c r="A7051" s="6" t="s">
        <v>13430</v>
      </c>
      <c r="B7051" s="5" t="s">
        <v>13425</v>
      </c>
      <c r="C7051" s="3" t="s">
        <v>5</v>
      </c>
    </row>
    <row r="7052" spans="1:3" ht="15.75" thickBot="1">
      <c r="A7052" s="6" t="s">
        <v>13431</v>
      </c>
      <c r="B7052" s="5" t="s">
        <v>13432</v>
      </c>
      <c r="C7052" s="3" t="s">
        <v>5</v>
      </c>
    </row>
    <row r="7053" spans="1:3" ht="15.75" thickBot="1">
      <c r="A7053" s="6" t="s">
        <v>13433</v>
      </c>
      <c r="B7053" s="5" t="s">
        <v>13434</v>
      </c>
      <c r="C7053" s="3" t="s">
        <v>5</v>
      </c>
    </row>
    <row r="7054" spans="1:3" ht="15.75" thickBot="1">
      <c r="A7054" s="6" t="s">
        <v>13435</v>
      </c>
      <c r="B7054" s="5" t="s">
        <v>13436</v>
      </c>
      <c r="C7054" s="3" t="s">
        <v>5</v>
      </c>
    </row>
    <row r="7055" spans="1:3" ht="15.75" thickBot="1">
      <c r="A7055" s="6" t="s">
        <v>13437</v>
      </c>
      <c r="B7055" s="5" t="s">
        <v>13438</v>
      </c>
      <c r="C7055" s="3" t="s">
        <v>5</v>
      </c>
    </row>
    <row r="7056" spans="1:3" ht="15.75" thickBot="1">
      <c r="A7056" s="6" t="s">
        <v>13439</v>
      </c>
      <c r="B7056" s="5" t="s">
        <v>13440</v>
      </c>
      <c r="C7056" s="3" t="s">
        <v>5</v>
      </c>
    </row>
    <row r="7057" spans="1:3" ht="15.75" thickBot="1">
      <c r="A7057" s="6" t="s">
        <v>13441</v>
      </c>
      <c r="B7057" s="5" t="s">
        <v>13442</v>
      </c>
      <c r="C7057" s="3" t="s">
        <v>5</v>
      </c>
    </row>
    <row r="7058" spans="1:3" ht="15.75" thickBot="1">
      <c r="A7058" s="6" t="s">
        <v>13443</v>
      </c>
      <c r="B7058" s="5" t="s">
        <v>13444</v>
      </c>
      <c r="C7058" s="3" t="s">
        <v>5</v>
      </c>
    </row>
    <row r="7059" spans="1:3" ht="15.75" thickBot="1">
      <c r="A7059" s="6" t="s">
        <v>13445</v>
      </c>
      <c r="B7059" s="5" t="s">
        <v>13446</v>
      </c>
      <c r="C7059" s="3" t="s">
        <v>5</v>
      </c>
    </row>
    <row r="7060" spans="1:3" ht="15.75" thickBot="1">
      <c r="A7060" s="6" t="s">
        <v>13447</v>
      </c>
      <c r="B7060" s="5" t="s">
        <v>13448</v>
      </c>
      <c r="C7060" s="3" t="s">
        <v>5</v>
      </c>
    </row>
    <row r="7061" spans="1:3" ht="15.75" thickBot="1">
      <c r="A7061" s="6" t="s">
        <v>13449</v>
      </c>
      <c r="B7061" s="5" t="s">
        <v>13450</v>
      </c>
      <c r="C7061" s="3" t="s">
        <v>5</v>
      </c>
    </row>
    <row r="7062" spans="1:3" ht="15.75" thickBot="1">
      <c r="A7062" s="6" t="s">
        <v>13451</v>
      </c>
      <c r="B7062" s="5" t="s">
        <v>13452</v>
      </c>
      <c r="C7062" s="3" t="s">
        <v>5</v>
      </c>
    </row>
    <row r="7063" spans="1:3" ht="15.75" thickBot="1">
      <c r="A7063" s="6" t="s">
        <v>13453</v>
      </c>
      <c r="B7063" s="5" t="s">
        <v>13454</v>
      </c>
      <c r="C7063" s="3" t="s">
        <v>5</v>
      </c>
    </row>
    <row r="7064" spans="1:3" ht="15.75" thickBot="1">
      <c r="A7064" s="6" t="s">
        <v>13455</v>
      </c>
      <c r="B7064" s="5" t="s">
        <v>13456</v>
      </c>
      <c r="C7064" s="3" t="s">
        <v>5</v>
      </c>
    </row>
    <row r="7065" spans="1:3" ht="15.75" thickBot="1">
      <c r="A7065" s="6" t="s">
        <v>13457</v>
      </c>
      <c r="B7065" s="5" t="s">
        <v>13458</v>
      </c>
      <c r="C7065" s="3" t="s">
        <v>5</v>
      </c>
    </row>
    <row r="7066" spans="1:3" ht="15.75" thickBot="1">
      <c r="A7066" s="6" t="s">
        <v>13459</v>
      </c>
      <c r="B7066" s="5" t="s">
        <v>13460</v>
      </c>
      <c r="C7066" s="3" t="s">
        <v>5</v>
      </c>
    </row>
    <row r="7067" spans="1:3" ht="15.75" thickBot="1">
      <c r="A7067" s="6" t="s">
        <v>13461</v>
      </c>
      <c r="B7067" s="5" t="s">
        <v>13462</v>
      </c>
      <c r="C7067" s="3" t="s">
        <v>5</v>
      </c>
    </row>
    <row r="7068" spans="1:3" ht="15.75" thickBot="1">
      <c r="A7068" s="6" t="s">
        <v>13463</v>
      </c>
      <c r="B7068" s="5" t="s">
        <v>13464</v>
      </c>
      <c r="C7068" s="3" t="s">
        <v>5</v>
      </c>
    </row>
    <row r="7069" spans="1:3" ht="15.75" thickBot="1">
      <c r="A7069" s="6" t="s">
        <v>13465</v>
      </c>
      <c r="B7069" s="5" t="s">
        <v>13466</v>
      </c>
      <c r="C7069" s="3" t="s">
        <v>5</v>
      </c>
    </row>
    <row r="7070" spans="1:3" ht="15.75" thickBot="1">
      <c r="A7070" s="6" t="s">
        <v>13467</v>
      </c>
      <c r="B7070" s="5" t="s">
        <v>13468</v>
      </c>
      <c r="C7070" s="3" t="s">
        <v>5</v>
      </c>
    </row>
    <row r="7071" spans="1:3" ht="15.75" thickBot="1">
      <c r="A7071" s="6" t="s">
        <v>13469</v>
      </c>
      <c r="B7071" s="5" t="s">
        <v>13470</v>
      </c>
      <c r="C7071" s="3" t="s">
        <v>5</v>
      </c>
    </row>
    <row r="7072" spans="1:3" ht="15.75" thickBot="1">
      <c r="A7072" s="6" t="s">
        <v>13471</v>
      </c>
      <c r="B7072" s="5" t="s">
        <v>13472</v>
      </c>
      <c r="C7072" s="3" t="s">
        <v>5</v>
      </c>
    </row>
    <row r="7073" spans="1:3" ht="15.75" thickBot="1">
      <c r="A7073" s="6" t="s">
        <v>13473</v>
      </c>
      <c r="B7073" s="5" t="s">
        <v>13474</v>
      </c>
      <c r="C7073" s="3" t="s">
        <v>5</v>
      </c>
    </row>
    <row r="7074" spans="1:3" ht="15.75" thickBot="1">
      <c r="A7074" s="6" t="s">
        <v>13475</v>
      </c>
      <c r="B7074" s="5" t="s">
        <v>13476</v>
      </c>
      <c r="C7074" s="3" t="s">
        <v>5</v>
      </c>
    </row>
    <row r="7075" spans="1:3" ht="15.75" thickBot="1">
      <c r="A7075" s="6" t="s">
        <v>13477</v>
      </c>
      <c r="B7075" s="5" t="s">
        <v>13478</v>
      </c>
      <c r="C7075" s="3" t="s">
        <v>5</v>
      </c>
    </row>
    <row r="7076" spans="1:3" ht="15.75" thickBot="1">
      <c r="A7076" s="6" t="s">
        <v>13479</v>
      </c>
      <c r="B7076" s="5" t="s">
        <v>13480</v>
      </c>
      <c r="C7076" s="3" t="s">
        <v>5</v>
      </c>
    </row>
    <row r="7077" spans="1:3" ht="15.75" thickBot="1">
      <c r="A7077" s="6" t="s">
        <v>13481</v>
      </c>
      <c r="B7077" s="5" t="s">
        <v>13482</v>
      </c>
      <c r="C7077" s="3" t="s">
        <v>5</v>
      </c>
    </row>
    <row r="7078" spans="1:3" ht="15.75" thickBot="1">
      <c r="A7078" s="6" t="s">
        <v>13483</v>
      </c>
      <c r="B7078" s="5" t="s">
        <v>13484</v>
      </c>
      <c r="C7078" s="3" t="s">
        <v>5</v>
      </c>
    </row>
    <row r="7079" spans="1:3" ht="15.75" thickBot="1">
      <c r="A7079" s="6" t="s">
        <v>13485</v>
      </c>
      <c r="B7079" s="5" t="s">
        <v>13486</v>
      </c>
      <c r="C7079" s="3" t="s">
        <v>5</v>
      </c>
    </row>
    <row r="7080" spans="1:3" ht="15.75" thickBot="1">
      <c r="A7080" s="6" t="s">
        <v>13487</v>
      </c>
      <c r="B7080" s="5" t="s">
        <v>13488</v>
      </c>
      <c r="C7080" s="3" t="s">
        <v>5</v>
      </c>
    </row>
    <row r="7081" spans="1:3" ht="26.25" thickBot="1">
      <c r="A7081" s="6" t="s">
        <v>13489</v>
      </c>
      <c r="B7081" s="5" t="s">
        <v>13490</v>
      </c>
      <c r="C7081" s="3" t="s">
        <v>5</v>
      </c>
    </row>
    <row r="7082" spans="1:3" ht="15.75" thickBot="1">
      <c r="A7082" s="6" t="s">
        <v>13491</v>
      </c>
      <c r="B7082" s="5" t="s">
        <v>13492</v>
      </c>
      <c r="C7082" s="3" t="s">
        <v>5</v>
      </c>
    </row>
    <row r="7083" spans="1:3" ht="15.75" thickBot="1">
      <c r="A7083" s="6" t="s">
        <v>13493</v>
      </c>
      <c r="B7083" s="5" t="s">
        <v>13494</v>
      </c>
      <c r="C7083" s="3" t="s">
        <v>5</v>
      </c>
    </row>
    <row r="7084" spans="1:3" ht="26.25" thickBot="1">
      <c r="A7084" s="6" t="s">
        <v>13495</v>
      </c>
      <c r="B7084" s="5" t="s">
        <v>13496</v>
      </c>
      <c r="C7084" s="3" t="s">
        <v>5</v>
      </c>
    </row>
    <row r="7085" spans="1:3" ht="15.75" thickBot="1">
      <c r="A7085" s="6" t="s">
        <v>13497</v>
      </c>
      <c r="B7085" s="5" t="s">
        <v>13498</v>
      </c>
      <c r="C7085" s="3" t="s">
        <v>5</v>
      </c>
    </row>
    <row r="7086" spans="1:3" ht="15.75" thickBot="1">
      <c r="A7086" s="6" t="s">
        <v>13499</v>
      </c>
      <c r="B7086" s="5" t="s">
        <v>13500</v>
      </c>
      <c r="C7086" s="3" t="s">
        <v>5</v>
      </c>
    </row>
    <row r="7087" spans="1:3" ht="15.75" thickBot="1">
      <c r="A7087" s="6" t="s">
        <v>13501</v>
      </c>
      <c r="B7087" s="5" t="s">
        <v>13502</v>
      </c>
      <c r="C7087" s="3" t="s">
        <v>5</v>
      </c>
    </row>
    <row r="7088" spans="1:3" ht="15.75" thickBot="1">
      <c r="A7088" s="6" t="s">
        <v>13503</v>
      </c>
      <c r="B7088" s="5" t="s">
        <v>13504</v>
      </c>
      <c r="C7088" s="3" t="s">
        <v>5</v>
      </c>
    </row>
    <row r="7089" spans="1:3" ht="15.75" thickBot="1">
      <c r="A7089" s="6" t="s">
        <v>13505</v>
      </c>
      <c r="B7089" s="5" t="s">
        <v>13506</v>
      </c>
      <c r="C7089" s="3" t="s">
        <v>5</v>
      </c>
    </row>
    <row r="7090" spans="1:3" ht="15.75" thickBot="1">
      <c r="A7090" s="6" t="s">
        <v>13507</v>
      </c>
      <c r="B7090" s="5" t="s">
        <v>13508</v>
      </c>
      <c r="C7090" s="3" t="s">
        <v>5</v>
      </c>
    </row>
    <row r="7091" spans="1:3" ht="15.75" thickBot="1">
      <c r="A7091" s="6" t="s">
        <v>13509</v>
      </c>
      <c r="B7091" s="5" t="s">
        <v>13510</v>
      </c>
      <c r="C7091" s="3" t="s">
        <v>5</v>
      </c>
    </row>
    <row r="7092" spans="1:3" ht="15.75" thickBot="1">
      <c r="A7092" s="6" t="s">
        <v>13511</v>
      </c>
      <c r="B7092" s="5" t="s">
        <v>13512</v>
      </c>
      <c r="C7092" s="3" t="s">
        <v>5</v>
      </c>
    </row>
    <row r="7093" spans="1:3" ht="15.75" thickBot="1">
      <c r="A7093" s="6" t="s">
        <v>13513</v>
      </c>
      <c r="B7093" s="5" t="s">
        <v>13514</v>
      </c>
      <c r="C7093" s="3" t="s">
        <v>5</v>
      </c>
    </row>
    <row r="7094" spans="1:3" ht="15.75" thickBot="1">
      <c r="A7094" s="6" t="s">
        <v>13515</v>
      </c>
      <c r="B7094" s="5" t="s">
        <v>13516</v>
      </c>
      <c r="C7094" s="3" t="s">
        <v>5</v>
      </c>
    </row>
    <row r="7095" spans="1:3" ht="15.75" thickBot="1">
      <c r="A7095" s="6" t="s">
        <v>13517</v>
      </c>
      <c r="B7095" s="5" t="s">
        <v>13518</v>
      </c>
      <c r="C7095" s="3" t="s">
        <v>5</v>
      </c>
    </row>
    <row r="7096" spans="1:3" ht="15.75" thickBot="1">
      <c r="A7096" s="6" t="s">
        <v>13519</v>
      </c>
      <c r="B7096" s="5" t="s">
        <v>13520</v>
      </c>
      <c r="C7096" s="3" t="s">
        <v>5</v>
      </c>
    </row>
    <row r="7097" spans="1:3" ht="15.75" thickBot="1">
      <c r="A7097" s="6" t="s">
        <v>13521</v>
      </c>
      <c r="B7097" s="5" t="s">
        <v>13522</v>
      </c>
      <c r="C7097" s="3" t="s">
        <v>5</v>
      </c>
    </row>
    <row r="7098" spans="1:3" ht="15.75" thickBot="1">
      <c r="A7098" s="6" t="s">
        <v>13523</v>
      </c>
      <c r="B7098" s="5" t="s">
        <v>13524</v>
      </c>
      <c r="C7098" s="3" t="s">
        <v>5</v>
      </c>
    </row>
    <row r="7099" spans="1:3" ht="15.75" thickBot="1">
      <c r="A7099" s="6" t="s">
        <v>13525</v>
      </c>
      <c r="B7099" s="5" t="s">
        <v>13526</v>
      </c>
      <c r="C7099" s="3" t="s">
        <v>5</v>
      </c>
    </row>
    <row r="7100" spans="1:3" ht="15.75" thickBot="1">
      <c r="A7100" s="6" t="s">
        <v>13527</v>
      </c>
      <c r="B7100" s="5" t="s">
        <v>13528</v>
      </c>
      <c r="C7100" s="3" t="s">
        <v>5</v>
      </c>
    </row>
    <row r="7101" spans="1:3" ht="15.75" thickBot="1">
      <c r="A7101" s="6" t="s">
        <v>13529</v>
      </c>
      <c r="B7101" s="5" t="s">
        <v>13530</v>
      </c>
      <c r="C7101" s="3" t="s">
        <v>5</v>
      </c>
    </row>
    <row r="7102" spans="1:3" ht="15.75" thickBot="1">
      <c r="A7102" s="6" t="s">
        <v>13531</v>
      </c>
      <c r="B7102" s="5" t="s">
        <v>13532</v>
      </c>
      <c r="C7102" s="3" t="s">
        <v>5</v>
      </c>
    </row>
    <row r="7103" spans="1:3" ht="15.75" thickBot="1">
      <c r="A7103" s="6" t="s">
        <v>13533</v>
      </c>
      <c r="B7103" s="5" t="s">
        <v>13534</v>
      </c>
      <c r="C7103" s="3" t="s">
        <v>5</v>
      </c>
    </row>
    <row r="7104" spans="1:3" ht="15.75" thickBot="1">
      <c r="A7104" s="6" t="s">
        <v>13535</v>
      </c>
      <c r="B7104" s="5" t="s">
        <v>13536</v>
      </c>
      <c r="C7104" s="3" t="s">
        <v>5</v>
      </c>
    </row>
    <row r="7105" spans="1:3" ht="15.75" thickBot="1">
      <c r="A7105" s="6" t="s">
        <v>13537</v>
      </c>
      <c r="B7105" s="5" t="s">
        <v>13538</v>
      </c>
      <c r="C7105" s="3" t="s">
        <v>5</v>
      </c>
    </row>
    <row r="7106" spans="1:3" ht="15.75" thickBot="1">
      <c r="A7106" s="6" t="s">
        <v>13539</v>
      </c>
      <c r="B7106" s="5" t="s">
        <v>13540</v>
      </c>
      <c r="C7106" s="3" t="s">
        <v>5</v>
      </c>
    </row>
    <row r="7107" spans="1:3" ht="15.75" thickBot="1">
      <c r="A7107" s="6" t="s">
        <v>13541</v>
      </c>
      <c r="B7107" s="5" t="s">
        <v>13542</v>
      </c>
      <c r="C7107" s="3" t="s">
        <v>5</v>
      </c>
    </row>
    <row r="7108" spans="1:3" ht="15.75" thickBot="1">
      <c r="A7108" s="6" t="s">
        <v>13543</v>
      </c>
      <c r="B7108" s="5" t="s">
        <v>13544</v>
      </c>
      <c r="C7108" s="3" t="s">
        <v>5</v>
      </c>
    </row>
    <row r="7109" spans="1:3" ht="15.75" thickBot="1">
      <c r="A7109" s="6" t="s">
        <v>13545</v>
      </c>
      <c r="B7109" s="5" t="s">
        <v>13546</v>
      </c>
      <c r="C7109" s="3" t="s">
        <v>5</v>
      </c>
    </row>
    <row r="7110" spans="1:3" ht="15.75" thickBot="1">
      <c r="A7110" s="6" t="s">
        <v>13547</v>
      </c>
      <c r="B7110" s="5" t="s">
        <v>13548</v>
      </c>
      <c r="C7110" s="3" t="s">
        <v>5</v>
      </c>
    </row>
    <row r="7111" spans="1:3" ht="15.75" thickBot="1">
      <c r="A7111" s="6" t="s">
        <v>13549</v>
      </c>
      <c r="B7111" s="5" t="s">
        <v>13550</v>
      </c>
      <c r="C7111" s="3" t="s">
        <v>5</v>
      </c>
    </row>
    <row r="7112" spans="1:3" ht="15.75" thickBot="1">
      <c r="A7112" s="6" t="s">
        <v>13551</v>
      </c>
      <c r="B7112" s="5" t="s">
        <v>13552</v>
      </c>
      <c r="C7112" s="3" t="s">
        <v>5</v>
      </c>
    </row>
    <row r="7113" spans="1:3" ht="15.75" thickBot="1">
      <c r="A7113" s="6" t="s">
        <v>13553</v>
      </c>
      <c r="B7113" s="5" t="s">
        <v>13554</v>
      </c>
      <c r="C7113" s="3" t="s">
        <v>5</v>
      </c>
    </row>
    <row r="7114" spans="1:3" ht="15.75" thickBot="1">
      <c r="A7114" s="6" t="s">
        <v>13555</v>
      </c>
      <c r="B7114" s="5" t="s">
        <v>13556</v>
      </c>
      <c r="C7114" s="3" t="s">
        <v>5</v>
      </c>
    </row>
    <row r="7115" spans="1:3" ht="15.75" thickBot="1">
      <c r="A7115" s="6" t="s">
        <v>13557</v>
      </c>
      <c r="B7115" s="5" t="s">
        <v>11445</v>
      </c>
      <c r="C7115" s="3" t="s">
        <v>5</v>
      </c>
    </row>
    <row r="7116" spans="1:3">
      <c r="A7116" s="1" t="s">
        <v>13558</v>
      </c>
      <c r="B7116" s="2" t="s">
        <v>13559</v>
      </c>
      <c r="C7116" s="3" t="s">
        <v>5</v>
      </c>
    </row>
    <row r="7117" spans="1:3" ht="15.75" thickBot="1">
      <c r="A7117" s="4"/>
      <c r="B7117" s="5" t="s">
        <v>3193</v>
      </c>
      <c r="C7117" s="3" t="s">
        <v>5</v>
      </c>
    </row>
    <row r="7118" spans="1:3" ht="15.75" thickBot="1">
      <c r="A7118" s="6" t="s">
        <v>13560</v>
      </c>
      <c r="B7118" s="5" t="s">
        <v>13561</v>
      </c>
      <c r="C7118" s="3" t="s">
        <v>5</v>
      </c>
    </row>
    <row r="7119" spans="1:3" ht="15.75" thickBot="1">
      <c r="A7119" s="6" t="s">
        <v>13562</v>
      </c>
      <c r="B7119" s="5" t="s">
        <v>13563</v>
      </c>
      <c r="C7119" s="3" t="s">
        <v>5</v>
      </c>
    </row>
    <row r="7120" spans="1:3" ht="15.75" thickBot="1">
      <c r="A7120" s="6" t="s">
        <v>13564</v>
      </c>
      <c r="B7120" s="5" t="s">
        <v>13565</v>
      </c>
      <c r="C7120" s="3" t="s">
        <v>5</v>
      </c>
    </row>
    <row r="7121" spans="1:3" ht="15.75" thickBot="1">
      <c r="A7121" s="6" t="s">
        <v>13566</v>
      </c>
      <c r="B7121" s="5" t="s">
        <v>13567</v>
      </c>
      <c r="C7121" s="3" t="s">
        <v>5</v>
      </c>
    </row>
    <row r="7122" spans="1:3" ht="15.75" thickBot="1">
      <c r="A7122" s="6" t="s">
        <v>13568</v>
      </c>
      <c r="B7122" s="5" t="e">
        <f xml:space="preserve"> frame type switchboard</f>
        <v>#NAME?</v>
      </c>
      <c r="C7122" s="3" t="s">
        <v>5</v>
      </c>
    </row>
    <row r="7123" spans="1:3" ht="15.75" thickBot="1">
      <c r="A7123" s="6" t="s">
        <v>13569</v>
      </c>
      <c r="B7123" s="5" t="s">
        <v>13570</v>
      </c>
      <c r="C7123" s="3" t="s">
        <v>5</v>
      </c>
    </row>
    <row r="7124" spans="1:3" ht="15.75" thickBot="1">
      <c r="A7124" s="6" t="s">
        <v>13571</v>
      </c>
      <c r="B7124" s="5" t="s">
        <v>13572</v>
      </c>
      <c r="C7124" s="3" t="s">
        <v>5</v>
      </c>
    </row>
    <row r="7125" spans="1:3" ht="15.75" thickBot="1">
      <c r="A7125" s="6" t="s">
        <v>13573</v>
      </c>
      <c r="B7125" s="5" t="s">
        <v>13574</v>
      </c>
      <c r="C7125" s="3" t="s">
        <v>5</v>
      </c>
    </row>
    <row r="7126" spans="1:3" ht="15.75" thickBot="1">
      <c r="A7126" s="6" t="s">
        <v>13575</v>
      </c>
      <c r="B7126" s="5" t="s">
        <v>13576</v>
      </c>
      <c r="C7126" s="3" t="s">
        <v>5</v>
      </c>
    </row>
    <row r="7127" spans="1:3" ht="15.75" thickBot="1">
      <c r="A7127" s="6" t="s">
        <v>13577</v>
      </c>
      <c r="B7127" s="5" t="s">
        <v>13578</v>
      </c>
      <c r="C7127" s="3" t="s">
        <v>5</v>
      </c>
    </row>
    <row r="7128" spans="1:3" ht="15.75" thickBot="1">
      <c r="A7128" s="6" t="s">
        <v>13579</v>
      </c>
      <c r="B7128" s="5" t="s">
        <v>13580</v>
      </c>
      <c r="C7128" s="3" t="s">
        <v>5</v>
      </c>
    </row>
    <row r="7129" spans="1:3" ht="15.75" thickBot="1">
      <c r="A7129" s="6" t="s">
        <v>13581</v>
      </c>
      <c r="B7129" s="5" t="s">
        <v>13582</v>
      </c>
      <c r="C7129" s="3" t="s">
        <v>5</v>
      </c>
    </row>
    <row r="7130" spans="1:3" ht="15.75" thickBot="1">
      <c r="A7130" s="6" t="s">
        <v>13583</v>
      </c>
      <c r="B7130" s="5" t="s">
        <v>13584</v>
      </c>
      <c r="C7130" s="3" t="s">
        <v>5</v>
      </c>
    </row>
    <row r="7131" spans="1:3" ht="15.75" thickBot="1">
      <c r="A7131" s="6" t="s">
        <v>13585</v>
      </c>
      <c r="B7131" s="5" t="s">
        <v>13586</v>
      </c>
      <c r="C7131" s="3" t="s">
        <v>5</v>
      </c>
    </row>
    <row r="7132" spans="1:3" ht="15.75" thickBot="1">
      <c r="A7132" s="6" t="s">
        <v>13587</v>
      </c>
      <c r="B7132" s="5" t="s">
        <v>13588</v>
      </c>
      <c r="C7132" s="3" t="s">
        <v>5</v>
      </c>
    </row>
    <row r="7133" spans="1:3" ht="15.75" thickBot="1">
      <c r="A7133" s="6" t="s">
        <v>13589</v>
      </c>
      <c r="B7133" s="5" t="s">
        <v>13590</v>
      </c>
      <c r="C7133" s="3" t="s">
        <v>5</v>
      </c>
    </row>
    <row r="7134" spans="1:3" ht="15.75" thickBot="1">
      <c r="A7134" s="6" t="s">
        <v>13591</v>
      </c>
      <c r="B7134" s="5" t="s">
        <v>13592</v>
      </c>
      <c r="C7134" s="3" t="s">
        <v>5</v>
      </c>
    </row>
    <row r="7135" spans="1:3" ht="15.75" thickBot="1">
      <c r="A7135" s="6" t="s">
        <v>13593</v>
      </c>
      <c r="B7135" s="5" t="s">
        <v>13594</v>
      </c>
      <c r="C7135" s="3" t="s">
        <v>5</v>
      </c>
    </row>
    <row r="7136" spans="1:3" ht="15.75" thickBot="1">
      <c r="A7136" s="6" t="s">
        <v>13595</v>
      </c>
      <c r="B7136" s="5" t="s">
        <v>13596</v>
      </c>
      <c r="C7136" s="3" t="s">
        <v>5</v>
      </c>
    </row>
    <row r="7137" spans="1:3" ht="15.75" thickBot="1">
      <c r="A7137" s="6" t="s">
        <v>13597</v>
      </c>
      <c r="B7137" s="5" t="s">
        <v>13598</v>
      </c>
      <c r="C7137" s="3" t="s">
        <v>5</v>
      </c>
    </row>
    <row r="7138" spans="1:3" ht="15.75" thickBot="1">
      <c r="A7138" s="6" t="s">
        <v>13599</v>
      </c>
      <c r="B7138" s="5" t="s">
        <v>13600</v>
      </c>
      <c r="C7138" s="3" t="s">
        <v>5</v>
      </c>
    </row>
    <row r="7139" spans="1:3" ht="15.75" thickBot="1">
      <c r="A7139" s="6" t="s">
        <v>13601</v>
      </c>
      <c r="B7139" s="5" t="s">
        <v>13602</v>
      </c>
      <c r="C7139" s="3" t="s">
        <v>5</v>
      </c>
    </row>
    <row r="7140" spans="1:3" ht="15.75" thickBot="1">
      <c r="A7140" s="6" t="s">
        <v>13603</v>
      </c>
      <c r="B7140" s="5" t="s">
        <v>13604</v>
      </c>
      <c r="C7140" s="3" t="s">
        <v>5</v>
      </c>
    </row>
    <row r="7141" spans="1:3" ht="15.75" thickBot="1">
      <c r="A7141" s="6" t="s">
        <v>13605</v>
      </c>
      <c r="B7141" s="5" t="s">
        <v>13606</v>
      </c>
      <c r="C7141" s="3" t="s">
        <v>5</v>
      </c>
    </row>
    <row r="7142" spans="1:3" ht="15.75" thickBot="1">
      <c r="A7142" s="6" t="s">
        <v>13607</v>
      </c>
      <c r="B7142" s="5" t="s">
        <v>13608</v>
      </c>
      <c r="C7142" s="3" t="s">
        <v>5</v>
      </c>
    </row>
    <row r="7143" spans="1:3" ht="15.75" thickBot="1">
      <c r="A7143" s="6" t="s">
        <v>13609</v>
      </c>
      <c r="B7143" s="5" t="s">
        <v>13610</v>
      </c>
      <c r="C7143" s="3" t="s">
        <v>5</v>
      </c>
    </row>
    <row r="7144" spans="1:3" ht="15.75" thickBot="1">
      <c r="A7144" s="6" t="s">
        <v>13611</v>
      </c>
      <c r="B7144" s="5" t="s">
        <v>13612</v>
      </c>
      <c r="C7144" s="3" t="s">
        <v>5</v>
      </c>
    </row>
    <row r="7145" spans="1:3" ht="15.75" thickBot="1">
      <c r="A7145" s="6" t="s">
        <v>13613</v>
      </c>
      <c r="B7145" s="5" t="s">
        <v>13614</v>
      </c>
      <c r="C7145" s="3" t="s">
        <v>5</v>
      </c>
    </row>
    <row r="7146" spans="1:3" ht="15.75" thickBot="1">
      <c r="A7146" s="6" t="s">
        <v>13615</v>
      </c>
      <c r="B7146" s="5" t="s">
        <v>13616</v>
      </c>
      <c r="C7146" s="3" t="s">
        <v>5</v>
      </c>
    </row>
    <row r="7147" spans="1:3" ht="15.75" thickBot="1">
      <c r="A7147" s="6" t="s">
        <v>13617</v>
      </c>
      <c r="B7147" s="5" t="s">
        <v>13618</v>
      </c>
      <c r="C7147" s="3" t="s">
        <v>5</v>
      </c>
    </row>
    <row r="7148" spans="1:3" ht="15.75" thickBot="1">
      <c r="A7148" s="6" t="s">
        <v>13619</v>
      </c>
      <c r="B7148" s="5" t="s">
        <v>13620</v>
      </c>
      <c r="C7148" s="3" t="s">
        <v>5</v>
      </c>
    </row>
    <row r="7149" spans="1:3" ht="15.75" thickBot="1">
      <c r="A7149" s="6" t="s">
        <v>13621</v>
      </c>
      <c r="B7149" s="5" t="s">
        <v>13622</v>
      </c>
      <c r="C7149" s="3" t="s">
        <v>5</v>
      </c>
    </row>
    <row r="7150" spans="1:3" ht="15.75" thickBot="1">
      <c r="A7150" s="6" t="s">
        <v>13623</v>
      </c>
      <c r="B7150" s="5" t="s">
        <v>13624</v>
      </c>
      <c r="C7150" s="3" t="s">
        <v>5</v>
      </c>
    </row>
    <row r="7151" spans="1:3" ht="15.75" thickBot="1">
      <c r="A7151" s="6" t="s">
        <v>13625</v>
      </c>
      <c r="B7151" s="5" t="s">
        <v>13626</v>
      </c>
      <c r="C7151" s="3" t="s">
        <v>5</v>
      </c>
    </row>
    <row r="7152" spans="1:3" ht="15.75" thickBot="1">
      <c r="A7152" s="6" t="s">
        <v>13627</v>
      </c>
      <c r="B7152" s="5" t="s">
        <v>13628</v>
      </c>
      <c r="C7152" s="3" t="s">
        <v>5</v>
      </c>
    </row>
    <row r="7153" spans="1:3" ht="15.75" thickBot="1">
      <c r="A7153" s="6" t="s">
        <v>13629</v>
      </c>
      <c r="B7153" s="5" t="s">
        <v>13630</v>
      </c>
      <c r="C7153" s="3" t="s">
        <v>5</v>
      </c>
    </row>
    <row r="7154" spans="1:3" ht="15.75" thickBot="1">
      <c r="A7154" s="6" t="s">
        <v>13631</v>
      </c>
      <c r="B7154" s="5" t="s">
        <v>13632</v>
      </c>
      <c r="C7154" s="3" t="s">
        <v>5</v>
      </c>
    </row>
    <row r="7155" spans="1:3" ht="15.75" thickBot="1">
      <c r="A7155" s="6" t="s">
        <v>13633</v>
      </c>
      <c r="B7155" s="5" t="s">
        <v>13634</v>
      </c>
      <c r="C7155" s="3" t="s">
        <v>5</v>
      </c>
    </row>
    <row r="7156" spans="1:3" ht="15.75" thickBot="1">
      <c r="A7156" s="6" t="s">
        <v>13635</v>
      </c>
      <c r="B7156" s="5" t="s">
        <v>13636</v>
      </c>
      <c r="C7156" s="3" t="s">
        <v>5</v>
      </c>
    </row>
    <row r="7157" spans="1:3" ht="15.75" thickBot="1">
      <c r="A7157" s="6" t="s">
        <v>13637</v>
      </c>
      <c r="B7157" s="5" t="s">
        <v>13638</v>
      </c>
      <c r="C7157" s="3" t="s">
        <v>5</v>
      </c>
    </row>
    <row r="7158" spans="1:3" ht="15.75" thickBot="1">
      <c r="A7158" s="6" t="s">
        <v>13639</v>
      </c>
      <c r="B7158" s="5" t="s">
        <v>13640</v>
      </c>
      <c r="C7158" s="3" t="s">
        <v>5</v>
      </c>
    </row>
    <row r="7159" spans="1:3" ht="15.75" thickBot="1">
      <c r="A7159" s="6" t="s">
        <v>13641</v>
      </c>
      <c r="B7159" s="5" t="s">
        <v>10583</v>
      </c>
      <c r="C7159" s="3" t="s">
        <v>5</v>
      </c>
    </row>
    <row r="7160" spans="1:3" ht="15.75" thickBot="1">
      <c r="A7160" s="6" t="s">
        <v>13642</v>
      </c>
      <c r="B7160" s="5" t="s">
        <v>13643</v>
      </c>
      <c r="C7160" s="3" t="s">
        <v>5</v>
      </c>
    </row>
    <row r="7161" spans="1:3" ht="15.75" thickBot="1">
      <c r="A7161" s="6" t="s">
        <v>13644</v>
      </c>
      <c r="B7161" s="5" t="s">
        <v>13645</v>
      </c>
      <c r="C7161" s="3" t="s">
        <v>5</v>
      </c>
    </row>
    <row r="7162" spans="1:3" ht="15.75" thickBot="1">
      <c r="A7162" s="6" t="s">
        <v>13646</v>
      </c>
      <c r="B7162" s="5" t="s">
        <v>13647</v>
      </c>
      <c r="C7162" s="3" t="s">
        <v>5</v>
      </c>
    </row>
    <row r="7163" spans="1:3" ht="15.75" thickBot="1">
      <c r="A7163" s="6" t="s">
        <v>13648</v>
      </c>
      <c r="B7163" s="5" t="s">
        <v>13649</v>
      </c>
      <c r="C7163" s="3" t="s">
        <v>5</v>
      </c>
    </row>
    <row r="7164" spans="1:3" ht="15.75" thickBot="1">
      <c r="A7164" s="6" t="s">
        <v>13650</v>
      </c>
      <c r="B7164" s="5" t="s">
        <v>13651</v>
      </c>
      <c r="C7164" s="3" t="s">
        <v>5</v>
      </c>
    </row>
    <row r="7165" spans="1:3" ht="15.75" thickBot="1">
      <c r="A7165" s="6" t="s">
        <v>13652</v>
      </c>
      <c r="B7165" s="5" t="s">
        <v>13653</v>
      </c>
      <c r="C7165" s="3" t="s">
        <v>5</v>
      </c>
    </row>
    <row r="7166" spans="1:3" ht="15.75" thickBot="1">
      <c r="A7166" s="6" t="s">
        <v>13654</v>
      </c>
      <c r="B7166" s="5" t="s">
        <v>13655</v>
      </c>
      <c r="C7166" s="3" t="s">
        <v>5</v>
      </c>
    </row>
    <row r="7167" spans="1:3" ht="15.75" thickBot="1">
      <c r="A7167" s="6" t="s">
        <v>13656</v>
      </c>
      <c r="B7167" s="5" t="s">
        <v>13657</v>
      </c>
      <c r="C7167" s="3" t="s">
        <v>5</v>
      </c>
    </row>
    <row r="7168" spans="1:3" ht="15.75" thickBot="1">
      <c r="A7168" s="6" t="s">
        <v>13658</v>
      </c>
      <c r="B7168" s="5" t="s">
        <v>13659</v>
      </c>
      <c r="C7168" s="3" t="s">
        <v>5</v>
      </c>
    </row>
    <row r="7169" spans="1:3" ht="15.75" thickBot="1">
      <c r="A7169" s="6" t="s">
        <v>13660</v>
      </c>
      <c r="B7169" s="5" t="s">
        <v>13661</v>
      </c>
      <c r="C7169" s="3" t="s">
        <v>5</v>
      </c>
    </row>
    <row r="7170" spans="1:3" ht="15.75" thickBot="1">
      <c r="A7170" s="6" t="s">
        <v>13662</v>
      </c>
      <c r="B7170" s="5" t="s">
        <v>13663</v>
      </c>
      <c r="C7170" s="3" t="s">
        <v>5</v>
      </c>
    </row>
    <row r="7171" spans="1:3" ht="15.75" thickBot="1">
      <c r="A7171" s="6" t="s">
        <v>13664</v>
      </c>
      <c r="B7171" s="5" t="s">
        <v>13665</v>
      </c>
      <c r="C7171" s="3" t="s">
        <v>5</v>
      </c>
    </row>
    <row r="7172" spans="1:3" ht="15.75" thickBot="1">
      <c r="A7172" s="6" t="s">
        <v>13666</v>
      </c>
      <c r="B7172" s="5" t="s">
        <v>13667</v>
      </c>
      <c r="C7172" s="3" t="s">
        <v>5</v>
      </c>
    </row>
    <row r="7173" spans="1:3" ht="15.75" thickBot="1">
      <c r="A7173" s="6" t="s">
        <v>13668</v>
      </c>
      <c r="B7173" s="5" t="s">
        <v>13669</v>
      </c>
      <c r="C7173" s="3" t="s">
        <v>5</v>
      </c>
    </row>
    <row r="7174" spans="1:3" ht="15.75" thickBot="1">
      <c r="A7174" s="6" t="s">
        <v>13670</v>
      </c>
      <c r="B7174" s="5" t="e">
        <f xml:space="preserve"> gram calorie</f>
        <v>#NAME?</v>
      </c>
      <c r="C7174" s="3" t="s">
        <v>5</v>
      </c>
    </row>
    <row r="7175" spans="1:3" ht="15.75" thickBot="1">
      <c r="A7175" s="6" t="s">
        <v>13671</v>
      </c>
      <c r="B7175" s="5" t="s">
        <v>13672</v>
      </c>
      <c r="C7175" s="3" t="s">
        <v>5</v>
      </c>
    </row>
    <row r="7176" spans="1:3" ht="15.75" thickBot="1">
      <c r="A7176" s="6" t="s">
        <v>13673</v>
      </c>
      <c r="B7176" s="5" t="s">
        <v>13674</v>
      </c>
      <c r="C7176" s="3" t="s">
        <v>5</v>
      </c>
    </row>
    <row r="7177" spans="1:3" ht="15.75" thickBot="1">
      <c r="A7177" s="6" t="s">
        <v>13675</v>
      </c>
      <c r="B7177" s="5" t="s">
        <v>13676</v>
      </c>
      <c r="C7177" s="3" t="s">
        <v>5</v>
      </c>
    </row>
    <row r="7178" spans="1:3" ht="15.75" thickBot="1">
      <c r="A7178" s="6" t="s">
        <v>13677</v>
      </c>
      <c r="B7178" s="5" t="s">
        <v>13678</v>
      </c>
      <c r="C7178" s="3" t="s">
        <v>5</v>
      </c>
    </row>
    <row r="7179" spans="1:3" ht="15.75" thickBot="1">
      <c r="A7179" s="6" t="s">
        <v>13679</v>
      </c>
      <c r="B7179" s="5" t="s">
        <v>13680</v>
      </c>
      <c r="C7179" s="3" t="s">
        <v>5</v>
      </c>
    </row>
    <row r="7180" spans="1:3">
      <c r="A7180" s="1" t="s">
        <v>13681</v>
      </c>
      <c r="B7180" s="2" t="s">
        <v>13682</v>
      </c>
      <c r="C7180" s="3" t="s">
        <v>5</v>
      </c>
    </row>
    <row r="7181" spans="1:3" ht="15.75" thickBot="1">
      <c r="A7181" s="4"/>
      <c r="B7181" s="5" t="s">
        <v>13683</v>
      </c>
      <c r="C7181" s="3" t="s">
        <v>5</v>
      </c>
    </row>
    <row r="7182" spans="1:3" ht="15.75" thickBot="1">
      <c r="A7182" s="6" t="s">
        <v>13684</v>
      </c>
      <c r="B7182" s="5" t="s">
        <v>13685</v>
      </c>
      <c r="C7182" s="3" t="s">
        <v>5</v>
      </c>
    </row>
    <row r="7183" spans="1:3" ht="15.75" thickBot="1">
      <c r="A7183" s="6" t="s">
        <v>13686</v>
      </c>
      <c r="B7183" s="5" t="s">
        <v>13687</v>
      </c>
      <c r="C7183" s="3" t="s">
        <v>5</v>
      </c>
    </row>
    <row r="7184" spans="1:3" ht="15.75" thickBot="1">
      <c r="A7184" s="6" t="s">
        <v>13688</v>
      </c>
      <c r="B7184" s="5" t="s">
        <v>13689</v>
      </c>
      <c r="C7184" s="3" t="s">
        <v>5</v>
      </c>
    </row>
    <row r="7185" spans="1:3" ht="15.75" thickBot="1">
      <c r="A7185" s="6" t="s">
        <v>13690</v>
      </c>
      <c r="B7185" s="5" t="s">
        <v>13691</v>
      </c>
      <c r="C7185" s="3" t="s">
        <v>5</v>
      </c>
    </row>
    <row r="7186" spans="1:3" ht="15.75" thickBot="1">
      <c r="A7186" s="6" t="s">
        <v>13692</v>
      </c>
      <c r="B7186" s="5" t="s">
        <v>13693</v>
      </c>
      <c r="C7186" s="3" t="s">
        <v>5</v>
      </c>
    </row>
    <row r="7187" spans="1:3" ht="15.75" thickBot="1">
      <c r="A7187" s="6" t="s">
        <v>13694</v>
      </c>
      <c r="B7187" s="5" t="s">
        <v>13695</v>
      </c>
      <c r="C7187" s="3" t="s">
        <v>5</v>
      </c>
    </row>
    <row r="7188" spans="1:3" ht="15.75" thickBot="1">
      <c r="A7188" s="6" t="s">
        <v>13696</v>
      </c>
      <c r="B7188" s="5" t="s">
        <v>13697</v>
      </c>
      <c r="C7188" s="3" t="s">
        <v>5</v>
      </c>
    </row>
    <row r="7189" spans="1:3" ht="15.75" thickBot="1">
      <c r="A7189" s="6" t="s">
        <v>13698</v>
      </c>
      <c r="B7189" s="5" t="s">
        <v>3918</v>
      </c>
      <c r="C7189" s="3" t="s">
        <v>5</v>
      </c>
    </row>
    <row r="7190" spans="1:3" ht="15.75" thickBot="1">
      <c r="A7190" s="6" t="s">
        <v>13699</v>
      </c>
      <c r="B7190" s="5" t="s">
        <v>13700</v>
      </c>
      <c r="C7190" s="3" t="s">
        <v>5</v>
      </c>
    </row>
    <row r="7191" spans="1:3" ht="15.75" thickBot="1">
      <c r="A7191" s="6" t="s">
        <v>13701</v>
      </c>
      <c r="B7191" s="5" t="s">
        <v>13702</v>
      </c>
      <c r="C7191" s="3" t="s">
        <v>5</v>
      </c>
    </row>
    <row r="7192" spans="1:3" ht="15.75" thickBot="1">
      <c r="A7192" s="6" t="s">
        <v>13703</v>
      </c>
      <c r="B7192" s="5" t="s">
        <v>13704</v>
      </c>
      <c r="C7192" s="3" t="s">
        <v>5</v>
      </c>
    </row>
    <row r="7193" spans="1:3" ht="15.75" thickBot="1">
      <c r="A7193" s="6" t="s">
        <v>13705</v>
      </c>
      <c r="B7193" s="5" t="s">
        <v>13706</v>
      </c>
      <c r="C7193" s="3" t="s">
        <v>5</v>
      </c>
    </row>
    <row r="7194" spans="1:3" ht="15.75" thickBot="1">
      <c r="A7194" s="6" t="s">
        <v>13707</v>
      </c>
      <c r="B7194" s="5" t="s">
        <v>13708</v>
      </c>
      <c r="C7194" s="3" t="s">
        <v>5</v>
      </c>
    </row>
    <row r="7195" spans="1:3" ht="15.75" thickBot="1">
      <c r="A7195" s="6" t="s">
        <v>13709</v>
      </c>
      <c r="B7195" s="5" t="s">
        <v>13710</v>
      </c>
      <c r="C7195" s="3" t="s">
        <v>5</v>
      </c>
    </row>
    <row r="7196" spans="1:3" ht="15.75" thickBot="1">
      <c r="A7196" s="6" t="s">
        <v>13711</v>
      </c>
      <c r="B7196" s="5" t="s">
        <v>13712</v>
      </c>
      <c r="C7196" s="3" t="s">
        <v>5</v>
      </c>
    </row>
    <row r="7197" spans="1:3" ht="15.75" thickBot="1">
      <c r="A7197" s="6" t="s">
        <v>13713</v>
      </c>
      <c r="B7197" s="5" t="s">
        <v>13714</v>
      </c>
      <c r="C7197" s="3" t="s">
        <v>5</v>
      </c>
    </row>
    <row r="7198" spans="1:3" ht="15.75" thickBot="1">
      <c r="A7198" s="6" t="s">
        <v>13715</v>
      </c>
      <c r="B7198" s="5" t="s">
        <v>13716</v>
      </c>
      <c r="C7198" s="3" t="s">
        <v>5</v>
      </c>
    </row>
    <row r="7199" spans="1:3" ht="15.75" thickBot="1">
      <c r="A7199" s="6" t="s">
        <v>13717</v>
      </c>
      <c r="B7199" s="5" t="s">
        <v>13718</v>
      </c>
      <c r="C7199" s="3" t="s">
        <v>5</v>
      </c>
    </row>
    <row r="7200" spans="1:3" ht="15.75" thickBot="1">
      <c r="A7200" s="6" t="s">
        <v>13719</v>
      </c>
      <c r="B7200" s="5" t="s">
        <v>13720</v>
      </c>
      <c r="C7200" s="3" t="s">
        <v>5</v>
      </c>
    </row>
    <row r="7201" spans="1:3" ht="15.75" thickBot="1">
      <c r="A7201" s="6" t="s">
        <v>13721</v>
      </c>
      <c r="B7201" s="5" t="s">
        <v>13722</v>
      </c>
      <c r="C7201" s="3" t="s">
        <v>5</v>
      </c>
    </row>
    <row r="7202" spans="1:3" ht="15.75" thickBot="1">
      <c r="A7202" s="6" t="s">
        <v>13723</v>
      </c>
      <c r="B7202" s="5" t="s">
        <v>13724</v>
      </c>
      <c r="C7202" s="3" t="s">
        <v>5</v>
      </c>
    </row>
    <row r="7203" spans="1:3" ht="15.75" thickBot="1">
      <c r="A7203" s="6" t="s">
        <v>13725</v>
      </c>
      <c r="B7203" s="5" t="s">
        <v>13726</v>
      </c>
      <c r="C7203" s="3" t="s">
        <v>5</v>
      </c>
    </row>
    <row r="7204" spans="1:3" ht="15.75" thickBot="1">
      <c r="A7204" s="6" t="s">
        <v>13727</v>
      </c>
      <c r="B7204" s="5" t="s">
        <v>13728</v>
      </c>
      <c r="C7204" s="3" t="s">
        <v>5</v>
      </c>
    </row>
    <row r="7205" spans="1:3" ht="15.75" thickBot="1">
      <c r="A7205" s="6" t="s">
        <v>13729</v>
      </c>
      <c r="B7205" s="5" t="s">
        <v>13730</v>
      </c>
      <c r="C7205" s="3" t="s">
        <v>5</v>
      </c>
    </row>
    <row r="7206" spans="1:3" ht="15.75" thickBot="1">
      <c r="A7206" s="6" t="s">
        <v>13731</v>
      </c>
      <c r="B7206" s="5" t="s">
        <v>13732</v>
      </c>
      <c r="C7206" s="3" t="s">
        <v>5</v>
      </c>
    </row>
    <row r="7207" spans="1:3" ht="15.75" thickBot="1">
      <c r="A7207" s="6" t="s">
        <v>13733</v>
      </c>
      <c r="B7207" s="5" t="s">
        <v>13734</v>
      </c>
      <c r="C7207" s="3" t="s">
        <v>5</v>
      </c>
    </row>
    <row r="7208" spans="1:3" ht="15.75" thickBot="1">
      <c r="A7208" s="6" t="s">
        <v>13735</v>
      </c>
      <c r="B7208" s="5" t="s">
        <v>13736</v>
      </c>
      <c r="C7208" s="3" t="s">
        <v>5</v>
      </c>
    </row>
    <row r="7209" spans="1:3" ht="15.75" thickBot="1">
      <c r="A7209" s="6" t="s">
        <v>13735</v>
      </c>
      <c r="B7209" s="5" t="s">
        <v>13737</v>
      </c>
      <c r="C7209" s="3" t="s">
        <v>5</v>
      </c>
    </row>
    <row r="7210" spans="1:3">
      <c r="A7210" s="1" t="s">
        <v>1933</v>
      </c>
      <c r="B7210" s="2" t="s">
        <v>13738</v>
      </c>
      <c r="C7210" s="3" t="s">
        <v>5</v>
      </c>
    </row>
    <row r="7211" spans="1:3" ht="15.75" thickBot="1">
      <c r="A7211" s="4"/>
      <c r="B7211" s="5" t="s">
        <v>13739</v>
      </c>
      <c r="C7211" s="3" t="s">
        <v>5</v>
      </c>
    </row>
    <row r="7212" spans="1:3" ht="15.75" thickBot="1">
      <c r="A7212" s="6" t="s">
        <v>13740</v>
      </c>
      <c r="B7212" s="5" t="s">
        <v>13741</v>
      </c>
      <c r="C7212" s="3" t="s">
        <v>5</v>
      </c>
    </row>
    <row r="7213" spans="1:3" ht="15.75" thickBot="1">
      <c r="A7213" s="6" t="s">
        <v>13742</v>
      </c>
      <c r="B7213" s="5" t="s">
        <v>13743</v>
      </c>
      <c r="C7213" s="3" t="s">
        <v>5</v>
      </c>
    </row>
    <row r="7214" spans="1:3" ht="15.75" thickBot="1">
      <c r="A7214" s="6" t="s">
        <v>13744</v>
      </c>
      <c r="B7214" s="5" t="s">
        <v>13745</v>
      </c>
      <c r="C7214" s="3" t="s">
        <v>5</v>
      </c>
    </row>
    <row r="7215" spans="1:3" ht="15.75" thickBot="1">
      <c r="A7215" s="6" t="s">
        <v>13746</v>
      </c>
      <c r="B7215" s="5" t="s">
        <v>13747</v>
      </c>
      <c r="C7215" s="3" t="s">
        <v>5</v>
      </c>
    </row>
    <row r="7216" spans="1:3" ht="15.75" thickBot="1">
      <c r="A7216" s="6" t="s">
        <v>13748</v>
      </c>
      <c r="B7216" s="5" t="s">
        <v>13749</v>
      </c>
      <c r="C7216" s="3" t="s">
        <v>5</v>
      </c>
    </row>
    <row r="7217" spans="1:3" ht="15.75" thickBot="1">
      <c r="A7217" s="6" t="s">
        <v>13750</v>
      </c>
      <c r="B7217" s="5" t="s">
        <v>13751</v>
      </c>
      <c r="C7217" s="3" t="s">
        <v>5</v>
      </c>
    </row>
    <row r="7218" spans="1:3" ht="15.75" thickBot="1">
      <c r="A7218" s="6" t="s">
        <v>13752</v>
      </c>
      <c r="B7218" s="5" t="s">
        <v>13753</v>
      </c>
      <c r="C7218" s="3" t="s">
        <v>5</v>
      </c>
    </row>
    <row r="7219" spans="1:3" ht="15.75" thickBot="1">
      <c r="A7219" s="6" t="s">
        <v>13754</v>
      </c>
      <c r="B7219" s="5" t="s">
        <v>13755</v>
      </c>
      <c r="C7219" s="3" t="s">
        <v>5</v>
      </c>
    </row>
    <row r="7220" spans="1:3" ht="15.75" thickBot="1">
      <c r="A7220" s="6" t="s">
        <v>13756</v>
      </c>
      <c r="B7220" s="5" t="s">
        <v>13757</v>
      </c>
      <c r="C7220" s="3" t="s">
        <v>5</v>
      </c>
    </row>
    <row r="7221" spans="1:3" ht="15.75" thickBot="1">
      <c r="A7221" s="6" t="s">
        <v>13758</v>
      </c>
      <c r="B7221" s="5" t="s">
        <v>13759</v>
      </c>
      <c r="C7221" s="3" t="s">
        <v>5</v>
      </c>
    </row>
    <row r="7222" spans="1:3" ht="15.75" thickBot="1">
      <c r="A7222" s="6" t="s">
        <v>13760</v>
      </c>
      <c r="B7222" s="5" t="s">
        <v>13761</v>
      </c>
      <c r="C7222" s="3" t="s">
        <v>5</v>
      </c>
    </row>
    <row r="7223" spans="1:3" ht="15.75" thickBot="1">
      <c r="A7223" s="6" t="s">
        <v>13762</v>
      </c>
      <c r="B7223" s="5" t="s">
        <v>13763</v>
      </c>
      <c r="C7223" s="3" t="s">
        <v>5</v>
      </c>
    </row>
    <row r="7224" spans="1:3" ht="15.75" thickBot="1">
      <c r="A7224" s="6" t="s">
        <v>13764</v>
      </c>
      <c r="B7224" s="5" t="s">
        <v>13765</v>
      </c>
      <c r="C7224" s="3" t="s">
        <v>5</v>
      </c>
    </row>
    <row r="7225" spans="1:3" ht="15.75" thickBot="1">
      <c r="A7225" s="6" t="s">
        <v>13766</v>
      </c>
      <c r="B7225" s="5" t="s">
        <v>13767</v>
      </c>
      <c r="C7225" s="3" t="s">
        <v>5</v>
      </c>
    </row>
    <row r="7226" spans="1:3" ht="15.75" thickBot="1">
      <c r="A7226" s="6" t="s">
        <v>13768</v>
      </c>
      <c r="B7226" s="5" t="e">
        <f xml:space="preserve"> directly earthed system</f>
        <v>#NAME?</v>
      </c>
      <c r="C7226" s="3" t="s">
        <v>5</v>
      </c>
    </row>
    <row r="7227" spans="1:3" ht="15.75" thickBot="1">
      <c r="A7227" s="6" t="s">
        <v>13769</v>
      </c>
      <c r="B7227" s="5" t="s">
        <v>13770</v>
      </c>
      <c r="C7227" s="3" t="s">
        <v>5</v>
      </c>
    </row>
    <row r="7228" spans="1:3" ht="15.75" thickBot="1">
      <c r="A7228" s="6" t="s">
        <v>13771</v>
      </c>
      <c r="B7228" s="5" t="s">
        <v>13772</v>
      </c>
      <c r="C7228" s="3" t="s">
        <v>5</v>
      </c>
    </row>
    <row r="7229" spans="1:3">
      <c r="A7229" s="1" t="s">
        <v>7423</v>
      </c>
      <c r="B7229" s="2" t="s">
        <v>13773</v>
      </c>
      <c r="C7229" s="3" t="s">
        <v>5</v>
      </c>
    </row>
    <row r="7230" spans="1:3" ht="26.25" thickBot="1">
      <c r="A7230" s="4"/>
      <c r="B7230" s="5" t="s">
        <v>13774</v>
      </c>
      <c r="C7230" s="3" t="s">
        <v>5</v>
      </c>
    </row>
    <row r="7231" spans="1:3" ht="15.75" thickBot="1">
      <c r="A7231" s="6" t="s">
        <v>13775</v>
      </c>
      <c r="B7231" s="5" t="s">
        <v>13776</v>
      </c>
      <c r="C7231" s="3" t="s">
        <v>5</v>
      </c>
    </row>
    <row r="7232" spans="1:3" ht="15.75" thickBot="1">
      <c r="A7232" s="6" t="s">
        <v>13777</v>
      </c>
      <c r="B7232" s="5" t="s">
        <v>13778</v>
      </c>
      <c r="C7232" s="3" t="s">
        <v>5</v>
      </c>
    </row>
    <row r="7233" spans="1:3" ht="15.75" thickBot="1">
      <c r="A7233" s="6" t="s">
        <v>13779</v>
      </c>
      <c r="B7233" s="5" t="s">
        <v>13780</v>
      </c>
      <c r="C7233" s="3" t="s">
        <v>5</v>
      </c>
    </row>
    <row r="7234" spans="1:3" ht="15.75" thickBot="1">
      <c r="A7234" s="6" t="s">
        <v>13781</v>
      </c>
      <c r="B7234" s="5" t="s">
        <v>13782</v>
      </c>
      <c r="C7234" s="3" t="s">
        <v>5</v>
      </c>
    </row>
    <row r="7235" spans="1:3">
      <c r="A7235" s="1" t="s">
        <v>13783</v>
      </c>
      <c r="B7235" s="2" t="s">
        <v>13784</v>
      </c>
      <c r="C7235" s="3" t="s">
        <v>5</v>
      </c>
    </row>
    <row r="7236" spans="1:3" ht="15.75" thickBot="1">
      <c r="A7236" s="4"/>
      <c r="B7236" s="5" t="s">
        <v>422</v>
      </c>
      <c r="C7236" s="3" t="s">
        <v>5</v>
      </c>
    </row>
    <row r="7237" spans="1:3" ht="15.75" thickBot="1">
      <c r="A7237" s="6" t="s">
        <v>13785</v>
      </c>
      <c r="B7237" s="5" t="s">
        <v>13786</v>
      </c>
      <c r="C7237" s="3" t="s">
        <v>5</v>
      </c>
    </row>
    <row r="7238" spans="1:3" ht="15.75" thickBot="1">
      <c r="A7238" s="6" t="s">
        <v>13787</v>
      </c>
      <c r="B7238" s="5" t="s">
        <v>13788</v>
      </c>
      <c r="C7238" s="3" t="s">
        <v>5</v>
      </c>
    </row>
    <row r="7239" spans="1:3" ht="15.75" thickBot="1">
      <c r="A7239" s="6" t="s">
        <v>13789</v>
      </c>
      <c r="B7239" s="5" t="s">
        <v>13790</v>
      </c>
      <c r="C7239" s="3" t="s">
        <v>5</v>
      </c>
    </row>
    <row r="7240" spans="1:3" ht="15.75" thickBot="1">
      <c r="A7240" s="6" t="s">
        <v>13791</v>
      </c>
      <c r="B7240" s="5" t="s">
        <v>13792</v>
      </c>
      <c r="C7240" s="3" t="s">
        <v>5</v>
      </c>
    </row>
    <row r="7241" spans="1:3" ht="15.75" thickBot="1">
      <c r="A7241" s="6" t="s">
        <v>13793</v>
      </c>
      <c r="B7241" s="5" t="s">
        <v>13794</v>
      </c>
      <c r="C7241" s="3" t="s">
        <v>5</v>
      </c>
    </row>
    <row r="7242" spans="1:3" ht="15.75" thickBot="1">
      <c r="A7242" s="6" t="s">
        <v>13795</v>
      </c>
      <c r="B7242" s="5" t="s">
        <v>13796</v>
      </c>
      <c r="C7242" s="3" t="s">
        <v>5</v>
      </c>
    </row>
    <row r="7243" spans="1:3" ht="15.75" thickBot="1">
      <c r="A7243" s="6" t="s">
        <v>13797</v>
      </c>
      <c r="B7243" s="5" t="s">
        <v>13798</v>
      </c>
      <c r="C7243" s="3" t="s">
        <v>5</v>
      </c>
    </row>
    <row r="7244" spans="1:3" ht="15.75" thickBot="1">
      <c r="A7244" s="6" t="s">
        <v>13799</v>
      </c>
      <c r="B7244" s="5" t="s">
        <v>13800</v>
      </c>
      <c r="C7244" s="3" t="s">
        <v>5</v>
      </c>
    </row>
    <row r="7245" spans="1:3" ht="15.75" thickBot="1">
      <c r="A7245" s="6" t="s">
        <v>13801</v>
      </c>
      <c r="B7245" s="5" t="s">
        <v>13802</v>
      </c>
      <c r="C7245" s="3" t="s">
        <v>5</v>
      </c>
    </row>
    <row r="7246" spans="1:3" ht="15.75" thickBot="1">
      <c r="A7246" s="6" t="s">
        <v>13803</v>
      </c>
      <c r="B7246" s="5" t="s">
        <v>13804</v>
      </c>
      <c r="C7246" s="3" t="s">
        <v>5</v>
      </c>
    </row>
    <row r="7247" spans="1:3" ht="15.75" thickBot="1">
      <c r="A7247" s="6" t="s">
        <v>13805</v>
      </c>
      <c r="B7247" s="5" t="s">
        <v>13806</v>
      </c>
      <c r="C7247" s="3" t="s">
        <v>5</v>
      </c>
    </row>
    <row r="7248" spans="1:3" ht="15.75" thickBot="1">
      <c r="A7248" s="6" t="s">
        <v>13807</v>
      </c>
      <c r="B7248" s="5" t="s">
        <v>13808</v>
      </c>
      <c r="C7248" s="3" t="s">
        <v>5</v>
      </c>
    </row>
    <row r="7249" spans="1:3" ht="15.75" thickBot="1">
      <c r="A7249" s="6" t="s">
        <v>13809</v>
      </c>
      <c r="B7249" s="5" t="s">
        <v>13810</v>
      </c>
      <c r="C7249" s="3" t="s">
        <v>5</v>
      </c>
    </row>
    <row r="7250" spans="1:3" ht="15.75" thickBot="1">
      <c r="A7250" s="6" t="s">
        <v>13811</v>
      </c>
      <c r="B7250" s="5" t="s">
        <v>13812</v>
      </c>
      <c r="C7250" s="3" t="s">
        <v>5</v>
      </c>
    </row>
    <row r="7251" spans="1:3" ht="15.75" thickBot="1">
      <c r="A7251" s="6" t="s">
        <v>13813</v>
      </c>
      <c r="B7251" s="5" t="s">
        <v>13814</v>
      </c>
      <c r="C7251" s="3" t="s">
        <v>5</v>
      </c>
    </row>
    <row r="7252" spans="1:3" ht="15.75" thickBot="1">
      <c r="A7252" s="6" t="s">
        <v>13815</v>
      </c>
      <c r="B7252" s="5" t="s">
        <v>13816</v>
      </c>
      <c r="C7252" s="3" t="s">
        <v>5</v>
      </c>
    </row>
    <row r="7253" spans="1:3" ht="15.75" thickBot="1">
      <c r="A7253" s="6" t="s">
        <v>13817</v>
      </c>
      <c r="B7253" s="5" t="s">
        <v>13818</v>
      </c>
      <c r="C7253" s="3" t="s">
        <v>5</v>
      </c>
    </row>
    <row r="7254" spans="1:3" ht="15.75" thickBot="1">
      <c r="A7254" s="6" t="s">
        <v>13819</v>
      </c>
      <c r="B7254" s="5" t="s">
        <v>13820</v>
      </c>
      <c r="C7254" s="3" t="s">
        <v>5</v>
      </c>
    </row>
    <row r="7255" spans="1:3" ht="15.75" thickBot="1">
      <c r="A7255" s="6" t="s">
        <v>13821</v>
      </c>
      <c r="B7255" s="5" t="s">
        <v>13822</v>
      </c>
      <c r="C7255" s="3" t="s">
        <v>5</v>
      </c>
    </row>
    <row r="7256" spans="1:3" ht="15.75" thickBot="1">
      <c r="A7256" s="6" t="s">
        <v>13823</v>
      </c>
      <c r="B7256" s="5" t="s">
        <v>8950</v>
      </c>
      <c r="C7256" s="3" t="s">
        <v>5</v>
      </c>
    </row>
    <row r="7257" spans="1:3" ht="15.75" thickBot="1">
      <c r="A7257" s="6" t="s">
        <v>13824</v>
      </c>
      <c r="B7257" s="5" t="s">
        <v>13825</v>
      </c>
      <c r="C7257" s="3" t="s">
        <v>5</v>
      </c>
    </row>
    <row r="7258" spans="1:3" ht="15.75" thickBot="1">
      <c r="A7258" s="6" t="s">
        <v>13826</v>
      </c>
      <c r="B7258" s="5" t="s">
        <v>13827</v>
      </c>
      <c r="C7258" s="3" t="s">
        <v>5</v>
      </c>
    </row>
    <row r="7259" spans="1:3" ht="15.75" thickBot="1">
      <c r="A7259" s="6" t="s">
        <v>13828</v>
      </c>
      <c r="B7259" s="5" t="s">
        <v>13829</v>
      </c>
      <c r="C7259" s="3" t="s">
        <v>5</v>
      </c>
    </row>
    <row r="7260" spans="1:3" ht="15.75" thickBot="1">
      <c r="A7260" s="6" t="s">
        <v>13830</v>
      </c>
      <c r="B7260" s="5" t="s">
        <v>13831</v>
      </c>
      <c r="C7260" s="3" t="s">
        <v>5</v>
      </c>
    </row>
    <row r="7261" spans="1:3" ht="15.75" thickBot="1">
      <c r="A7261" s="6" t="s">
        <v>13832</v>
      </c>
      <c r="B7261" s="5" t="s">
        <v>13833</v>
      </c>
      <c r="C7261" s="3" t="s">
        <v>5</v>
      </c>
    </row>
    <row r="7262" spans="1:3" ht="15.75" thickBot="1">
      <c r="A7262" s="6" t="s">
        <v>13834</v>
      </c>
      <c r="B7262" s="5" t="s">
        <v>13835</v>
      </c>
      <c r="C7262" s="3" t="s">
        <v>5</v>
      </c>
    </row>
    <row r="7263" spans="1:3" ht="15.75" thickBot="1">
      <c r="A7263" s="6" t="s">
        <v>13836</v>
      </c>
      <c r="B7263" s="5" t="s">
        <v>13837</v>
      </c>
      <c r="C7263" s="3" t="s">
        <v>5</v>
      </c>
    </row>
    <row r="7264" spans="1:3" ht="15.75" thickBot="1">
      <c r="A7264" s="6" t="s">
        <v>13838</v>
      </c>
      <c r="B7264" s="5" t="s">
        <v>13839</v>
      </c>
      <c r="C7264" s="3" t="s">
        <v>5</v>
      </c>
    </row>
    <row r="7265" spans="1:3" ht="15.75" thickBot="1">
      <c r="A7265" s="6" t="s">
        <v>13840</v>
      </c>
      <c r="B7265" s="5" t="s">
        <v>13841</v>
      </c>
      <c r="C7265" s="3" t="s">
        <v>5</v>
      </c>
    </row>
    <row r="7266" spans="1:3">
      <c r="A7266" s="1" t="s">
        <v>13842</v>
      </c>
      <c r="B7266" s="2" t="s">
        <v>13843</v>
      </c>
      <c r="C7266" s="3" t="s">
        <v>5</v>
      </c>
    </row>
    <row r="7267" spans="1:3" ht="15.75" thickBot="1">
      <c r="A7267" s="4"/>
      <c r="B7267" s="5" t="s">
        <v>13844</v>
      </c>
      <c r="C7267" s="3" t="s">
        <v>5</v>
      </c>
    </row>
    <row r="7268" spans="1:3" ht="15.75" thickBot="1">
      <c r="A7268" s="6" t="s">
        <v>13845</v>
      </c>
      <c r="B7268" s="5" t="s">
        <v>13846</v>
      </c>
      <c r="C7268" s="3" t="s">
        <v>5</v>
      </c>
    </row>
    <row r="7269" spans="1:3" ht="15.75" thickBot="1">
      <c r="A7269" s="6" t="s">
        <v>13847</v>
      </c>
      <c r="B7269" s="5" t="s">
        <v>13848</v>
      </c>
      <c r="C7269" s="3" t="s">
        <v>5</v>
      </c>
    </row>
    <row r="7270" spans="1:3" ht="15.75" thickBot="1">
      <c r="A7270" s="6" t="s">
        <v>13849</v>
      </c>
      <c r="B7270" s="5" t="s">
        <v>13850</v>
      </c>
      <c r="C7270" s="3" t="s">
        <v>5</v>
      </c>
    </row>
    <row r="7271" spans="1:3" ht="15.75" thickBot="1">
      <c r="A7271" s="6" t="s">
        <v>13851</v>
      </c>
      <c r="B7271" s="5" t="s">
        <v>13852</v>
      </c>
      <c r="C7271" s="3" t="s">
        <v>5</v>
      </c>
    </row>
    <row r="7272" spans="1:3" ht="15.75" thickBot="1">
      <c r="A7272" s="6" t="s">
        <v>13853</v>
      </c>
      <c r="B7272" s="5" t="s">
        <v>13854</v>
      </c>
      <c r="C7272" s="3" t="s">
        <v>5</v>
      </c>
    </row>
    <row r="7273" spans="1:3" ht="15.75" thickBot="1">
      <c r="A7273" s="6" t="s">
        <v>13855</v>
      </c>
      <c r="B7273" s="5" t="s">
        <v>6163</v>
      </c>
      <c r="C7273" s="3" t="s">
        <v>5</v>
      </c>
    </row>
    <row r="7274" spans="1:3" ht="15.75" thickBot="1">
      <c r="A7274" s="6" t="s">
        <v>13856</v>
      </c>
      <c r="B7274" s="5" t="s">
        <v>13857</v>
      </c>
      <c r="C7274" s="3" t="s">
        <v>5</v>
      </c>
    </row>
    <row r="7275" spans="1:3" ht="15.75" thickBot="1">
      <c r="A7275" s="6" t="s">
        <v>13858</v>
      </c>
      <c r="B7275" s="5" t="s">
        <v>13859</v>
      </c>
      <c r="C7275" s="3" t="s">
        <v>5</v>
      </c>
    </row>
    <row r="7276" spans="1:3" ht="15.75" thickBot="1">
      <c r="A7276" s="6" t="s">
        <v>13860</v>
      </c>
      <c r="B7276" s="5" t="s">
        <v>13861</v>
      </c>
      <c r="C7276" s="3" t="s">
        <v>5</v>
      </c>
    </row>
    <row r="7277" spans="1:3" ht="15.75" thickBot="1">
      <c r="A7277" s="6" t="s">
        <v>13862</v>
      </c>
      <c r="B7277" s="5" t="s">
        <v>13863</v>
      </c>
      <c r="C7277" s="3" t="s">
        <v>5</v>
      </c>
    </row>
    <row r="7278" spans="1:3" ht="15.75" thickBot="1">
      <c r="A7278" s="6" t="s">
        <v>13864</v>
      </c>
      <c r="B7278" s="5" t="s">
        <v>13865</v>
      </c>
      <c r="C7278" s="3" t="s">
        <v>5</v>
      </c>
    </row>
    <row r="7279" spans="1:3" ht="15.75" thickBot="1">
      <c r="A7279" s="6" t="s">
        <v>13866</v>
      </c>
      <c r="B7279" s="5" t="s">
        <v>13867</v>
      </c>
      <c r="C7279" s="3" t="s">
        <v>5</v>
      </c>
    </row>
    <row r="7280" spans="1:3" ht="15.75" thickBot="1">
      <c r="A7280" s="6" t="s">
        <v>13868</v>
      </c>
      <c r="B7280" s="5" t="s">
        <v>13869</v>
      </c>
      <c r="C7280" s="3" t="s">
        <v>5</v>
      </c>
    </row>
    <row r="7281" spans="1:3" ht="15.75" thickBot="1">
      <c r="A7281" s="6" t="s">
        <v>13870</v>
      </c>
      <c r="B7281" s="5" t="s">
        <v>13871</v>
      </c>
      <c r="C7281" s="3" t="s">
        <v>5</v>
      </c>
    </row>
    <row r="7282" spans="1:3" ht="15.75" thickBot="1">
      <c r="A7282" s="6" t="s">
        <v>13872</v>
      </c>
      <c r="B7282" s="5" t="s">
        <v>13873</v>
      </c>
      <c r="C7282" s="3" t="s">
        <v>5</v>
      </c>
    </row>
    <row r="7283" spans="1:3" ht="15.75" thickBot="1">
      <c r="A7283" s="6" t="s">
        <v>13874</v>
      </c>
      <c r="B7283" s="5" t="s">
        <v>13875</v>
      </c>
      <c r="C7283" s="3" t="s">
        <v>5</v>
      </c>
    </row>
    <row r="7284" spans="1:3" ht="15.75" thickBot="1">
      <c r="A7284" s="6" t="s">
        <v>13876</v>
      </c>
      <c r="B7284" s="5" t="s">
        <v>13877</v>
      </c>
      <c r="C7284" s="3" t="s">
        <v>5</v>
      </c>
    </row>
    <row r="7285" spans="1:3" ht="15.75" thickBot="1">
      <c r="A7285" s="6" t="s">
        <v>13878</v>
      </c>
      <c r="B7285" s="5" t="s">
        <v>13879</v>
      </c>
      <c r="C7285" s="3" t="s">
        <v>5</v>
      </c>
    </row>
    <row r="7286" spans="1:3" ht="15.75" thickBot="1">
      <c r="A7286" s="6" t="s">
        <v>13880</v>
      </c>
      <c r="B7286" s="5" t="s">
        <v>13881</v>
      </c>
      <c r="C7286" s="3" t="s">
        <v>5</v>
      </c>
    </row>
    <row r="7287" spans="1:3" ht="15.75" thickBot="1">
      <c r="A7287" s="6" t="s">
        <v>13882</v>
      </c>
      <c r="B7287" s="5" t="s">
        <v>13883</v>
      </c>
      <c r="C7287" s="3" t="s">
        <v>5</v>
      </c>
    </row>
    <row r="7288" spans="1:3" ht="15.75" thickBot="1">
      <c r="A7288" s="6" t="s">
        <v>13884</v>
      </c>
      <c r="B7288" s="5" t="s">
        <v>13885</v>
      </c>
      <c r="C7288" s="3" t="s">
        <v>5</v>
      </c>
    </row>
    <row r="7289" spans="1:3" ht="15.75" thickBot="1">
      <c r="A7289" s="6" t="s">
        <v>13886</v>
      </c>
      <c r="B7289" s="5" t="e">
        <f xml:space="preserve"> output coefficient</f>
        <v>#NAME?</v>
      </c>
      <c r="C7289" s="3" t="s">
        <v>5</v>
      </c>
    </row>
    <row r="7290" spans="1:3" ht="15.75" thickBot="1">
      <c r="A7290" s="6" t="s">
        <v>13887</v>
      </c>
      <c r="B7290" s="5" t="s">
        <v>13888</v>
      </c>
      <c r="C7290" s="3" t="s">
        <v>5</v>
      </c>
    </row>
    <row r="7291" spans="1:3" ht="15.75" thickBot="1">
      <c r="A7291" s="6" t="s">
        <v>13889</v>
      </c>
      <c r="B7291" s="5" t="s">
        <v>13890</v>
      </c>
      <c r="C7291" s="3" t="s">
        <v>5</v>
      </c>
    </row>
    <row r="7292" spans="1:3" ht="15.75" thickBot="1">
      <c r="A7292" s="6" t="s">
        <v>13891</v>
      </c>
      <c r="B7292" s="5" t="s">
        <v>13892</v>
      </c>
      <c r="C7292" s="3" t="s">
        <v>5</v>
      </c>
    </row>
    <row r="7293" spans="1:3" ht="15.75" thickBot="1">
      <c r="A7293" s="6" t="s">
        <v>13893</v>
      </c>
      <c r="B7293" s="5" t="s">
        <v>13894</v>
      </c>
      <c r="C7293" s="3" t="s">
        <v>5</v>
      </c>
    </row>
    <row r="7294" spans="1:3" ht="15.75" thickBot="1">
      <c r="A7294" s="6" t="s">
        <v>13895</v>
      </c>
      <c r="B7294" s="5" t="s">
        <v>13896</v>
      </c>
      <c r="C7294" s="3" t="s">
        <v>5</v>
      </c>
    </row>
    <row r="7295" spans="1:3" ht="15.75" thickBot="1">
      <c r="A7295" s="6" t="s">
        <v>13897</v>
      </c>
      <c r="B7295" s="5" t="s">
        <v>13898</v>
      </c>
      <c r="C7295" s="3" t="s">
        <v>5</v>
      </c>
    </row>
    <row r="7296" spans="1:3" ht="15.75" thickBot="1">
      <c r="A7296" s="6" t="s">
        <v>13899</v>
      </c>
      <c r="B7296" s="5" t="s">
        <v>13900</v>
      </c>
      <c r="C7296" s="3" t="s">
        <v>5</v>
      </c>
    </row>
    <row r="7297" spans="1:3" ht="15.75" thickBot="1">
      <c r="A7297" s="6" t="s">
        <v>13901</v>
      </c>
      <c r="B7297" s="5" t="s">
        <v>13902</v>
      </c>
      <c r="C7297" s="3" t="s">
        <v>5</v>
      </c>
    </row>
    <row r="7298" spans="1:3" ht="15.75" thickBot="1">
      <c r="A7298" s="6" t="s">
        <v>13903</v>
      </c>
      <c r="B7298" s="5" t="s">
        <v>13904</v>
      </c>
      <c r="C7298" s="3" t="s">
        <v>5</v>
      </c>
    </row>
    <row r="7299" spans="1:3" ht="15.75" thickBot="1">
      <c r="A7299" s="6" t="s">
        <v>13905</v>
      </c>
      <c r="B7299" s="5" t="s">
        <v>13906</v>
      </c>
      <c r="C7299" s="3" t="s">
        <v>5</v>
      </c>
    </row>
    <row r="7300" spans="1:3" ht="15.75" thickBot="1">
      <c r="A7300" s="6" t="s">
        <v>13907</v>
      </c>
      <c r="B7300" s="5" t="s">
        <v>13908</v>
      </c>
      <c r="C7300" s="3" t="s">
        <v>5</v>
      </c>
    </row>
    <row r="7301" spans="1:3" ht="15.75" thickBot="1">
      <c r="A7301" s="6" t="s">
        <v>13909</v>
      </c>
      <c r="B7301" s="5" t="s">
        <v>13910</v>
      </c>
      <c r="C7301" s="3" t="s">
        <v>5</v>
      </c>
    </row>
    <row r="7302" spans="1:3" ht="15.75" thickBot="1">
      <c r="A7302" s="6" t="s">
        <v>13911</v>
      </c>
      <c r="B7302" s="5" t="s">
        <v>13912</v>
      </c>
      <c r="C7302" s="3" t="s">
        <v>5</v>
      </c>
    </row>
    <row r="7303" spans="1:3" ht="15.75" thickBot="1">
      <c r="A7303" s="6" t="s">
        <v>13913</v>
      </c>
      <c r="B7303" s="5" t="s">
        <v>13914</v>
      </c>
      <c r="C7303" s="3" t="s">
        <v>5</v>
      </c>
    </row>
    <row r="7304" spans="1:3" ht="15.75" thickBot="1">
      <c r="A7304" s="6" t="s">
        <v>13915</v>
      </c>
      <c r="B7304" s="5" t="s">
        <v>13916</v>
      </c>
      <c r="C7304" s="3" t="s">
        <v>5</v>
      </c>
    </row>
    <row r="7305" spans="1:3" ht="15.75" thickBot="1">
      <c r="A7305" s="6" t="s">
        <v>13917</v>
      </c>
      <c r="B7305" s="5" t="s">
        <v>13918</v>
      </c>
      <c r="C7305" s="3" t="s">
        <v>5</v>
      </c>
    </row>
    <row r="7306" spans="1:3" ht="15.75" thickBot="1">
      <c r="A7306" s="6" t="s">
        <v>13919</v>
      </c>
      <c r="B7306" s="5" t="s">
        <v>13920</v>
      </c>
      <c r="C7306" s="3" t="s">
        <v>5</v>
      </c>
    </row>
    <row r="7307" spans="1:3" ht="15.75" thickBot="1">
      <c r="A7307" s="6" t="s">
        <v>13921</v>
      </c>
      <c r="B7307" s="5" t="s">
        <v>13922</v>
      </c>
      <c r="C7307" s="3" t="s">
        <v>5</v>
      </c>
    </row>
    <row r="7308" spans="1:3" ht="15.75" thickBot="1">
      <c r="A7308" s="6" t="s">
        <v>13923</v>
      </c>
      <c r="B7308" s="5" t="s">
        <v>13924</v>
      </c>
      <c r="C7308" s="3" t="s">
        <v>5</v>
      </c>
    </row>
    <row r="7309" spans="1:3" ht="15.75" thickBot="1">
      <c r="A7309" s="6" t="s">
        <v>13925</v>
      </c>
      <c r="B7309" s="5" t="s">
        <v>13926</v>
      </c>
      <c r="C7309" s="3" t="s">
        <v>5</v>
      </c>
    </row>
    <row r="7310" spans="1:3">
      <c r="A7310" s="1" t="s">
        <v>13927</v>
      </c>
      <c r="B7310" s="2" t="s">
        <v>13928</v>
      </c>
      <c r="C7310" s="3" t="s">
        <v>5</v>
      </c>
    </row>
    <row r="7311" spans="1:3" ht="15.75" thickBot="1">
      <c r="A7311" s="4"/>
      <c r="B7311" s="5" t="s">
        <v>93</v>
      </c>
      <c r="C7311" s="3" t="s">
        <v>5</v>
      </c>
    </row>
    <row r="7312" spans="1:3" ht="15.75" thickBot="1">
      <c r="A7312" s="6" t="s">
        <v>13929</v>
      </c>
      <c r="B7312" s="5" t="s">
        <v>13930</v>
      </c>
      <c r="C7312" s="3" t="s">
        <v>5</v>
      </c>
    </row>
    <row r="7313" spans="1:3" ht="15.75" thickBot="1">
      <c r="A7313" s="6" t="s">
        <v>13931</v>
      </c>
      <c r="B7313" s="5" t="s">
        <v>13932</v>
      </c>
      <c r="C7313" s="3" t="s">
        <v>5</v>
      </c>
    </row>
    <row r="7314" spans="1:3" ht="15.75" thickBot="1">
      <c r="A7314" s="6" t="s">
        <v>13933</v>
      </c>
      <c r="B7314" s="5" t="s">
        <v>13934</v>
      </c>
      <c r="C7314" s="3" t="s">
        <v>5</v>
      </c>
    </row>
    <row r="7315" spans="1:3" ht="15.75" thickBot="1">
      <c r="A7315" s="6" t="s">
        <v>13935</v>
      </c>
      <c r="B7315" s="5" t="s">
        <v>13936</v>
      </c>
      <c r="C7315" s="3" t="s">
        <v>5</v>
      </c>
    </row>
    <row r="7316" spans="1:3" ht="15.75" thickBot="1">
      <c r="A7316" s="6" t="s">
        <v>13937</v>
      </c>
      <c r="B7316" s="5" t="s">
        <v>13938</v>
      </c>
      <c r="C7316" s="3" t="s">
        <v>5</v>
      </c>
    </row>
    <row r="7317" spans="1:3" ht="15.75" thickBot="1">
      <c r="A7317" s="6" t="s">
        <v>13939</v>
      </c>
      <c r="B7317" s="5" t="s">
        <v>13940</v>
      </c>
      <c r="C7317" s="3" t="s">
        <v>5</v>
      </c>
    </row>
    <row r="7318" spans="1:3" ht="15.75" thickBot="1">
      <c r="A7318" s="6" t="s">
        <v>13941</v>
      </c>
      <c r="B7318" s="5" t="s">
        <v>13942</v>
      </c>
      <c r="C7318" s="3" t="s">
        <v>5</v>
      </c>
    </row>
    <row r="7319" spans="1:3" ht="15.75" thickBot="1">
      <c r="A7319" s="6" t="s">
        <v>13943</v>
      </c>
      <c r="B7319" s="5" t="s">
        <v>13944</v>
      </c>
      <c r="C7319" s="3" t="s">
        <v>5</v>
      </c>
    </row>
    <row r="7320" spans="1:3" ht="15.75" thickBot="1">
      <c r="A7320" s="6" t="s">
        <v>13945</v>
      </c>
      <c r="B7320" s="5" t="s">
        <v>13946</v>
      </c>
      <c r="C7320" s="3" t="s">
        <v>5</v>
      </c>
    </row>
    <row r="7321" spans="1:3" ht="15.75" thickBot="1">
      <c r="A7321" s="6" t="s">
        <v>13947</v>
      </c>
      <c r="B7321" s="5" t="s">
        <v>13948</v>
      </c>
      <c r="C7321" s="3" t="s">
        <v>5</v>
      </c>
    </row>
    <row r="7322" spans="1:3" ht="15.75" thickBot="1">
      <c r="A7322" s="6" t="s">
        <v>13949</v>
      </c>
      <c r="B7322" s="5" t="s">
        <v>13950</v>
      </c>
      <c r="C7322" s="3" t="s">
        <v>5</v>
      </c>
    </row>
    <row r="7323" spans="1:3" ht="15.75" thickBot="1">
      <c r="A7323" s="6" t="s">
        <v>13951</v>
      </c>
      <c r="B7323" s="5" t="s">
        <v>13952</v>
      </c>
      <c r="C7323" s="3" t="s">
        <v>5</v>
      </c>
    </row>
    <row r="7324" spans="1:3" ht="15.75" thickBot="1">
      <c r="A7324" s="6" t="s">
        <v>13953</v>
      </c>
      <c r="B7324" s="5" t="s">
        <v>13954</v>
      </c>
      <c r="C7324" s="3" t="s">
        <v>5</v>
      </c>
    </row>
    <row r="7325" spans="1:3" ht="15.75" thickBot="1">
      <c r="A7325" s="6" t="s">
        <v>13955</v>
      </c>
      <c r="B7325" s="5" t="s">
        <v>13956</v>
      </c>
      <c r="C7325" s="3" t="s">
        <v>5</v>
      </c>
    </row>
    <row r="7326" spans="1:3" ht="15.75" thickBot="1">
      <c r="A7326" s="6" t="s">
        <v>13957</v>
      </c>
      <c r="B7326" s="5" t="s">
        <v>13958</v>
      </c>
      <c r="C7326" s="3" t="s">
        <v>5</v>
      </c>
    </row>
    <row r="7327" spans="1:3" ht="15.75" thickBot="1">
      <c r="A7327" s="6" t="s">
        <v>13959</v>
      </c>
      <c r="B7327" s="5" t="s">
        <v>13960</v>
      </c>
      <c r="C7327" s="3" t="s">
        <v>5</v>
      </c>
    </row>
    <row r="7328" spans="1:3" ht="15.75" thickBot="1">
      <c r="A7328" s="6" t="s">
        <v>13961</v>
      </c>
      <c r="B7328" s="5" t="s">
        <v>13962</v>
      </c>
      <c r="C7328" s="3" t="s">
        <v>5</v>
      </c>
    </row>
    <row r="7329" spans="1:3" ht="15.75" thickBot="1">
      <c r="A7329" s="6" t="s">
        <v>13963</v>
      </c>
      <c r="B7329" s="5" t="s">
        <v>13964</v>
      </c>
      <c r="C7329" s="3" t="s">
        <v>5</v>
      </c>
    </row>
    <row r="7330" spans="1:3" ht="15.75" thickBot="1">
      <c r="A7330" s="6" t="s">
        <v>13965</v>
      </c>
      <c r="B7330" s="5" t="s">
        <v>13966</v>
      </c>
      <c r="C7330" s="3" t="s">
        <v>5</v>
      </c>
    </row>
    <row r="7331" spans="1:3" ht="15.75" thickBot="1">
      <c r="A7331" s="6" t="s">
        <v>13967</v>
      </c>
      <c r="B7331" s="5" t="s">
        <v>13968</v>
      </c>
      <c r="C7331" s="3" t="s">
        <v>5</v>
      </c>
    </row>
    <row r="7332" spans="1:3" ht="15.75" thickBot="1">
      <c r="A7332" s="6" t="s">
        <v>13969</v>
      </c>
      <c r="B7332" s="5" t="s">
        <v>13970</v>
      </c>
      <c r="C7332" s="3" t="s">
        <v>5</v>
      </c>
    </row>
    <row r="7333" spans="1:3" ht="15.75" thickBot="1">
      <c r="A7333" s="6" t="s">
        <v>13971</v>
      </c>
      <c r="B7333" s="5" t="s">
        <v>13972</v>
      </c>
      <c r="C7333" s="3" t="s">
        <v>5</v>
      </c>
    </row>
    <row r="7334" spans="1:3" ht="15.75" thickBot="1">
      <c r="A7334" s="6" t="s">
        <v>13973</v>
      </c>
      <c r="B7334" s="5" t="s">
        <v>13974</v>
      </c>
      <c r="C7334" s="3" t="s">
        <v>5</v>
      </c>
    </row>
    <row r="7335" spans="1:3" ht="15.75" thickBot="1">
      <c r="A7335" s="6" t="s">
        <v>13975</v>
      </c>
      <c r="B7335" s="5" t="s">
        <v>13976</v>
      </c>
      <c r="C7335" s="3" t="s">
        <v>5</v>
      </c>
    </row>
    <row r="7336" spans="1:3" ht="15.75" thickBot="1">
      <c r="A7336" s="6" t="s">
        <v>13975</v>
      </c>
      <c r="B7336" s="5" t="s">
        <v>13977</v>
      </c>
      <c r="C7336" s="3" t="s">
        <v>5</v>
      </c>
    </row>
    <row r="7337" spans="1:3" ht="15.75" thickBot="1">
      <c r="A7337" s="6" t="s">
        <v>13978</v>
      </c>
      <c r="B7337" s="5" t="s">
        <v>13979</v>
      </c>
      <c r="C7337" s="3" t="s">
        <v>5</v>
      </c>
    </row>
    <row r="7338" spans="1:3" ht="15.75" thickBot="1">
      <c r="A7338" s="6" t="s">
        <v>13980</v>
      </c>
      <c r="B7338" s="5" t="s">
        <v>13981</v>
      </c>
      <c r="C7338" s="3" t="s">
        <v>5</v>
      </c>
    </row>
    <row r="7339" spans="1:3" ht="15.75" thickBot="1">
      <c r="A7339" s="6" t="s">
        <v>13982</v>
      </c>
      <c r="B7339" s="5" t="s">
        <v>13983</v>
      </c>
      <c r="C7339" s="3" t="s">
        <v>5</v>
      </c>
    </row>
    <row r="7340" spans="1:3" ht="15.75" thickBot="1">
      <c r="A7340" s="6" t="s">
        <v>13984</v>
      </c>
      <c r="B7340" s="5" t="s">
        <v>13985</v>
      </c>
      <c r="C7340" s="3" t="s">
        <v>5</v>
      </c>
    </row>
    <row r="7341" spans="1:3" ht="15.75" thickBot="1">
      <c r="A7341" s="6" t="s">
        <v>13986</v>
      </c>
      <c r="B7341" s="5" t="s">
        <v>13987</v>
      </c>
      <c r="C7341" s="3" t="s">
        <v>5</v>
      </c>
    </row>
    <row r="7342" spans="1:3" ht="15.75" thickBot="1">
      <c r="A7342" s="6" t="s">
        <v>13988</v>
      </c>
      <c r="B7342" s="5" t="s">
        <v>4679</v>
      </c>
      <c r="C7342" s="3" t="s">
        <v>5</v>
      </c>
    </row>
    <row r="7343" spans="1:3" ht="15.75" thickBot="1">
      <c r="A7343" s="6" t="s">
        <v>13989</v>
      </c>
      <c r="B7343" s="5" t="s">
        <v>13990</v>
      </c>
      <c r="C7343" s="3" t="s">
        <v>5</v>
      </c>
    </row>
    <row r="7344" spans="1:3" ht="15.75" thickBot="1">
      <c r="A7344" s="6" t="s">
        <v>13991</v>
      </c>
      <c r="B7344" s="5" t="s">
        <v>13992</v>
      </c>
      <c r="C7344" s="3" t="s">
        <v>5</v>
      </c>
    </row>
    <row r="7345" spans="1:3" ht="15.75" thickBot="1">
      <c r="A7345" s="6" t="s">
        <v>13993</v>
      </c>
      <c r="B7345" s="5" t="s">
        <v>13994</v>
      </c>
      <c r="C7345" s="3" t="s">
        <v>5</v>
      </c>
    </row>
    <row r="7346" spans="1:3" ht="15.75" thickBot="1">
      <c r="A7346" s="6" t="s">
        <v>13995</v>
      </c>
      <c r="B7346" s="5" t="s">
        <v>13996</v>
      </c>
      <c r="C7346" s="3" t="s">
        <v>5</v>
      </c>
    </row>
    <row r="7347" spans="1:3" ht="15.75" thickBot="1">
      <c r="A7347" s="6" t="s">
        <v>13997</v>
      </c>
      <c r="B7347" s="5" t="s">
        <v>13998</v>
      </c>
      <c r="C7347" s="3" t="s">
        <v>5</v>
      </c>
    </row>
    <row r="7348" spans="1:3" ht="15.75" thickBot="1">
      <c r="A7348" s="6" t="s">
        <v>13999</v>
      </c>
      <c r="B7348" s="5" t="s">
        <v>14000</v>
      </c>
      <c r="C7348" s="3" t="s">
        <v>5</v>
      </c>
    </row>
    <row r="7349" spans="1:3" ht="15.75" thickBot="1">
      <c r="A7349" s="6" t="s">
        <v>14001</v>
      </c>
      <c r="B7349" s="5" t="s">
        <v>14002</v>
      </c>
      <c r="C7349" s="3" t="s">
        <v>5</v>
      </c>
    </row>
    <row r="7350" spans="1:3" ht="15.75" thickBot="1">
      <c r="A7350" s="6" t="s">
        <v>14003</v>
      </c>
      <c r="B7350" s="5" t="s">
        <v>14004</v>
      </c>
      <c r="C7350" s="3" t="s">
        <v>5</v>
      </c>
    </row>
    <row r="7351" spans="1:3" ht="15.75" thickBot="1">
      <c r="A7351" s="6" t="s">
        <v>14005</v>
      </c>
      <c r="B7351" s="5" t="s">
        <v>14006</v>
      </c>
      <c r="C7351" s="3" t="s">
        <v>5</v>
      </c>
    </row>
    <row r="7352" spans="1:3" ht="15.75" thickBot="1">
      <c r="A7352" s="6" t="s">
        <v>14007</v>
      </c>
      <c r="B7352" s="5" t="s">
        <v>14008</v>
      </c>
      <c r="C7352" s="3" t="s">
        <v>5</v>
      </c>
    </row>
    <row r="7353" spans="1:3" ht="15.75" thickBot="1">
      <c r="A7353" s="6" t="s">
        <v>14009</v>
      </c>
      <c r="B7353" s="5" t="s">
        <v>14010</v>
      </c>
      <c r="C7353" s="3" t="s">
        <v>5</v>
      </c>
    </row>
    <row r="7354" spans="1:3" ht="15.75" thickBot="1">
      <c r="A7354" s="6" t="s">
        <v>14011</v>
      </c>
      <c r="B7354" s="5" t="s">
        <v>4318</v>
      </c>
      <c r="C7354" s="3" t="s">
        <v>5</v>
      </c>
    </row>
    <row r="7355" spans="1:3" ht="15.75" thickBot="1">
      <c r="A7355" s="6" t="s">
        <v>14012</v>
      </c>
      <c r="B7355" s="5" t="s">
        <v>14013</v>
      </c>
      <c r="C7355" s="3" t="s">
        <v>5</v>
      </c>
    </row>
    <row r="7356" spans="1:3" ht="15.75" thickBot="1">
      <c r="A7356" s="6" t="s">
        <v>14014</v>
      </c>
      <c r="B7356" s="5" t="s">
        <v>14015</v>
      </c>
      <c r="C7356" s="3" t="s">
        <v>5</v>
      </c>
    </row>
    <row r="7357" spans="1:3" ht="15.75" thickBot="1">
      <c r="A7357" s="6" t="s">
        <v>14016</v>
      </c>
      <c r="B7357" s="5" t="s">
        <v>14017</v>
      </c>
      <c r="C7357" s="3" t="s">
        <v>5</v>
      </c>
    </row>
    <row r="7358" spans="1:3" ht="15.75" thickBot="1">
      <c r="A7358" s="6" t="s">
        <v>14018</v>
      </c>
      <c r="B7358" s="5" t="s">
        <v>14019</v>
      </c>
      <c r="C7358" s="3" t="s">
        <v>5</v>
      </c>
    </row>
    <row r="7359" spans="1:3" ht="15.75" thickBot="1">
      <c r="A7359" s="6" t="s">
        <v>14020</v>
      </c>
      <c r="B7359" s="5" t="s">
        <v>14021</v>
      </c>
      <c r="C7359" s="3" t="s">
        <v>5</v>
      </c>
    </row>
    <row r="7360" spans="1:3" ht="15.75" thickBot="1">
      <c r="A7360" s="6" t="s">
        <v>14022</v>
      </c>
      <c r="B7360" s="5" t="s">
        <v>14023</v>
      </c>
      <c r="C7360" s="3" t="s">
        <v>5</v>
      </c>
    </row>
    <row r="7361" spans="1:3" ht="15.75" thickBot="1">
      <c r="A7361" s="6" t="s">
        <v>14024</v>
      </c>
      <c r="B7361" s="5" t="s">
        <v>14025</v>
      </c>
      <c r="C7361" s="3" t="s">
        <v>5</v>
      </c>
    </row>
    <row r="7362" spans="1:3" ht="15.75" thickBot="1">
      <c r="A7362" s="6" t="s">
        <v>14026</v>
      </c>
      <c r="B7362" s="5" t="s">
        <v>14027</v>
      </c>
      <c r="C7362" s="3" t="s">
        <v>5</v>
      </c>
    </row>
    <row r="7363" spans="1:3" ht="15.75" thickBot="1">
      <c r="A7363" s="6" t="s">
        <v>14028</v>
      </c>
      <c r="B7363" s="5" t="s">
        <v>14029</v>
      </c>
      <c r="C7363" s="3" t="s">
        <v>5</v>
      </c>
    </row>
    <row r="7364" spans="1:3" ht="15.75" thickBot="1">
      <c r="A7364" s="6" t="s">
        <v>14030</v>
      </c>
      <c r="B7364" s="5" t="s">
        <v>14031</v>
      </c>
      <c r="C7364" s="3" t="s">
        <v>5</v>
      </c>
    </row>
    <row r="7365" spans="1:3" ht="15.75" thickBot="1">
      <c r="A7365" s="6" t="s">
        <v>14032</v>
      </c>
      <c r="B7365" s="5" t="s">
        <v>14033</v>
      </c>
      <c r="C7365" s="3" t="s">
        <v>5</v>
      </c>
    </row>
    <row r="7366" spans="1:3" ht="15.75" thickBot="1">
      <c r="A7366" s="6" t="s">
        <v>14034</v>
      </c>
      <c r="B7366" s="5" t="s">
        <v>14035</v>
      </c>
      <c r="C7366" s="3" t="s">
        <v>5</v>
      </c>
    </row>
    <row r="7367" spans="1:3" ht="15.75" thickBot="1">
      <c r="A7367" s="6" t="s">
        <v>14036</v>
      </c>
      <c r="B7367" s="5" t="s">
        <v>14037</v>
      </c>
      <c r="C7367" s="3" t="s">
        <v>5</v>
      </c>
    </row>
    <row r="7368" spans="1:3" ht="15.75" thickBot="1">
      <c r="A7368" s="6" t="s">
        <v>14038</v>
      </c>
      <c r="B7368" s="5" t="s">
        <v>14039</v>
      </c>
      <c r="C7368" s="3" t="s">
        <v>5</v>
      </c>
    </row>
    <row r="7369" spans="1:3" ht="15.75" thickBot="1">
      <c r="A7369" s="6" t="s">
        <v>14040</v>
      </c>
      <c r="B7369" s="5" t="s">
        <v>14041</v>
      </c>
      <c r="C7369" s="3" t="s">
        <v>5</v>
      </c>
    </row>
    <row r="7370" spans="1:3" ht="15.75" thickBot="1">
      <c r="A7370" s="6" t="s">
        <v>14042</v>
      </c>
      <c r="B7370" s="5" t="s">
        <v>14043</v>
      </c>
      <c r="C7370" s="3" t="s">
        <v>5</v>
      </c>
    </row>
    <row r="7371" spans="1:3" ht="15.75" thickBot="1">
      <c r="A7371" s="6" t="s">
        <v>14044</v>
      </c>
      <c r="B7371" s="5" t="s">
        <v>14045</v>
      </c>
      <c r="C7371" s="3" t="s">
        <v>5</v>
      </c>
    </row>
    <row r="7372" spans="1:3" ht="15.75" thickBot="1">
      <c r="A7372" s="6" t="s">
        <v>14046</v>
      </c>
      <c r="B7372" s="5" t="s">
        <v>14047</v>
      </c>
      <c r="C7372" s="3" t="s">
        <v>5</v>
      </c>
    </row>
    <row r="7373" spans="1:3" ht="15.75" thickBot="1">
      <c r="A7373" s="6" t="s">
        <v>14048</v>
      </c>
      <c r="B7373" s="5" t="e">
        <f xml:space="preserve"> cage rotor</f>
        <v>#NAME?</v>
      </c>
      <c r="C7373" s="3" t="s">
        <v>5</v>
      </c>
    </row>
    <row r="7374" spans="1:3" ht="15.75" thickBot="1">
      <c r="A7374" s="6" t="s">
        <v>14049</v>
      </c>
      <c r="B7374" s="5" t="s">
        <v>14050</v>
      </c>
      <c r="C7374" s="3" t="s">
        <v>5</v>
      </c>
    </row>
    <row r="7375" spans="1:3" ht="15.75" thickBot="1">
      <c r="A7375" s="6" t="s">
        <v>14051</v>
      </c>
      <c r="B7375" s="5" t="s">
        <v>14052</v>
      </c>
      <c r="C7375" s="3" t="s">
        <v>5</v>
      </c>
    </row>
    <row r="7376" spans="1:3" ht="15.75" thickBot="1">
      <c r="A7376" s="6" t="s">
        <v>14053</v>
      </c>
      <c r="B7376" s="5" t="s">
        <v>14054</v>
      </c>
      <c r="C7376" s="3" t="s">
        <v>5</v>
      </c>
    </row>
    <row r="7377" spans="1:3" ht="15.75" thickBot="1">
      <c r="A7377" s="6" t="s">
        <v>14055</v>
      </c>
      <c r="B7377" s="5" t="s">
        <v>14056</v>
      </c>
      <c r="C7377" s="3" t="s">
        <v>5</v>
      </c>
    </row>
    <row r="7378" spans="1:3" ht="15.75" thickBot="1">
      <c r="A7378" s="6" t="s">
        <v>14057</v>
      </c>
      <c r="B7378" s="5" t="s">
        <v>14058</v>
      </c>
      <c r="C7378" s="3" t="s">
        <v>5</v>
      </c>
    </row>
    <row r="7379" spans="1:3" ht="15.75" thickBot="1">
      <c r="A7379" s="6" t="s">
        <v>14059</v>
      </c>
      <c r="B7379" s="5" t="s">
        <v>14060</v>
      </c>
      <c r="C7379" s="3" t="s">
        <v>5</v>
      </c>
    </row>
    <row r="7380" spans="1:3" ht="15.75" thickBot="1">
      <c r="A7380" s="6" t="s">
        <v>14061</v>
      </c>
      <c r="B7380" s="5" t="s">
        <v>14062</v>
      </c>
      <c r="C7380" s="3" t="s">
        <v>5</v>
      </c>
    </row>
    <row r="7381" spans="1:3" ht="15.75" thickBot="1">
      <c r="A7381" s="6" t="s">
        <v>14063</v>
      </c>
      <c r="B7381" s="5" t="s">
        <v>14064</v>
      </c>
      <c r="C7381" s="3" t="s">
        <v>5</v>
      </c>
    </row>
    <row r="7382" spans="1:3" ht="15.75" thickBot="1">
      <c r="A7382" s="6" t="s">
        <v>14065</v>
      </c>
      <c r="B7382" s="5" t="s">
        <v>14066</v>
      </c>
      <c r="C7382" s="3" t="s">
        <v>5</v>
      </c>
    </row>
    <row r="7383" spans="1:3" ht="15.75" thickBot="1">
      <c r="A7383" s="6" t="s">
        <v>14067</v>
      </c>
      <c r="B7383" s="5" t="s">
        <v>14068</v>
      </c>
      <c r="C7383" s="3" t="s">
        <v>5</v>
      </c>
    </row>
    <row r="7384" spans="1:3" ht="15.75" thickBot="1">
      <c r="A7384" s="6" t="s">
        <v>14069</v>
      </c>
      <c r="B7384" s="5" t="s">
        <v>14070</v>
      </c>
      <c r="C7384" s="3" t="s">
        <v>5</v>
      </c>
    </row>
    <row r="7385" spans="1:3" ht="15.75" thickBot="1">
      <c r="A7385" s="6" t="s">
        <v>14071</v>
      </c>
      <c r="B7385" s="5" t="s">
        <v>14072</v>
      </c>
      <c r="C7385" s="3" t="s">
        <v>5</v>
      </c>
    </row>
    <row r="7386" spans="1:3" ht="15.75" thickBot="1">
      <c r="A7386" s="6" t="s">
        <v>14073</v>
      </c>
      <c r="B7386" s="5" t="s">
        <v>14074</v>
      </c>
      <c r="C7386" s="3" t="s">
        <v>5</v>
      </c>
    </row>
    <row r="7387" spans="1:3" ht="15.75" thickBot="1">
      <c r="A7387" s="6" t="s">
        <v>14075</v>
      </c>
      <c r="B7387" s="5" t="s">
        <v>14076</v>
      </c>
      <c r="C7387" s="3" t="s">
        <v>5</v>
      </c>
    </row>
    <row r="7388" spans="1:3" ht="15.75" thickBot="1">
      <c r="A7388" s="6" t="s">
        <v>14077</v>
      </c>
      <c r="B7388" s="5" t="s">
        <v>14078</v>
      </c>
      <c r="C7388" s="3" t="s">
        <v>5</v>
      </c>
    </row>
    <row r="7389" spans="1:3" ht="15.75" thickBot="1">
      <c r="A7389" s="6" t="s">
        <v>14079</v>
      </c>
      <c r="B7389" s="5" t="s">
        <v>14080</v>
      </c>
      <c r="C7389" s="3" t="s">
        <v>5</v>
      </c>
    </row>
    <row r="7390" spans="1:3" ht="15.75" thickBot="1">
      <c r="A7390" s="6" t="s">
        <v>14081</v>
      </c>
      <c r="B7390" s="5" t="s">
        <v>14082</v>
      </c>
      <c r="C7390" s="3" t="s">
        <v>5</v>
      </c>
    </row>
    <row r="7391" spans="1:3" ht="15.75" thickBot="1">
      <c r="A7391" s="6" t="s">
        <v>14083</v>
      </c>
      <c r="B7391" s="5" t="s">
        <v>14084</v>
      </c>
      <c r="C7391" s="3" t="s">
        <v>5</v>
      </c>
    </row>
    <row r="7392" spans="1:3" ht="15.75" thickBot="1">
      <c r="A7392" s="6" t="s">
        <v>14085</v>
      </c>
      <c r="B7392" s="5" t="s">
        <v>14086</v>
      </c>
      <c r="C7392" s="3" t="s">
        <v>5</v>
      </c>
    </row>
    <row r="7393" spans="1:3" ht="15.75" thickBot="1">
      <c r="A7393" s="6" t="s">
        <v>14087</v>
      </c>
      <c r="B7393" s="5" t="s">
        <v>14088</v>
      </c>
      <c r="C7393" s="3" t="s">
        <v>5</v>
      </c>
    </row>
    <row r="7394" spans="1:3" ht="15.75" thickBot="1">
      <c r="A7394" s="6" t="s">
        <v>14089</v>
      </c>
      <c r="B7394" s="5" t="s">
        <v>14090</v>
      </c>
      <c r="C7394" s="3" t="s">
        <v>5</v>
      </c>
    </row>
    <row r="7395" spans="1:3" ht="15.75" thickBot="1">
      <c r="A7395" s="6" t="s">
        <v>14091</v>
      </c>
      <c r="B7395" s="5" t="s">
        <v>14092</v>
      </c>
      <c r="C7395" s="3" t="s">
        <v>5</v>
      </c>
    </row>
    <row r="7396" spans="1:3" ht="15.75" thickBot="1">
      <c r="A7396" s="6" t="s">
        <v>14093</v>
      </c>
      <c r="B7396" s="5" t="s">
        <v>14094</v>
      </c>
      <c r="C7396" s="3" t="s">
        <v>5</v>
      </c>
    </row>
    <row r="7397" spans="1:3" ht="15.75" thickBot="1">
      <c r="A7397" s="6" t="s">
        <v>14095</v>
      </c>
      <c r="B7397" s="5" t="s">
        <v>14096</v>
      </c>
      <c r="C7397" s="3" t="s">
        <v>5</v>
      </c>
    </row>
    <row r="7398" spans="1:3" ht="15.75" thickBot="1">
      <c r="A7398" s="6" t="s">
        <v>14097</v>
      </c>
      <c r="B7398" s="5" t="s">
        <v>14098</v>
      </c>
      <c r="C7398" s="3" t="s">
        <v>5</v>
      </c>
    </row>
    <row r="7399" spans="1:3" ht="15.75" thickBot="1">
      <c r="A7399" s="6" t="s">
        <v>14099</v>
      </c>
      <c r="B7399" s="5" t="s">
        <v>14100</v>
      </c>
      <c r="C7399" s="3" t="s">
        <v>5</v>
      </c>
    </row>
    <row r="7400" spans="1:3" ht="15.75" thickBot="1">
      <c r="A7400" s="6" t="s">
        <v>14101</v>
      </c>
      <c r="B7400" s="5" t="s">
        <v>14102</v>
      </c>
      <c r="C7400" s="3" t="s">
        <v>5</v>
      </c>
    </row>
    <row r="7401" spans="1:3" ht="15.75" thickBot="1">
      <c r="A7401" s="6" t="s">
        <v>14103</v>
      </c>
      <c r="B7401" s="5" t="s">
        <v>14104</v>
      </c>
      <c r="C7401" s="3" t="s">
        <v>5</v>
      </c>
    </row>
    <row r="7402" spans="1:3" ht="15.75" thickBot="1">
      <c r="A7402" s="6" t="s">
        <v>14105</v>
      </c>
      <c r="B7402" s="5" t="s">
        <v>14106</v>
      </c>
      <c r="C7402" s="3" t="s">
        <v>5</v>
      </c>
    </row>
    <row r="7403" spans="1:3" ht="15.75" thickBot="1">
      <c r="A7403" s="6" t="s">
        <v>14107</v>
      </c>
      <c r="B7403" s="5" t="s">
        <v>14108</v>
      </c>
      <c r="C7403" s="3" t="s">
        <v>5</v>
      </c>
    </row>
    <row r="7404" spans="1:3" ht="15.75" thickBot="1">
      <c r="A7404" s="6" t="s">
        <v>14109</v>
      </c>
      <c r="B7404" s="5" t="s">
        <v>14110</v>
      </c>
      <c r="C7404" s="3" t="s">
        <v>5</v>
      </c>
    </row>
    <row r="7405" spans="1:3" ht="15.75" thickBot="1">
      <c r="A7405" s="6" t="s">
        <v>14111</v>
      </c>
      <c r="B7405" s="5" t="s">
        <v>14112</v>
      </c>
      <c r="C7405" s="3" t="s">
        <v>5</v>
      </c>
    </row>
    <row r="7406" spans="1:3" ht="15.75" thickBot="1">
      <c r="A7406" s="6" t="s">
        <v>14113</v>
      </c>
      <c r="B7406" s="5" t="s">
        <v>14114</v>
      </c>
      <c r="C7406" s="3" t="s">
        <v>5</v>
      </c>
    </row>
    <row r="7407" spans="1:3" ht="15.75" thickBot="1">
      <c r="A7407" s="6" t="s">
        <v>14115</v>
      </c>
      <c r="B7407" s="5" t="s">
        <v>14116</v>
      </c>
      <c r="C7407" s="3" t="s">
        <v>5</v>
      </c>
    </row>
    <row r="7408" spans="1:3" ht="15.75" thickBot="1">
      <c r="A7408" s="6" t="s">
        <v>14117</v>
      </c>
      <c r="B7408" s="5" t="s">
        <v>14118</v>
      </c>
      <c r="C7408" s="3" t="s">
        <v>5</v>
      </c>
    </row>
    <row r="7409" spans="1:3" ht="15.75" thickBot="1">
      <c r="A7409" s="6" t="s">
        <v>14119</v>
      </c>
      <c r="B7409" s="5" t="s">
        <v>14120</v>
      </c>
      <c r="C7409" s="3" t="s">
        <v>5</v>
      </c>
    </row>
    <row r="7410" spans="1:3" ht="15.75" thickBot="1">
      <c r="A7410" s="6" t="s">
        <v>14121</v>
      </c>
      <c r="B7410" s="5" t="s">
        <v>14122</v>
      </c>
      <c r="C7410" s="3" t="s">
        <v>5</v>
      </c>
    </row>
    <row r="7411" spans="1:3" ht="15.75" thickBot="1">
      <c r="A7411" s="6" t="s">
        <v>14123</v>
      </c>
      <c r="B7411" s="5" t="s">
        <v>14124</v>
      </c>
      <c r="C7411" s="3" t="s">
        <v>5</v>
      </c>
    </row>
    <row r="7412" spans="1:3" ht="15.75" thickBot="1">
      <c r="A7412" s="6" t="s">
        <v>14125</v>
      </c>
      <c r="B7412" s="5" t="s">
        <v>14126</v>
      </c>
      <c r="C7412" s="3" t="s">
        <v>5</v>
      </c>
    </row>
    <row r="7413" spans="1:3">
      <c r="A7413" s="1" t="s">
        <v>14127</v>
      </c>
      <c r="B7413" s="2" t="s">
        <v>14128</v>
      </c>
      <c r="C7413" s="3" t="s">
        <v>5</v>
      </c>
    </row>
    <row r="7414" spans="1:3" ht="15.75" thickBot="1">
      <c r="A7414" s="4"/>
      <c r="B7414" s="5" t="s">
        <v>14129</v>
      </c>
      <c r="C7414" s="3" t="s">
        <v>5</v>
      </c>
    </row>
    <row r="7415" spans="1:3" ht="15.75" thickBot="1">
      <c r="A7415" s="6" t="s">
        <v>14130</v>
      </c>
      <c r="B7415" s="5" t="e">
        <f xml:space="preserve"> fixed charge</f>
        <v>#NAME?</v>
      </c>
      <c r="C7415" s="3" t="s">
        <v>5</v>
      </c>
    </row>
    <row r="7416" spans="1:3" ht="15.75" thickBot="1">
      <c r="A7416" s="6" t="s">
        <v>14131</v>
      </c>
      <c r="B7416" s="5" t="s">
        <v>14132</v>
      </c>
      <c r="C7416" s="3" t="s">
        <v>5</v>
      </c>
    </row>
    <row r="7417" spans="1:3" ht="15.75" thickBot="1">
      <c r="A7417" s="6" t="s">
        <v>14133</v>
      </c>
      <c r="B7417" s="5" t="s">
        <v>14134</v>
      </c>
      <c r="C7417" s="3" t="s">
        <v>5</v>
      </c>
    </row>
    <row r="7418" spans="1:3" ht="15.75" thickBot="1">
      <c r="A7418" s="6" t="s">
        <v>14135</v>
      </c>
      <c r="B7418" s="5" t="s">
        <v>14136</v>
      </c>
      <c r="C7418" s="3" t="s">
        <v>5</v>
      </c>
    </row>
    <row r="7419" spans="1:3">
      <c r="A7419" s="1" t="s">
        <v>14137</v>
      </c>
      <c r="B7419" s="2" t="s">
        <v>14138</v>
      </c>
      <c r="C7419" s="3" t="s">
        <v>5</v>
      </c>
    </row>
    <row r="7420" spans="1:3" ht="15.75" thickBot="1">
      <c r="A7420" s="4"/>
      <c r="B7420" s="5" t="s">
        <v>14139</v>
      </c>
      <c r="C7420" s="3" t="s">
        <v>5</v>
      </c>
    </row>
    <row r="7421" spans="1:3" ht="15.75" thickBot="1">
      <c r="A7421" s="6" t="s">
        <v>14140</v>
      </c>
      <c r="B7421" s="5" t="s">
        <v>14141</v>
      </c>
      <c r="C7421" s="3" t="s">
        <v>5</v>
      </c>
    </row>
    <row r="7422" spans="1:3" ht="15.75" thickBot="1">
      <c r="A7422" s="6" t="s">
        <v>14142</v>
      </c>
      <c r="B7422" s="5" t="s">
        <v>14143</v>
      </c>
      <c r="C7422" s="3" t="s">
        <v>5</v>
      </c>
    </row>
    <row r="7423" spans="1:3" ht="15.75" thickBot="1">
      <c r="A7423" s="6" t="s">
        <v>14144</v>
      </c>
      <c r="B7423" s="5" t="s">
        <v>14145</v>
      </c>
      <c r="C7423" s="3" t="s">
        <v>5</v>
      </c>
    </row>
    <row r="7424" spans="1:3" ht="15.75" thickBot="1">
      <c r="A7424" s="6" t="s">
        <v>14146</v>
      </c>
      <c r="B7424" s="5" t="s">
        <v>14147</v>
      </c>
      <c r="C7424" s="3" t="s">
        <v>5</v>
      </c>
    </row>
    <row r="7425" spans="1:3" ht="15.75" thickBot="1">
      <c r="A7425" s="6" t="s">
        <v>14148</v>
      </c>
      <c r="B7425" s="5" t="s">
        <v>14149</v>
      </c>
      <c r="C7425" s="3" t="s">
        <v>5</v>
      </c>
    </row>
    <row r="7426" spans="1:3" ht="15.75" thickBot="1">
      <c r="A7426" s="6" t="s">
        <v>14150</v>
      </c>
      <c r="B7426" s="5" t="s">
        <v>14151</v>
      </c>
      <c r="C7426" s="3" t="s">
        <v>5</v>
      </c>
    </row>
    <row r="7427" spans="1:3" ht="15.75" thickBot="1">
      <c r="A7427" s="6" t="s">
        <v>14152</v>
      </c>
      <c r="B7427" s="5" t="s">
        <v>14153</v>
      </c>
      <c r="C7427" s="3" t="s">
        <v>5</v>
      </c>
    </row>
    <row r="7428" spans="1:3" ht="15.75" thickBot="1">
      <c r="A7428" s="6" t="s">
        <v>14154</v>
      </c>
      <c r="B7428" s="5" t="s">
        <v>14155</v>
      </c>
      <c r="C7428" s="3" t="s">
        <v>5</v>
      </c>
    </row>
    <row r="7429" spans="1:3" ht="15.75" thickBot="1">
      <c r="A7429" s="6" t="s">
        <v>14156</v>
      </c>
      <c r="B7429" s="5" t="s">
        <v>14157</v>
      </c>
      <c r="C7429" s="3" t="s">
        <v>5</v>
      </c>
    </row>
    <row r="7430" spans="1:3" ht="15.75" thickBot="1">
      <c r="A7430" s="6" t="s">
        <v>14158</v>
      </c>
      <c r="B7430" s="5" t="s">
        <v>14159</v>
      </c>
      <c r="C7430" s="3" t="s">
        <v>5</v>
      </c>
    </row>
    <row r="7431" spans="1:3" ht="15.75" thickBot="1">
      <c r="A7431" s="6" t="s">
        <v>14160</v>
      </c>
      <c r="B7431" s="5" t="s">
        <v>14161</v>
      </c>
      <c r="C7431" s="3" t="s">
        <v>5</v>
      </c>
    </row>
    <row r="7432" spans="1:3" ht="15.75" thickBot="1">
      <c r="A7432" s="6" t="s">
        <v>14162</v>
      </c>
      <c r="B7432" s="5" t="s">
        <v>14163</v>
      </c>
      <c r="C7432" s="3" t="s">
        <v>5</v>
      </c>
    </row>
    <row r="7433" spans="1:3" ht="15.75" thickBot="1">
      <c r="A7433" s="6" t="s">
        <v>14164</v>
      </c>
      <c r="B7433" s="5" t="s">
        <v>14165</v>
      </c>
      <c r="C7433" s="3" t="s">
        <v>5</v>
      </c>
    </row>
    <row r="7434" spans="1:3" ht="15.75" thickBot="1">
      <c r="A7434" s="6" t="s">
        <v>14166</v>
      </c>
      <c r="B7434" s="5" t="s">
        <v>14167</v>
      </c>
      <c r="C7434" s="3" t="s">
        <v>5</v>
      </c>
    </row>
    <row r="7435" spans="1:3" ht="15.75" thickBot="1">
      <c r="A7435" s="6" t="s">
        <v>14168</v>
      </c>
      <c r="B7435" s="5" t="s">
        <v>14169</v>
      </c>
      <c r="C7435" s="3" t="s">
        <v>5</v>
      </c>
    </row>
    <row r="7436" spans="1:3" ht="15.75" thickBot="1">
      <c r="A7436" s="6" t="s">
        <v>14170</v>
      </c>
      <c r="B7436" s="5" t="s">
        <v>14171</v>
      </c>
      <c r="C7436" s="3" t="s">
        <v>5</v>
      </c>
    </row>
    <row r="7437" spans="1:3" ht="15.75" thickBot="1">
      <c r="A7437" s="6" t="s">
        <v>14172</v>
      </c>
      <c r="B7437" s="5" t="s">
        <v>14173</v>
      </c>
      <c r="C7437" s="3" t="s">
        <v>5</v>
      </c>
    </row>
    <row r="7438" spans="1:3" ht="15.75" thickBot="1">
      <c r="A7438" s="6" t="s">
        <v>14174</v>
      </c>
      <c r="B7438" s="5" t="s">
        <v>14175</v>
      </c>
      <c r="C7438" s="3" t="s">
        <v>5</v>
      </c>
    </row>
    <row r="7439" spans="1:3" ht="15.75" thickBot="1">
      <c r="A7439" s="6" t="s">
        <v>14176</v>
      </c>
      <c r="B7439" s="5" t="s">
        <v>14177</v>
      </c>
      <c r="C7439" s="3" t="s">
        <v>5</v>
      </c>
    </row>
    <row r="7440" spans="1:3" ht="15.75" thickBot="1">
      <c r="A7440" s="6" t="s">
        <v>14178</v>
      </c>
      <c r="B7440" s="5" t="s">
        <v>14179</v>
      </c>
      <c r="C7440" s="3" t="s">
        <v>5</v>
      </c>
    </row>
    <row r="7441" spans="1:3" ht="15.75" thickBot="1">
      <c r="A7441" s="6" t="s">
        <v>14180</v>
      </c>
      <c r="B7441" s="5" t="s">
        <v>14181</v>
      </c>
      <c r="C7441" s="3" t="s">
        <v>5</v>
      </c>
    </row>
    <row r="7442" spans="1:3" ht="15.75" thickBot="1">
      <c r="A7442" s="6" t="s">
        <v>14182</v>
      </c>
      <c r="B7442" s="5" t="s">
        <v>14183</v>
      </c>
      <c r="C7442" s="3" t="s">
        <v>5</v>
      </c>
    </row>
    <row r="7443" spans="1:3" ht="15.75" thickBot="1">
      <c r="A7443" s="6" t="s">
        <v>14184</v>
      </c>
      <c r="B7443" s="5" t="s">
        <v>14185</v>
      </c>
      <c r="C7443" s="3" t="s">
        <v>5</v>
      </c>
    </row>
    <row r="7444" spans="1:3" ht="15.75" thickBot="1">
      <c r="A7444" s="6" t="s">
        <v>14186</v>
      </c>
      <c r="B7444" s="5" t="s">
        <v>14187</v>
      </c>
      <c r="C7444" s="3" t="s">
        <v>5</v>
      </c>
    </row>
    <row r="7445" spans="1:3" ht="15.75" thickBot="1">
      <c r="A7445" s="6" t="s">
        <v>14188</v>
      </c>
      <c r="B7445" s="5" t="s">
        <v>14189</v>
      </c>
      <c r="C7445" s="3" t="s">
        <v>5</v>
      </c>
    </row>
    <row r="7446" spans="1:3" ht="15.75" thickBot="1">
      <c r="A7446" s="6" t="s">
        <v>14190</v>
      </c>
      <c r="B7446" s="5" t="s">
        <v>14191</v>
      </c>
      <c r="C7446" s="3" t="s">
        <v>5</v>
      </c>
    </row>
    <row r="7447" spans="1:3" ht="15.75" thickBot="1">
      <c r="A7447" s="6" t="s">
        <v>14192</v>
      </c>
      <c r="B7447" s="5" t="s">
        <v>14193</v>
      </c>
      <c r="C7447" s="3" t="s">
        <v>5</v>
      </c>
    </row>
    <row r="7448" spans="1:3" ht="15.75" thickBot="1">
      <c r="A7448" s="6" t="s">
        <v>14194</v>
      </c>
      <c r="B7448" s="5" t="s">
        <v>14195</v>
      </c>
      <c r="C7448" s="3" t="s">
        <v>5</v>
      </c>
    </row>
    <row r="7449" spans="1:3" ht="15.75" thickBot="1">
      <c r="A7449" s="6" t="s">
        <v>14196</v>
      </c>
      <c r="B7449" s="5" t="s">
        <v>14197</v>
      </c>
      <c r="C7449" s="3" t="s">
        <v>5</v>
      </c>
    </row>
    <row r="7450" spans="1:3" ht="15.75" thickBot="1">
      <c r="A7450" s="6" t="s">
        <v>14198</v>
      </c>
      <c r="B7450" s="5" t="s">
        <v>14199</v>
      </c>
      <c r="C7450" s="3" t="s">
        <v>5</v>
      </c>
    </row>
    <row r="7451" spans="1:3" ht="15.75" thickBot="1">
      <c r="A7451" s="6" t="s">
        <v>14200</v>
      </c>
      <c r="B7451" s="5" t="s">
        <v>14201</v>
      </c>
      <c r="C7451" s="3" t="s">
        <v>5</v>
      </c>
    </row>
    <row r="7452" spans="1:3" ht="15.75" thickBot="1">
      <c r="A7452" s="6" t="s">
        <v>14202</v>
      </c>
      <c r="B7452" s="5" t="s">
        <v>14203</v>
      </c>
      <c r="C7452" s="3" t="s">
        <v>5</v>
      </c>
    </row>
    <row r="7453" spans="1:3" ht="15.75" thickBot="1">
      <c r="A7453" s="6" t="s">
        <v>14204</v>
      </c>
      <c r="B7453" s="5" t="s">
        <v>14205</v>
      </c>
      <c r="C7453" s="3" t="s">
        <v>5</v>
      </c>
    </row>
    <row r="7454" spans="1:3" ht="15.75" thickBot="1">
      <c r="A7454" s="6" t="s">
        <v>14206</v>
      </c>
      <c r="B7454" s="5" t="s">
        <v>14207</v>
      </c>
      <c r="C7454" s="3" t="s">
        <v>5</v>
      </c>
    </row>
    <row r="7455" spans="1:3" ht="15.75" thickBot="1">
      <c r="A7455" s="6" t="s">
        <v>14208</v>
      </c>
      <c r="B7455" s="5" t="s">
        <v>14209</v>
      </c>
      <c r="C7455" s="3" t="s">
        <v>5</v>
      </c>
    </row>
    <row r="7456" spans="1:3" ht="15.75" thickBot="1">
      <c r="A7456" s="6" t="s">
        <v>14210</v>
      </c>
      <c r="B7456" s="5" t="s">
        <v>14211</v>
      </c>
      <c r="C7456" s="3" t="s">
        <v>5</v>
      </c>
    </row>
    <row r="7457" spans="1:3" ht="15.75" thickBot="1">
      <c r="A7457" s="6" t="s">
        <v>14212</v>
      </c>
      <c r="B7457" s="5" t="s">
        <v>14213</v>
      </c>
      <c r="C7457" s="3" t="s">
        <v>5</v>
      </c>
    </row>
    <row r="7458" spans="1:3" ht="15.75" thickBot="1">
      <c r="A7458" s="6" t="s">
        <v>14214</v>
      </c>
      <c r="B7458" s="5" t="s">
        <v>14215</v>
      </c>
      <c r="C7458" s="3" t="s">
        <v>5</v>
      </c>
    </row>
    <row r="7459" spans="1:3" ht="15.75" thickBot="1">
      <c r="A7459" s="6" t="s">
        <v>14216</v>
      </c>
      <c r="B7459" s="5" t="s">
        <v>14217</v>
      </c>
      <c r="C7459" s="3" t="s">
        <v>5</v>
      </c>
    </row>
    <row r="7460" spans="1:3" ht="15.75" thickBot="1">
      <c r="A7460" s="6" t="s">
        <v>14218</v>
      </c>
      <c r="B7460" s="5" t="s">
        <v>14219</v>
      </c>
      <c r="C7460" s="3" t="s">
        <v>5</v>
      </c>
    </row>
    <row r="7461" spans="1:3" ht="15.75" thickBot="1">
      <c r="A7461" s="6" t="s">
        <v>14220</v>
      </c>
      <c r="B7461" s="5" t="s">
        <v>14219</v>
      </c>
      <c r="C7461" s="3" t="s">
        <v>5</v>
      </c>
    </row>
    <row r="7462" spans="1:3" ht="15.75" thickBot="1">
      <c r="A7462" s="6" t="s">
        <v>14221</v>
      </c>
      <c r="B7462" s="5" t="s">
        <v>3346</v>
      </c>
      <c r="C7462" s="3" t="s">
        <v>5</v>
      </c>
    </row>
    <row r="7463" spans="1:3" ht="15.75" thickBot="1">
      <c r="A7463" s="6" t="s">
        <v>14222</v>
      </c>
      <c r="B7463" s="5" t="s">
        <v>14223</v>
      </c>
      <c r="C7463" s="3" t="s">
        <v>5</v>
      </c>
    </row>
    <row r="7464" spans="1:3" ht="15.75" thickBot="1">
      <c r="A7464" s="6" t="s">
        <v>14224</v>
      </c>
      <c r="B7464" s="5" t="s">
        <v>14225</v>
      </c>
      <c r="C7464" s="3" t="s">
        <v>5</v>
      </c>
    </row>
    <row r="7465" spans="1:3" ht="15.75" thickBot="1">
      <c r="A7465" s="6" t="s">
        <v>14226</v>
      </c>
      <c r="B7465" s="5" t="s">
        <v>14227</v>
      </c>
      <c r="C7465" s="3" t="s">
        <v>5</v>
      </c>
    </row>
    <row r="7466" spans="1:3" ht="15.75" thickBot="1">
      <c r="A7466" s="6" t="s">
        <v>14228</v>
      </c>
      <c r="B7466" s="5" t="s">
        <v>14229</v>
      </c>
      <c r="C7466" s="3" t="s">
        <v>5</v>
      </c>
    </row>
    <row r="7467" spans="1:3">
      <c r="A7467" s="1" t="s">
        <v>14230</v>
      </c>
      <c r="B7467" s="2" t="s">
        <v>14231</v>
      </c>
      <c r="C7467" s="3" t="s">
        <v>5</v>
      </c>
    </row>
    <row r="7468" spans="1:3" ht="15.75" thickBot="1">
      <c r="A7468" s="4"/>
      <c r="B7468" s="5" t="s">
        <v>14232</v>
      </c>
      <c r="C7468" s="3" t="s">
        <v>5</v>
      </c>
    </row>
    <row r="7469" spans="1:3" ht="15.75" thickBot="1">
      <c r="A7469" s="6" t="s">
        <v>14233</v>
      </c>
      <c r="B7469" s="5" t="s">
        <v>14234</v>
      </c>
      <c r="C7469" s="3" t="s">
        <v>5</v>
      </c>
    </row>
    <row r="7470" spans="1:3" ht="15.75" thickBot="1">
      <c r="A7470" s="6" t="s">
        <v>14235</v>
      </c>
      <c r="B7470" s="5" t="s">
        <v>14236</v>
      </c>
      <c r="C7470" s="3" t="s">
        <v>5</v>
      </c>
    </row>
    <row r="7471" spans="1:3" ht="15.75" thickBot="1">
      <c r="A7471" s="6" t="s">
        <v>14237</v>
      </c>
      <c r="B7471" s="5" t="s">
        <v>14238</v>
      </c>
      <c r="C7471" s="3" t="s">
        <v>5</v>
      </c>
    </row>
    <row r="7472" spans="1:3">
      <c r="A7472" s="1" t="s">
        <v>14239</v>
      </c>
      <c r="B7472" s="2" t="s">
        <v>14240</v>
      </c>
      <c r="C7472" s="3" t="s">
        <v>5</v>
      </c>
    </row>
    <row r="7473" spans="1:3" ht="15.75" thickBot="1">
      <c r="A7473" s="4"/>
      <c r="B7473" s="5" t="s">
        <v>14241</v>
      </c>
      <c r="C7473" s="3" t="s">
        <v>5</v>
      </c>
    </row>
    <row r="7474" spans="1:3" ht="15.75" thickBot="1">
      <c r="A7474" s="6" t="s">
        <v>14242</v>
      </c>
      <c r="B7474" s="5" t="s">
        <v>14243</v>
      </c>
      <c r="C7474" s="3" t="s">
        <v>5</v>
      </c>
    </row>
    <row r="7475" spans="1:3" ht="15.75" thickBot="1">
      <c r="A7475" s="6" t="s">
        <v>14244</v>
      </c>
      <c r="B7475" s="5" t="s">
        <v>14245</v>
      </c>
      <c r="C7475" s="3" t="s">
        <v>5</v>
      </c>
    </row>
    <row r="7476" spans="1:3" ht="15.75" thickBot="1">
      <c r="A7476" s="6" t="s">
        <v>14246</v>
      </c>
      <c r="B7476" s="5" t="s">
        <v>6757</v>
      </c>
      <c r="C7476" s="3" t="s">
        <v>5</v>
      </c>
    </row>
    <row r="7477" spans="1:3" ht="15.75" thickBot="1">
      <c r="A7477" s="6" t="s">
        <v>14247</v>
      </c>
      <c r="B7477" s="5" t="s">
        <v>14248</v>
      </c>
      <c r="C7477" s="3" t="s">
        <v>5</v>
      </c>
    </row>
    <row r="7478" spans="1:3" ht="15.75" thickBot="1">
      <c r="A7478" s="6" t="s">
        <v>14249</v>
      </c>
      <c r="B7478" s="5" t="s">
        <v>14250</v>
      </c>
      <c r="C7478" s="3" t="s">
        <v>5</v>
      </c>
    </row>
    <row r="7479" spans="1:3" ht="15.75" thickBot="1">
      <c r="A7479" s="6" t="s">
        <v>14251</v>
      </c>
      <c r="B7479" s="5" t="s">
        <v>14252</v>
      </c>
      <c r="C7479" s="3" t="s">
        <v>5</v>
      </c>
    </row>
    <row r="7480" spans="1:3" ht="15.75" thickBot="1">
      <c r="A7480" s="6" t="s">
        <v>14253</v>
      </c>
      <c r="B7480" s="5" t="s">
        <v>14254</v>
      </c>
      <c r="C7480" s="3" t="s">
        <v>5</v>
      </c>
    </row>
    <row r="7481" spans="1:3" ht="15.75" thickBot="1">
      <c r="A7481" s="6" t="s">
        <v>14255</v>
      </c>
      <c r="B7481" s="5" t="s">
        <v>14256</v>
      </c>
      <c r="C7481" s="3" t="s">
        <v>5</v>
      </c>
    </row>
    <row r="7482" spans="1:3" ht="15.75" thickBot="1">
      <c r="A7482" s="6" t="s">
        <v>14257</v>
      </c>
      <c r="B7482" s="5" t="s">
        <v>14258</v>
      </c>
      <c r="C7482" s="3" t="s">
        <v>5</v>
      </c>
    </row>
    <row r="7483" spans="1:3" ht="15.75" thickBot="1">
      <c r="A7483" s="6" t="s">
        <v>14259</v>
      </c>
      <c r="B7483" s="5" t="s">
        <v>2426</v>
      </c>
      <c r="C7483" s="3" t="s">
        <v>5</v>
      </c>
    </row>
    <row r="7484" spans="1:3" ht="15.75" thickBot="1">
      <c r="A7484" s="6" t="s">
        <v>14260</v>
      </c>
      <c r="B7484" s="5" t="s">
        <v>14261</v>
      </c>
      <c r="C7484" s="3" t="s">
        <v>5</v>
      </c>
    </row>
    <row r="7485" spans="1:3" ht="15.75" thickBot="1">
      <c r="A7485" s="6" t="s">
        <v>14262</v>
      </c>
      <c r="B7485" s="5" t="s">
        <v>14263</v>
      </c>
      <c r="C7485" s="3" t="s">
        <v>5</v>
      </c>
    </row>
    <row r="7486" spans="1:3" ht="15.75" thickBot="1">
      <c r="A7486" s="6" t="s">
        <v>14264</v>
      </c>
      <c r="B7486" s="5" t="s">
        <v>14265</v>
      </c>
      <c r="C7486" s="3" t="s">
        <v>5</v>
      </c>
    </row>
    <row r="7487" spans="1:3" ht="15.75" thickBot="1">
      <c r="A7487" s="6" t="s">
        <v>14266</v>
      </c>
      <c r="B7487" s="5" t="s">
        <v>14267</v>
      </c>
      <c r="C7487" s="3" t="s">
        <v>5</v>
      </c>
    </row>
    <row r="7488" spans="1:3" ht="15.75" thickBot="1">
      <c r="A7488" s="6" t="s">
        <v>14268</v>
      </c>
      <c r="B7488" s="5" t="s">
        <v>14269</v>
      </c>
      <c r="C7488" s="3" t="s">
        <v>5</v>
      </c>
    </row>
    <row r="7489" spans="1:3" ht="15.75" thickBot="1">
      <c r="A7489" s="6" t="s">
        <v>14270</v>
      </c>
      <c r="B7489" s="5" t="s">
        <v>14271</v>
      </c>
      <c r="C7489" s="3" t="s">
        <v>5</v>
      </c>
    </row>
    <row r="7490" spans="1:3" ht="15.75" thickBot="1">
      <c r="A7490" s="6" t="s">
        <v>14272</v>
      </c>
      <c r="B7490" s="5" t="s">
        <v>14100</v>
      </c>
      <c r="C7490" s="3" t="s">
        <v>5</v>
      </c>
    </row>
    <row r="7491" spans="1:3" ht="15.75" thickBot="1">
      <c r="A7491" s="6" t="s">
        <v>14273</v>
      </c>
      <c r="B7491" s="5" t="s">
        <v>14274</v>
      </c>
      <c r="C7491" s="3" t="s">
        <v>5</v>
      </c>
    </row>
    <row r="7492" spans="1:3" ht="15.75" thickBot="1">
      <c r="A7492" s="6" t="s">
        <v>14275</v>
      </c>
      <c r="B7492" s="5" t="s">
        <v>14276</v>
      </c>
      <c r="C7492" s="3" t="s">
        <v>5</v>
      </c>
    </row>
    <row r="7493" spans="1:3" ht="15.75" thickBot="1">
      <c r="A7493" s="6" t="s">
        <v>14277</v>
      </c>
      <c r="B7493" s="5" t="s">
        <v>14278</v>
      </c>
      <c r="C7493" s="3" t="s">
        <v>5</v>
      </c>
    </row>
    <row r="7494" spans="1:3" ht="15.75" thickBot="1">
      <c r="A7494" s="6" t="s">
        <v>14279</v>
      </c>
      <c r="B7494" s="5" t="s">
        <v>14280</v>
      </c>
      <c r="C7494" s="3" t="s">
        <v>5</v>
      </c>
    </row>
    <row r="7495" spans="1:3" ht="15.75" thickBot="1">
      <c r="A7495" s="6" t="s">
        <v>14281</v>
      </c>
      <c r="B7495" s="5" t="s">
        <v>14282</v>
      </c>
      <c r="C7495" s="3" t="s">
        <v>5</v>
      </c>
    </row>
    <row r="7496" spans="1:3" ht="15.75" thickBot="1">
      <c r="A7496" s="6" t="s">
        <v>14283</v>
      </c>
      <c r="B7496" s="5" t="e">
        <f xml:space="preserve"> band elimination filter</f>
        <v>#NAME?</v>
      </c>
      <c r="C7496" s="3" t="s">
        <v>5</v>
      </c>
    </row>
    <row r="7497" spans="1:3" ht="15.75" thickBot="1">
      <c r="A7497" s="6" t="s">
        <v>14284</v>
      </c>
      <c r="B7497" s="5" t="s">
        <v>14285</v>
      </c>
      <c r="C7497" s="3" t="s">
        <v>5</v>
      </c>
    </row>
    <row r="7498" spans="1:3" ht="15.75" thickBot="1">
      <c r="A7498" s="6" t="s">
        <v>14286</v>
      </c>
      <c r="B7498" s="5" t="s">
        <v>14287</v>
      </c>
      <c r="C7498" s="3" t="s">
        <v>5</v>
      </c>
    </row>
    <row r="7499" spans="1:3" ht="15.75" thickBot="1">
      <c r="A7499" s="6" t="s">
        <v>14288</v>
      </c>
      <c r="B7499" s="5" t="s">
        <v>14289</v>
      </c>
      <c r="C7499" s="3" t="s">
        <v>5</v>
      </c>
    </row>
    <row r="7500" spans="1:3" ht="15.75" thickBot="1">
      <c r="A7500" s="6" t="s">
        <v>14290</v>
      </c>
      <c r="B7500" s="5" t="s">
        <v>14291</v>
      </c>
      <c r="C7500" s="3" t="s">
        <v>5</v>
      </c>
    </row>
    <row r="7501" spans="1:3" ht="15.75" thickBot="1">
      <c r="A7501" s="6" t="s">
        <v>14292</v>
      </c>
      <c r="B7501" s="5" t="s">
        <v>14293</v>
      </c>
      <c r="C7501" s="3" t="s">
        <v>5</v>
      </c>
    </row>
    <row r="7502" spans="1:3" ht="15.75" thickBot="1">
      <c r="A7502" s="6" t="s">
        <v>14294</v>
      </c>
      <c r="B7502" s="5" t="s">
        <v>14295</v>
      </c>
      <c r="C7502" s="3" t="s">
        <v>5</v>
      </c>
    </row>
    <row r="7503" spans="1:3" ht="15.75" thickBot="1">
      <c r="A7503" s="6" t="s">
        <v>14296</v>
      </c>
      <c r="B7503" s="5" t="s">
        <v>14297</v>
      </c>
      <c r="C7503" s="3" t="s">
        <v>5</v>
      </c>
    </row>
    <row r="7504" spans="1:3" ht="15.75" thickBot="1">
      <c r="A7504" s="6" t="s">
        <v>14298</v>
      </c>
      <c r="B7504" s="5" t="s">
        <v>14299</v>
      </c>
      <c r="C7504" s="3" t="s">
        <v>5</v>
      </c>
    </row>
    <row r="7505" spans="1:3" ht="15.75" thickBot="1">
      <c r="A7505" s="6" t="s">
        <v>14300</v>
      </c>
      <c r="B7505" s="5" t="s">
        <v>14301</v>
      </c>
      <c r="C7505" s="3" t="s">
        <v>5</v>
      </c>
    </row>
    <row r="7506" spans="1:3" ht="15.75" thickBot="1">
      <c r="A7506" s="6" t="s">
        <v>14302</v>
      </c>
      <c r="B7506" s="5" t="s">
        <v>14303</v>
      </c>
      <c r="C7506" s="3" t="s">
        <v>5</v>
      </c>
    </row>
    <row r="7507" spans="1:3" ht="15.75" thickBot="1">
      <c r="A7507" s="6" t="s">
        <v>14304</v>
      </c>
      <c r="B7507" s="5" t="s">
        <v>14305</v>
      </c>
      <c r="C7507" s="3" t="s">
        <v>5</v>
      </c>
    </row>
    <row r="7508" spans="1:3" ht="15.75" thickBot="1">
      <c r="A7508" s="6" t="s">
        <v>14306</v>
      </c>
      <c r="B7508" s="5" t="s">
        <v>14307</v>
      </c>
      <c r="C7508" s="3" t="s">
        <v>5</v>
      </c>
    </row>
    <row r="7509" spans="1:3" ht="15.75" thickBot="1">
      <c r="A7509" s="6" t="s">
        <v>14308</v>
      </c>
      <c r="B7509" s="5" t="s">
        <v>14309</v>
      </c>
      <c r="C7509" s="3" t="s">
        <v>5</v>
      </c>
    </row>
    <row r="7510" spans="1:3" ht="15.75" thickBot="1">
      <c r="A7510" s="6" t="s">
        <v>14310</v>
      </c>
      <c r="B7510" s="5" t="s">
        <v>14311</v>
      </c>
      <c r="C7510" s="3" t="s">
        <v>5</v>
      </c>
    </row>
    <row r="7511" spans="1:3" ht="15.75" thickBot="1">
      <c r="A7511" s="6" t="s">
        <v>14312</v>
      </c>
      <c r="B7511" s="5" t="s">
        <v>14313</v>
      </c>
      <c r="C7511" s="3" t="s">
        <v>5</v>
      </c>
    </row>
    <row r="7512" spans="1:3" ht="15.75" thickBot="1">
      <c r="A7512" s="6" t="s">
        <v>14314</v>
      </c>
      <c r="B7512" s="5" t="s">
        <v>14315</v>
      </c>
      <c r="C7512" s="3" t="s">
        <v>5</v>
      </c>
    </row>
    <row r="7513" spans="1:3" ht="15.75" thickBot="1">
      <c r="A7513" s="6" t="s">
        <v>14316</v>
      </c>
      <c r="B7513" s="5" t="s">
        <v>14317</v>
      </c>
      <c r="C7513" s="3" t="s">
        <v>5</v>
      </c>
    </row>
    <row r="7514" spans="1:3" ht="15.75" thickBot="1">
      <c r="A7514" s="6" t="s">
        <v>14318</v>
      </c>
      <c r="B7514" s="5" t="s">
        <v>14319</v>
      </c>
      <c r="C7514" s="3" t="s">
        <v>5</v>
      </c>
    </row>
    <row r="7515" spans="1:3" ht="15.75" thickBot="1">
      <c r="A7515" s="6" t="s">
        <v>14320</v>
      </c>
      <c r="B7515" s="5" t="s">
        <v>14321</v>
      </c>
      <c r="C7515" s="3" t="s">
        <v>5</v>
      </c>
    </row>
    <row r="7516" spans="1:3" ht="15.75" thickBot="1">
      <c r="A7516" s="6" t="s">
        <v>14322</v>
      </c>
      <c r="B7516" s="5" t="s">
        <v>14323</v>
      </c>
      <c r="C7516" s="3" t="s">
        <v>5</v>
      </c>
    </row>
    <row r="7517" spans="1:3" ht="15.75" thickBot="1">
      <c r="A7517" s="6" t="s">
        <v>14324</v>
      </c>
      <c r="B7517" s="5" t="s">
        <v>14325</v>
      </c>
      <c r="C7517" s="3" t="s">
        <v>5</v>
      </c>
    </row>
    <row r="7518" spans="1:3">
      <c r="A7518" s="1" t="s">
        <v>14326</v>
      </c>
      <c r="B7518" s="2" t="s">
        <v>14327</v>
      </c>
      <c r="C7518" s="3" t="s">
        <v>5</v>
      </c>
    </row>
    <row r="7519" spans="1:3" ht="15.75" thickBot="1">
      <c r="A7519" s="4"/>
      <c r="B7519" s="5" t="s">
        <v>3774</v>
      </c>
      <c r="C7519" s="3" t="s">
        <v>5</v>
      </c>
    </row>
    <row r="7520" spans="1:3" ht="15.75" thickBot="1">
      <c r="A7520" s="6" t="s">
        <v>14328</v>
      </c>
      <c r="B7520" s="5" t="s">
        <v>14329</v>
      </c>
      <c r="C7520" s="3" t="s">
        <v>5</v>
      </c>
    </row>
    <row r="7521" spans="1:3" ht="15.75" thickBot="1">
      <c r="A7521" s="6" t="s">
        <v>14330</v>
      </c>
      <c r="B7521" s="5" t="s">
        <v>14331</v>
      </c>
      <c r="C7521" s="3" t="s">
        <v>5</v>
      </c>
    </row>
    <row r="7522" spans="1:3" ht="15.75" thickBot="1">
      <c r="A7522" s="6" t="s">
        <v>14332</v>
      </c>
      <c r="B7522" s="5" t="s">
        <v>14333</v>
      </c>
      <c r="C7522" s="3" t="s">
        <v>5</v>
      </c>
    </row>
    <row r="7523" spans="1:3" ht="15.75" thickBot="1">
      <c r="A7523" s="6" t="s">
        <v>14334</v>
      </c>
      <c r="B7523" s="5" t="s">
        <v>14335</v>
      </c>
      <c r="C7523" s="3" t="s">
        <v>5</v>
      </c>
    </row>
    <row r="7524" spans="1:3" ht="15.75" thickBot="1">
      <c r="A7524" s="6" t="s">
        <v>14336</v>
      </c>
      <c r="B7524" s="5" t="s">
        <v>14337</v>
      </c>
      <c r="C7524" s="3" t="s">
        <v>5</v>
      </c>
    </row>
    <row r="7525" spans="1:3" ht="15.75" thickBot="1">
      <c r="A7525" s="6" t="s">
        <v>14338</v>
      </c>
      <c r="B7525" s="5" t="s">
        <v>14339</v>
      </c>
      <c r="C7525" s="3" t="s">
        <v>5</v>
      </c>
    </row>
    <row r="7526" spans="1:3">
      <c r="A7526" s="1" t="s">
        <v>14340</v>
      </c>
      <c r="B7526" s="2" t="s">
        <v>14341</v>
      </c>
      <c r="C7526" s="3" t="s">
        <v>5</v>
      </c>
    </row>
    <row r="7527" spans="1:3" ht="15.75" thickBot="1">
      <c r="A7527" s="4"/>
      <c r="B7527" s="5" t="s">
        <v>14342</v>
      </c>
      <c r="C7527" s="3" t="s">
        <v>5</v>
      </c>
    </row>
    <row r="7528" spans="1:3" ht="15.75" thickBot="1">
      <c r="A7528" s="6" t="s">
        <v>14343</v>
      </c>
      <c r="B7528" s="5" t="s">
        <v>14344</v>
      </c>
      <c r="C7528" s="3" t="s">
        <v>5</v>
      </c>
    </row>
    <row r="7529" spans="1:3" ht="15.75" thickBot="1">
      <c r="A7529" s="6" t="s">
        <v>14345</v>
      </c>
      <c r="B7529" s="5" t="s">
        <v>14346</v>
      </c>
      <c r="C7529" s="3" t="s">
        <v>5</v>
      </c>
    </row>
    <row r="7530" spans="1:3" ht="15.75" thickBot="1">
      <c r="A7530" s="6" t="s">
        <v>14347</v>
      </c>
      <c r="B7530" s="5" t="s">
        <v>14348</v>
      </c>
      <c r="C7530" s="3" t="s">
        <v>5</v>
      </c>
    </row>
    <row r="7531" spans="1:3" ht="15.75" thickBot="1">
      <c r="A7531" s="6" t="s">
        <v>14349</v>
      </c>
      <c r="B7531" s="5" t="s">
        <v>14350</v>
      </c>
      <c r="C7531" s="3" t="s">
        <v>5</v>
      </c>
    </row>
    <row r="7532" spans="1:3" ht="15.75" thickBot="1">
      <c r="A7532" s="6" t="s">
        <v>14351</v>
      </c>
      <c r="B7532" s="5" t="s">
        <v>14352</v>
      </c>
      <c r="C7532" s="3" t="s">
        <v>5</v>
      </c>
    </row>
    <row r="7533" spans="1:3" ht="15.75" thickBot="1">
      <c r="A7533" s="6" t="s">
        <v>14353</v>
      </c>
      <c r="B7533" s="5" t="s">
        <v>14354</v>
      </c>
      <c r="C7533" s="3" t="s">
        <v>5</v>
      </c>
    </row>
    <row r="7534" spans="1:3">
      <c r="A7534" s="1" t="s">
        <v>14355</v>
      </c>
      <c r="B7534" s="2" t="s">
        <v>14356</v>
      </c>
      <c r="C7534" s="3" t="s">
        <v>5</v>
      </c>
    </row>
    <row r="7535" spans="1:3" ht="15.75" thickBot="1">
      <c r="A7535" s="4"/>
      <c r="B7535" s="5" t="s">
        <v>14357</v>
      </c>
      <c r="C7535" s="3" t="s">
        <v>5</v>
      </c>
    </row>
    <row r="7536" spans="1:3" ht="15.75" thickBot="1">
      <c r="A7536" s="6" t="s">
        <v>14358</v>
      </c>
      <c r="B7536" s="5" t="s">
        <v>14359</v>
      </c>
      <c r="C7536" s="3" t="s">
        <v>5</v>
      </c>
    </row>
    <row r="7537" spans="1:3" ht="15.75" thickBot="1">
      <c r="A7537" s="6" t="s">
        <v>14360</v>
      </c>
      <c r="B7537" s="5" t="s">
        <v>14361</v>
      </c>
      <c r="C7537" s="3" t="s">
        <v>5</v>
      </c>
    </row>
    <row r="7538" spans="1:3" ht="15.75" thickBot="1">
      <c r="A7538" s="6" t="s">
        <v>14362</v>
      </c>
      <c r="B7538" s="5" t="s">
        <v>14344</v>
      </c>
      <c r="C7538" s="3" t="s">
        <v>5</v>
      </c>
    </row>
    <row r="7539" spans="1:3" ht="15.75" thickBot="1">
      <c r="A7539" s="6" t="s">
        <v>14363</v>
      </c>
      <c r="B7539" s="5" t="s">
        <v>14364</v>
      </c>
      <c r="C7539" s="3" t="s">
        <v>5</v>
      </c>
    </row>
    <row r="7540" spans="1:3" ht="15.75" thickBot="1">
      <c r="A7540" s="6" t="s">
        <v>14365</v>
      </c>
      <c r="B7540" s="5" t="e">
        <f xml:space="preserve"> heavy current</f>
        <v>#NAME?</v>
      </c>
      <c r="C7540" s="3" t="s">
        <v>5</v>
      </c>
    </row>
    <row r="7541" spans="1:3" ht="15.75" thickBot="1">
      <c r="A7541" s="6" t="s">
        <v>14366</v>
      </c>
      <c r="B7541" s="5" t="s">
        <v>14367</v>
      </c>
      <c r="C7541" s="3" t="s">
        <v>5</v>
      </c>
    </row>
    <row r="7542" spans="1:3" ht="15.75" thickBot="1">
      <c r="A7542" s="6" t="s">
        <v>14368</v>
      </c>
      <c r="B7542" s="5" t="s">
        <v>14369</v>
      </c>
      <c r="C7542" s="3" t="s">
        <v>5</v>
      </c>
    </row>
    <row r="7543" spans="1:3">
      <c r="A7543" s="1" t="s">
        <v>14370</v>
      </c>
      <c r="B7543" s="2" t="s">
        <v>14371</v>
      </c>
      <c r="C7543" s="3" t="s">
        <v>5</v>
      </c>
    </row>
    <row r="7544" spans="1:3" ht="15.75" thickBot="1">
      <c r="A7544" s="4"/>
      <c r="B7544" s="5" t="s">
        <v>14372</v>
      </c>
      <c r="C7544" s="3" t="s">
        <v>5</v>
      </c>
    </row>
    <row r="7545" spans="1:3" ht="15.75" thickBot="1">
      <c r="A7545" s="6" t="s">
        <v>14373</v>
      </c>
      <c r="B7545" s="5" t="s">
        <v>14374</v>
      </c>
      <c r="C7545" s="3" t="s">
        <v>5</v>
      </c>
    </row>
    <row r="7546" spans="1:3" ht="15.75" thickBot="1">
      <c r="A7546" s="6" t="s">
        <v>14375</v>
      </c>
      <c r="B7546" s="5" t="s">
        <v>14376</v>
      </c>
      <c r="C7546" s="3" t="s">
        <v>5</v>
      </c>
    </row>
    <row r="7547" spans="1:3" ht="15.75" thickBot="1">
      <c r="A7547" s="6" t="s">
        <v>14377</v>
      </c>
      <c r="B7547" s="5" t="s">
        <v>14378</v>
      </c>
      <c r="C7547" s="3" t="s">
        <v>5</v>
      </c>
    </row>
    <row r="7548" spans="1:3" ht="15.75" thickBot="1">
      <c r="A7548" s="6" t="s">
        <v>14379</v>
      </c>
      <c r="B7548" s="5" t="s">
        <v>14380</v>
      </c>
      <c r="C7548" s="3" t="s">
        <v>5</v>
      </c>
    </row>
    <row r="7549" spans="1:3" ht="15.75" thickBot="1">
      <c r="A7549" s="6" t="s">
        <v>14381</v>
      </c>
      <c r="B7549" s="5" t="s">
        <v>14382</v>
      </c>
      <c r="C7549" s="3" t="s">
        <v>5</v>
      </c>
    </row>
    <row r="7550" spans="1:3" ht="15.75" thickBot="1">
      <c r="A7550" s="6" t="s">
        <v>14383</v>
      </c>
      <c r="B7550" s="5" t="s">
        <v>14384</v>
      </c>
      <c r="C7550" s="3" t="s">
        <v>5</v>
      </c>
    </row>
    <row r="7551" spans="1:3" ht="15.75" thickBot="1">
      <c r="A7551" s="6" t="s">
        <v>14385</v>
      </c>
      <c r="B7551" s="5" t="s">
        <v>14386</v>
      </c>
      <c r="C7551" s="3" t="s">
        <v>5</v>
      </c>
    </row>
    <row r="7552" spans="1:3" ht="15.75" thickBot="1">
      <c r="A7552" s="6" t="s">
        <v>14387</v>
      </c>
      <c r="B7552" s="5" t="s">
        <v>14388</v>
      </c>
      <c r="C7552" s="3" t="s">
        <v>5</v>
      </c>
    </row>
    <row r="7553" spans="1:3" ht="15.75" thickBot="1">
      <c r="A7553" s="6" t="s">
        <v>14389</v>
      </c>
      <c r="B7553" s="5" t="s">
        <v>14390</v>
      </c>
      <c r="C7553" s="3" t="s">
        <v>5</v>
      </c>
    </row>
    <row r="7554" spans="1:3" ht="15.75" thickBot="1">
      <c r="A7554" s="6" t="s">
        <v>14391</v>
      </c>
      <c r="B7554" s="5" t="s">
        <v>14392</v>
      </c>
      <c r="C7554" s="3" t="s">
        <v>5</v>
      </c>
    </row>
    <row r="7555" spans="1:3" ht="15.75" thickBot="1">
      <c r="A7555" s="6" t="s">
        <v>14393</v>
      </c>
      <c r="B7555" s="5" t="s">
        <v>14394</v>
      </c>
      <c r="C7555" s="3" t="s">
        <v>5</v>
      </c>
    </row>
    <row r="7556" spans="1:3" ht="15.75" thickBot="1">
      <c r="A7556" s="6" t="s">
        <v>14395</v>
      </c>
      <c r="B7556" s="5" t="s">
        <v>14396</v>
      </c>
      <c r="C7556" s="3" t="s">
        <v>5</v>
      </c>
    </row>
    <row r="7557" spans="1:3" ht="15.75" thickBot="1">
      <c r="A7557" s="6" t="s">
        <v>14397</v>
      </c>
      <c r="B7557" s="5" t="s">
        <v>14398</v>
      </c>
      <c r="C7557" s="3" t="s">
        <v>5</v>
      </c>
    </row>
    <row r="7558" spans="1:3" ht="15.75" thickBot="1">
      <c r="A7558" s="6" t="s">
        <v>14399</v>
      </c>
      <c r="B7558" s="5" t="s">
        <v>9855</v>
      </c>
      <c r="C7558" s="3" t="s">
        <v>5</v>
      </c>
    </row>
    <row r="7559" spans="1:3" ht="15.75" thickBot="1">
      <c r="A7559" s="6" t="s">
        <v>14400</v>
      </c>
      <c r="B7559" s="5" t="s">
        <v>14401</v>
      </c>
      <c r="C7559" s="3" t="s">
        <v>5</v>
      </c>
    </row>
    <row r="7560" spans="1:3" ht="15.75" thickBot="1">
      <c r="A7560" s="6" t="s">
        <v>14402</v>
      </c>
      <c r="B7560" s="5" t="s">
        <v>14403</v>
      </c>
      <c r="C7560" s="3" t="s">
        <v>5</v>
      </c>
    </row>
    <row r="7561" spans="1:3" ht="15.75" thickBot="1">
      <c r="A7561" s="6" t="s">
        <v>14404</v>
      </c>
      <c r="B7561" s="5" t="s">
        <v>14405</v>
      </c>
      <c r="C7561" s="3" t="s">
        <v>5</v>
      </c>
    </row>
    <row r="7562" spans="1:3" ht="15.75" thickBot="1">
      <c r="A7562" s="6" t="s">
        <v>14406</v>
      </c>
      <c r="B7562" s="5" t="s">
        <v>14407</v>
      </c>
      <c r="C7562" s="3" t="s">
        <v>5</v>
      </c>
    </row>
    <row r="7563" spans="1:3" ht="15.75" thickBot="1">
      <c r="A7563" s="6" t="s">
        <v>14408</v>
      </c>
      <c r="B7563" s="5" t="s">
        <v>14409</v>
      </c>
      <c r="C7563" s="3" t="s">
        <v>5</v>
      </c>
    </row>
    <row r="7564" spans="1:3" ht="15.75" thickBot="1">
      <c r="A7564" s="6" t="s">
        <v>14410</v>
      </c>
      <c r="B7564" s="5" t="s">
        <v>14411</v>
      </c>
      <c r="C7564" s="3" t="s">
        <v>5</v>
      </c>
    </row>
    <row r="7565" spans="1:3" ht="15.75" thickBot="1">
      <c r="A7565" s="6" t="s">
        <v>14412</v>
      </c>
      <c r="B7565" s="5" t="s">
        <v>14413</v>
      </c>
      <c r="C7565" s="3" t="s">
        <v>5</v>
      </c>
    </row>
    <row r="7566" spans="1:3" ht="15.75" thickBot="1">
      <c r="A7566" s="6" t="s">
        <v>14414</v>
      </c>
      <c r="B7566" s="5" t="s">
        <v>14415</v>
      </c>
      <c r="C7566" s="3" t="s">
        <v>5</v>
      </c>
    </row>
    <row r="7567" spans="1:3" ht="15.75" thickBot="1">
      <c r="A7567" s="6" t="s">
        <v>14416</v>
      </c>
      <c r="B7567" s="5" t="s">
        <v>14417</v>
      </c>
      <c r="C7567" s="3" t="s">
        <v>5</v>
      </c>
    </row>
    <row r="7568" spans="1:3" ht="15.75" thickBot="1">
      <c r="A7568" s="6" t="s">
        <v>14418</v>
      </c>
      <c r="B7568" s="5" t="s">
        <v>14419</v>
      </c>
      <c r="C7568" s="3" t="s">
        <v>5</v>
      </c>
    </row>
    <row r="7569" spans="1:3" ht="15.75" thickBot="1">
      <c r="A7569" s="6" t="s">
        <v>14420</v>
      </c>
      <c r="B7569" s="5" t="s">
        <v>14421</v>
      </c>
      <c r="C7569" s="3" t="s">
        <v>5</v>
      </c>
    </row>
    <row r="7570" spans="1:3" ht="15.75" thickBot="1">
      <c r="A7570" s="6" t="s">
        <v>14422</v>
      </c>
      <c r="B7570" s="5" t="s">
        <v>14423</v>
      </c>
      <c r="C7570" s="3" t="s">
        <v>5</v>
      </c>
    </row>
    <row r="7571" spans="1:3" ht="15.75" thickBot="1">
      <c r="A7571" s="6" t="s">
        <v>14424</v>
      </c>
      <c r="B7571" s="5" t="s">
        <v>14425</v>
      </c>
      <c r="C7571" s="3" t="s">
        <v>5</v>
      </c>
    </row>
    <row r="7572" spans="1:3" ht="15.75" thickBot="1">
      <c r="A7572" s="6" t="s">
        <v>14426</v>
      </c>
      <c r="B7572" s="5" t="s">
        <v>14427</v>
      </c>
      <c r="C7572" s="3" t="s">
        <v>5</v>
      </c>
    </row>
    <row r="7573" spans="1:3" ht="15.75" thickBot="1">
      <c r="A7573" s="6" t="s">
        <v>14428</v>
      </c>
      <c r="B7573" s="5" t="s">
        <v>14429</v>
      </c>
      <c r="C7573" s="3" t="s">
        <v>5</v>
      </c>
    </row>
    <row r="7574" spans="1:3" ht="15.75" thickBot="1">
      <c r="A7574" s="6" t="s">
        <v>14430</v>
      </c>
      <c r="B7574" s="5" t="s">
        <v>14431</v>
      </c>
      <c r="C7574" s="3" t="s">
        <v>5</v>
      </c>
    </row>
    <row r="7575" spans="1:3" ht="15.75" thickBot="1">
      <c r="A7575" s="6" t="s">
        <v>14432</v>
      </c>
      <c r="B7575" s="5" t="s">
        <v>14433</v>
      </c>
      <c r="C7575" s="3" t="s">
        <v>5</v>
      </c>
    </row>
    <row r="7576" spans="1:3" ht="15.75" thickBot="1">
      <c r="A7576" s="6" t="s">
        <v>14434</v>
      </c>
      <c r="B7576" s="5" t="s">
        <v>14435</v>
      </c>
      <c r="C7576" s="3" t="s">
        <v>5</v>
      </c>
    </row>
    <row r="7577" spans="1:3" ht="15.75" thickBot="1">
      <c r="A7577" s="6" t="s">
        <v>14436</v>
      </c>
      <c r="B7577" s="5" t="s">
        <v>14437</v>
      </c>
      <c r="C7577" s="3" t="s">
        <v>5</v>
      </c>
    </row>
    <row r="7578" spans="1:3" ht="15.75" thickBot="1">
      <c r="A7578" s="6" t="s">
        <v>14438</v>
      </c>
      <c r="B7578" s="5" t="s">
        <v>14439</v>
      </c>
      <c r="C7578" s="3" t="s">
        <v>5</v>
      </c>
    </row>
    <row r="7579" spans="1:3" ht="15.75" thickBot="1">
      <c r="A7579" s="6" t="s">
        <v>14440</v>
      </c>
      <c r="B7579" s="5" t="s">
        <v>14441</v>
      </c>
      <c r="C7579" s="3" t="s">
        <v>5</v>
      </c>
    </row>
    <row r="7580" spans="1:3" ht="15.75" thickBot="1">
      <c r="A7580" s="6" t="s">
        <v>14442</v>
      </c>
      <c r="B7580" s="5" t="s">
        <v>14443</v>
      </c>
      <c r="C7580" s="3" t="s">
        <v>5</v>
      </c>
    </row>
    <row r="7581" spans="1:3" ht="15.75" thickBot="1">
      <c r="A7581" s="6" t="s">
        <v>14444</v>
      </c>
      <c r="B7581" s="5" t="s">
        <v>14445</v>
      </c>
      <c r="C7581" s="3" t="s">
        <v>5</v>
      </c>
    </row>
    <row r="7582" spans="1:3" ht="15.75" thickBot="1">
      <c r="A7582" s="6" t="s">
        <v>14446</v>
      </c>
      <c r="B7582" s="5" t="s">
        <v>14447</v>
      </c>
      <c r="C7582" s="3" t="s">
        <v>5</v>
      </c>
    </row>
    <row r="7583" spans="1:3" ht="15.75" thickBot="1">
      <c r="A7583" s="6" t="s">
        <v>14448</v>
      </c>
      <c r="B7583" s="5" t="s">
        <v>14449</v>
      </c>
      <c r="C7583" s="3" t="s">
        <v>5</v>
      </c>
    </row>
    <row r="7584" spans="1:3" ht="15.75" thickBot="1">
      <c r="A7584" s="6" t="s">
        <v>14450</v>
      </c>
      <c r="B7584" s="5" t="s">
        <v>14451</v>
      </c>
      <c r="C7584" s="3" t="s">
        <v>5</v>
      </c>
    </row>
    <row r="7585" spans="1:3" ht="15.75" thickBot="1">
      <c r="A7585" s="6" t="s">
        <v>14452</v>
      </c>
      <c r="B7585" s="5" t="s">
        <v>14453</v>
      </c>
      <c r="C7585" s="3" t="s">
        <v>5</v>
      </c>
    </row>
    <row r="7586" spans="1:3" ht="15.75" thickBot="1">
      <c r="A7586" s="6" t="s">
        <v>14454</v>
      </c>
      <c r="B7586" s="5" t="s">
        <v>14455</v>
      </c>
      <c r="C7586" s="3" t="s">
        <v>5</v>
      </c>
    </row>
    <row r="7587" spans="1:3" ht="15.75" thickBot="1">
      <c r="A7587" s="6" t="s">
        <v>14456</v>
      </c>
      <c r="B7587" s="5" t="s">
        <v>14457</v>
      </c>
      <c r="C7587" s="3" t="s">
        <v>5</v>
      </c>
    </row>
    <row r="7588" spans="1:3" ht="15.75" thickBot="1">
      <c r="A7588" s="6" t="s">
        <v>14458</v>
      </c>
      <c r="B7588" s="5" t="s">
        <v>14459</v>
      </c>
      <c r="C7588" s="3" t="s">
        <v>5</v>
      </c>
    </row>
    <row r="7589" spans="1:3" ht="15.75" thickBot="1">
      <c r="A7589" s="6" t="s">
        <v>14460</v>
      </c>
      <c r="B7589" s="5" t="s">
        <v>14461</v>
      </c>
      <c r="C7589" s="3" t="s">
        <v>5</v>
      </c>
    </row>
    <row r="7590" spans="1:3" ht="15.75" thickBot="1">
      <c r="A7590" s="6" t="s">
        <v>14462</v>
      </c>
      <c r="B7590" s="5" t="e">
        <f xml:space="preserve"> set up scale instrument</f>
        <v>#NAME?</v>
      </c>
      <c r="C7590" s="3" t="s">
        <v>5</v>
      </c>
    </row>
    <row r="7591" spans="1:3" ht="15.75" thickBot="1">
      <c r="A7591" s="6" t="s">
        <v>14463</v>
      </c>
      <c r="B7591" s="5" t="s">
        <v>14464</v>
      </c>
      <c r="C7591" s="3" t="s">
        <v>5</v>
      </c>
    </row>
    <row r="7592" spans="1:3" ht="15.75" thickBot="1">
      <c r="A7592" s="6" t="s">
        <v>14465</v>
      </c>
      <c r="B7592" s="5" t="s">
        <v>14466</v>
      </c>
      <c r="C7592" s="3" t="s">
        <v>5</v>
      </c>
    </row>
    <row r="7593" spans="1:3" ht="15.75" thickBot="1">
      <c r="A7593" s="6" t="s">
        <v>14467</v>
      </c>
      <c r="B7593" s="5" t="s">
        <v>14468</v>
      </c>
      <c r="C7593" s="3" t="s">
        <v>5</v>
      </c>
    </row>
    <row r="7594" spans="1:3" ht="15.75" thickBot="1">
      <c r="A7594" s="6" t="s">
        <v>14469</v>
      </c>
      <c r="B7594" s="5" t="s">
        <v>14470</v>
      </c>
      <c r="C7594" s="3" t="s">
        <v>5</v>
      </c>
    </row>
    <row r="7595" spans="1:3" ht="15.75" thickBot="1">
      <c r="A7595" s="6" t="s">
        <v>14471</v>
      </c>
      <c r="B7595" s="5" t="s">
        <v>14472</v>
      </c>
      <c r="C7595" s="3" t="s">
        <v>5</v>
      </c>
    </row>
    <row r="7596" spans="1:3" ht="15.75" thickBot="1">
      <c r="A7596" s="6" t="s">
        <v>14473</v>
      </c>
      <c r="B7596" s="5" t="s">
        <v>14474</v>
      </c>
      <c r="C7596" s="3" t="s">
        <v>5</v>
      </c>
    </row>
    <row r="7597" spans="1:3" ht="15.75" thickBot="1">
      <c r="A7597" s="6" t="s">
        <v>14475</v>
      </c>
      <c r="B7597" s="5" t="s">
        <v>14476</v>
      </c>
      <c r="C7597" s="3" t="s">
        <v>5</v>
      </c>
    </row>
    <row r="7598" spans="1:3" ht="15.75" thickBot="1">
      <c r="A7598" s="6" t="s">
        <v>14477</v>
      </c>
      <c r="B7598" s="5" t="s">
        <v>14478</v>
      </c>
      <c r="C7598" s="3" t="s">
        <v>5</v>
      </c>
    </row>
    <row r="7599" spans="1:3" ht="15.75" thickBot="1">
      <c r="A7599" s="6" t="s">
        <v>14479</v>
      </c>
      <c r="B7599" s="5" t="s">
        <v>14480</v>
      </c>
      <c r="C7599" s="3" t="s">
        <v>5</v>
      </c>
    </row>
    <row r="7600" spans="1:3" ht="15.75" thickBot="1">
      <c r="A7600" s="6" t="s">
        <v>14481</v>
      </c>
      <c r="B7600" s="5" t="s">
        <v>14482</v>
      </c>
      <c r="C7600" s="3" t="s">
        <v>5</v>
      </c>
    </row>
    <row r="7601" spans="1:3" ht="15.75" thickBot="1">
      <c r="A7601" s="6" t="s">
        <v>14483</v>
      </c>
      <c r="B7601" s="5" t="s">
        <v>14484</v>
      </c>
      <c r="C7601" s="3" t="s">
        <v>5</v>
      </c>
    </row>
    <row r="7602" spans="1:3" ht="15.75" thickBot="1">
      <c r="A7602" s="6" t="s">
        <v>14485</v>
      </c>
      <c r="B7602" s="5" t="s">
        <v>14486</v>
      </c>
      <c r="C7602" s="3" t="s">
        <v>5</v>
      </c>
    </row>
    <row r="7603" spans="1:3" ht="15.75" thickBot="1">
      <c r="A7603" s="6" t="s">
        <v>14487</v>
      </c>
      <c r="B7603" s="5" t="s">
        <v>14488</v>
      </c>
      <c r="C7603" s="3" t="s">
        <v>5</v>
      </c>
    </row>
    <row r="7604" spans="1:3" ht="15.75" thickBot="1">
      <c r="A7604" s="6" t="s">
        <v>14489</v>
      </c>
      <c r="B7604" s="5" t="s">
        <v>14490</v>
      </c>
      <c r="C7604" s="3" t="s">
        <v>5</v>
      </c>
    </row>
    <row r="7605" spans="1:3" ht="15.75" thickBot="1">
      <c r="A7605" s="6" t="s">
        <v>14491</v>
      </c>
      <c r="B7605" s="5" t="s">
        <v>14492</v>
      </c>
      <c r="C7605" s="3" t="s">
        <v>5</v>
      </c>
    </row>
    <row r="7606" spans="1:3" ht="15.75" thickBot="1">
      <c r="A7606" s="6" t="s">
        <v>14493</v>
      </c>
      <c r="B7606" s="5" t="s">
        <v>14494</v>
      </c>
      <c r="C7606" s="3" t="s">
        <v>5</v>
      </c>
    </row>
    <row r="7607" spans="1:3" ht="15.75" thickBot="1">
      <c r="A7607" s="6" t="s">
        <v>14495</v>
      </c>
      <c r="B7607" s="5" t="s">
        <v>14496</v>
      </c>
      <c r="C7607" s="3" t="s">
        <v>5</v>
      </c>
    </row>
    <row r="7608" spans="1:3" ht="15.75" thickBot="1">
      <c r="A7608" s="6" t="s">
        <v>14497</v>
      </c>
      <c r="B7608" s="5" t="s">
        <v>14498</v>
      </c>
      <c r="C7608" s="3" t="s">
        <v>5</v>
      </c>
    </row>
    <row r="7609" spans="1:3" ht="15.75" thickBot="1">
      <c r="A7609" s="6" t="s">
        <v>14499</v>
      </c>
      <c r="B7609" s="5" t="s">
        <v>14500</v>
      </c>
      <c r="C7609" s="3" t="s">
        <v>5</v>
      </c>
    </row>
    <row r="7610" spans="1:3" ht="15.75" thickBot="1">
      <c r="A7610" s="6" t="s">
        <v>14501</v>
      </c>
      <c r="B7610" s="5" t="s">
        <v>14502</v>
      </c>
      <c r="C7610" s="3" t="s">
        <v>5</v>
      </c>
    </row>
    <row r="7611" spans="1:3" ht="15.75" thickBot="1">
      <c r="A7611" s="6" t="s">
        <v>14503</v>
      </c>
      <c r="B7611" s="5" t="s">
        <v>14504</v>
      </c>
      <c r="C7611" s="3" t="s">
        <v>5</v>
      </c>
    </row>
    <row r="7612" spans="1:3" ht="15.75" thickBot="1">
      <c r="A7612" s="6" t="s">
        <v>14505</v>
      </c>
      <c r="B7612" s="5" t="s">
        <v>14506</v>
      </c>
      <c r="C7612" s="3" t="s">
        <v>5</v>
      </c>
    </row>
    <row r="7613" spans="1:3" ht="15.75" thickBot="1">
      <c r="A7613" s="6" t="s">
        <v>14507</v>
      </c>
      <c r="B7613" s="5" t="s">
        <v>14508</v>
      </c>
      <c r="C7613" s="3" t="s">
        <v>5</v>
      </c>
    </row>
    <row r="7614" spans="1:3">
      <c r="A7614" s="1" t="s">
        <v>14509</v>
      </c>
      <c r="B7614" s="2" t="s">
        <v>14510</v>
      </c>
      <c r="C7614" s="3" t="s">
        <v>5</v>
      </c>
    </row>
    <row r="7615" spans="1:3" ht="15.75" thickBot="1">
      <c r="A7615" s="4"/>
      <c r="B7615" s="5" t="s">
        <v>227</v>
      </c>
      <c r="C7615" s="3" t="s">
        <v>5</v>
      </c>
    </row>
    <row r="7616" spans="1:3" ht="15.75" thickBot="1">
      <c r="A7616" s="6" t="s">
        <v>14511</v>
      </c>
      <c r="B7616" s="5" t="s">
        <v>14512</v>
      </c>
      <c r="C7616" s="3" t="s">
        <v>5</v>
      </c>
    </row>
    <row r="7617" spans="1:3" ht="15.75" thickBot="1">
      <c r="A7617" s="6" t="s">
        <v>14513</v>
      </c>
      <c r="B7617" s="5" t="s">
        <v>14514</v>
      </c>
      <c r="C7617" s="3" t="s">
        <v>5</v>
      </c>
    </row>
    <row r="7618" spans="1:3" ht="15.75" thickBot="1">
      <c r="A7618" s="6" t="s">
        <v>14515</v>
      </c>
      <c r="B7618" s="5" t="s">
        <v>14516</v>
      </c>
      <c r="C7618" s="3" t="s">
        <v>5</v>
      </c>
    </row>
    <row r="7619" spans="1:3" ht="15.75" thickBot="1">
      <c r="A7619" s="6" t="s">
        <v>14517</v>
      </c>
      <c r="B7619" s="5" t="s">
        <v>14518</v>
      </c>
      <c r="C7619" s="3" t="s">
        <v>5</v>
      </c>
    </row>
    <row r="7620" spans="1:3" ht="15.75" thickBot="1">
      <c r="A7620" s="6" t="s">
        <v>14519</v>
      </c>
      <c r="B7620" s="5" t="s">
        <v>14520</v>
      </c>
      <c r="C7620" s="3" t="s">
        <v>5</v>
      </c>
    </row>
    <row r="7621" spans="1:3" ht="15.75" thickBot="1">
      <c r="A7621" s="6" t="s">
        <v>14521</v>
      </c>
      <c r="B7621" s="5" t="s">
        <v>14522</v>
      </c>
      <c r="C7621" s="3" t="s">
        <v>5</v>
      </c>
    </row>
    <row r="7622" spans="1:3" ht="15.75" thickBot="1">
      <c r="A7622" s="6" t="s">
        <v>14523</v>
      </c>
      <c r="B7622" s="5" t="s">
        <v>14524</v>
      </c>
      <c r="C7622" s="3" t="s">
        <v>5</v>
      </c>
    </row>
    <row r="7623" spans="1:3" ht="15.75" thickBot="1">
      <c r="A7623" s="6" t="s">
        <v>14525</v>
      </c>
      <c r="B7623" s="5" t="s">
        <v>14526</v>
      </c>
      <c r="C7623" s="3" t="s">
        <v>5</v>
      </c>
    </row>
    <row r="7624" spans="1:3" ht="15.75" thickBot="1">
      <c r="A7624" s="6" t="s">
        <v>14527</v>
      </c>
      <c r="B7624" s="5" t="s">
        <v>14522</v>
      </c>
      <c r="C7624" s="3" t="s">
        <v>5</v>
      </c>
    </row>
    <row r="7625" spans="1:3" ht="15.75" thickBot="1">
      <c r="A7625" s="6" t="s">
        <v>14528</v>
      </c>
      <c r="B7625" s="5" t="s">
        <v>14529</v>
      </c>
      <c r="C7625" s="3" t="s">
        <v>5</v>
      </c>
    </row>
    <row r="7626" spans="1:3" ht="15.75" thickBot="1">
      <c r="A7626" s="6" t="s">
        <v>14530</v>
      </c>
      <c r="B7626" s="5" t="s">
        <v>14531</v>
      </c>
      <c r="C7626" s="3" t="s">
        <v>5</v>
      </c>
    </row>
    <row r="7627" spans="1:3" ht="15.75" thickBot="1">
      <c r="A7627" s="6" t="s">
        <v>14532</v>
      </c>
      <c r="B7627" s="5" t="s">
        <v>14533</v>
      </c>
      <c r="C7627" s="3" t="s">
        <v>5</v>
      </c>
    </row>
    <row r="7628" spans="1:3" ht="15.75" thickBot="1">
      <c r="A7628" s="6" t="s">
        <v>14534</v>
      </c>
      <c r="B7628" s="5" t="s">
        <v>14535</v>
      </c>
      <c r="C7628" s="3" t="s">
        <v>5</v>
      </c>
    </row>
    <row r="7629" spans="1:3" ht="15.75" thickBot="1">
      <c r="A7629" s="6" t="s">
        <v>14536</v>
      </c>
      <c r="B7629" s="5" t="s">
        <v>14537</v>
      </c>
      <c r="C7629" s="3" t="s">
        <v>5</v>
      </c>
    </row>
    <row r="7630" spans="1:3" ht="15.75" thickBot="1">
      <c r="A7630" s="6" t="s">
        <v>14538</v>
      </c>
      <c r="B7630" s="5" t="s">
        <v>14539</v>
      </c>
      <c r="C7630" s="3" t="s">
        <v>5</v>
      </c>
    </row>
    <row r="7631" spans="1:3" ht="15.75" thickBot="1">
      <c r="A7631" s="6" t="s">
        <v>14540</v>
      </c>
      <c r="B7631" s="5" t="s">
        <v>14541</v>
      </c>
      <c r="C7631" s="3" t="s">
        <v>5</v>
      </c>
    </row>
    <row r="7632" spans="1:3" ht="15.75" thickBot="1">
      <c r="A7632" s="6" t="s">
        <v>14542</v>
      </c>
      <c r="B7632" s="5" t="s">
        <v>14543</v>
      </c>
      <c r="C7632" s="3" t="s">
        <v>5</v>
      </c>
    </row>
    <row r="7633" spans="1:3" ht="15.75" thickBot="1">
      <c r="A7633" s="6" t="s">
        <v>14544</v>
      </c>
      <c r="B7633" s="5" t="s">
        <v>14545</v>
      </c>
      <c r="C7633" s="3" t="s">
        <v>5</v>
      </c>
    </row>
    <row r="7634" spans="1:3" ht="15.75" thickBot="1">
      <c r="A7634" s="6" t="s">
        <v>14546</v>
      </c>
      <c r="B7634" s="5" t="s">
        <v>14547</v>
      </c>
      <c r="C7634" s="3" t="s">
        <v>5</v>
      </c>
    </row>
    <row r="7635" spans="1:3" ht="15.75" thickBot="1">
      <c r="A7635" s="6" t="s">
        <v>14548</v>
      </c>
      <c r="B7635" s="5" t="s">
        <v>14549</v>
      </c>
      <c r="C7635" s="3" t="s">
        <v>5</v>
      </c>
    </row>
    <row r="7636" spans="1:3" ht="15.75" thickBot="1">
      <c r="A7636" s="6" t="s">
        <v>14550</v>
      </c>
      <c r="B7636" s="5" t="s">
        <v>14551</v>
      </c>
      <c r="C7636" s="3" t="s">
        <v>5</v>
      </c>
    </row>
    <row r="7637" spans="1:3" ht="15.75" thickBot="1">
      <c r="A7637" s="6" t="s">
        <v>14552</v>
      </c>
      <c r="B7637" s="5" t="s">
        <v>14553</v>
      </c>
      <c r="C7637" s="3" t="s">
        <v>5</v>
      </c>
    </row>
    <row r="7638" spans="1:3" ht="15.75" thickBot="1">
      <c r="A7638" s="6" t="s">
        <v>14554</v>
      </c>
      <c r="B7638" s="5" t="s">
        <v>14555</v>
      </c>
      <c r="C7638" s="3" t="s">
        <v>5</v>
      </c>
    </row>
    <row r="7639" spans="1:3" ht="15.75" thickBot="1">
      <c r="A7639" s="6" t="s">
        <v>14556</v>
      </c>
      <c r="B7639" s="5" t="s">
        <v>14557</v>
      </c>
      <c r="C7639" s="3" t="s">
        <v>5</v>
      </c>
    </row>
    <row r="7640" spans="1:3" ht="15.75" thickBot="1">
      <c r="A7640" s="6" t="s">
        <v>14558</v>
      </c>
      <c r="B7640" s="5" t="s">
        <v>14559</v>
      </c>
      <c r="C7640" s="3" t="s">
        <v>5</v>
      </c>
    </row>
    <row r="7641" spans="1:3" ht="15.75" thickBot="1">
      <c r="A7641" s="6" t="s">
        <v>14560</v>
      </c>
      <c r="B7641" s="5" t="s">
        <v>14561</v>
      </c>
      <c r="C7641" s="3" t="s">
        <v>5</v>
      </c>
    </row>
    <row r="7642" spans="1:3" ht="15.75" thickBot="1">
      <c r="A7642" s="6" t="s">
        <v>14562</v>
      </c>
      <c r="B7642" s="5" t="s">
        <v>14563</v>
      </c>
      <c r="C7642" s="3" t="s">
        <v>5</v>
      </c>
    </row>
    <row r="7643" spans="1:3" ht="15.75" thickBot="1">
      <c r="A7643" s="6" t="s">
        <v>14564</v>
      </c>
      <c r="B7643" s="5" t="s">
        <v>14565</v>
      </c>
      <c r="C7643" s="3" t="s">
        <v>5</v>
      </c>
    </row>
    <row r="7644" spans="1:3" ht="26.25" thickBot="1">
      <c r="A7644" s="6" t="s">
        <v>14566</v>
      </c>
      <c r="B7644" s="5" t="s">
        <v>14567</v>
      </c>
      <c r="C7644" s="3" t="s">
        <v>5</v>
      </c>
    </row>
    <row r="7645" spans="1:3" ht="15.75" thickBot="1">
      <c r="A7645" s="6" t="s">
        <v>14568</v>
      </c>
      <c r="B7645" s="5" t="s">
        <v>14569</v>
      </c>
      <c r="C7645" s="3" t="s">
        <v>5</v>
      </c>
    </row>
    <row r="7646" spans="1:3" ht="15.75" thickBot="1">
      <c r="A7646" s="6" t="s">
        <v>14570</v>
      </c>
      <c r="B7646" s="5" t="s">
        <v>14571</v>
      </c>
      <c r="C7646" s="3" t="s">
        <v>5</v>
      </c>
    </row>
    <row r="7647" spans="1:3" ht="15.75" thickBot="1">
      <c r="A7647" s="6" t="s">
        <v>14572</v>
      </c>
      <c r="B7647" s="5" t="s">
        <v>14573</v>
      </c>
      <c r="C7647" s="3" t="s">
        <v>5</v>
      </c>
    </row>
    <row r="7648" spans="1:3" ht="15.75" thickBot="1">
      <c r="A7648" s="6" t="s">
        <v>14574</v>
      </c>
      <c r="B7648" s="5" t="s">
        <v>14575</v>
      </c>
      <c r="C7648" s="3" t="s">
        <v>5</v>
      </c>
    </row>
    <row r="7649" spans="1:3" ht="15.75" thickBot="1">
      <c r="A7649" s="6" t="s">
        <v>14576</v>
      </c>
      <c r="B7649" s="5" t="s">
        <v>14577</v>
      </c>
      <c r="C7649" s="3" t="s">
        <v>5</v>
      </c>
    </row>
    <row r="7650" spans="1:3" ht="15.75" thickBot="1">
      <c r="A7650" s="6" t="s">
        <v>14578</v>
      </c>
      <c r="B7650" s="5" t="s">
        <v>14579</v>
      </c>
      <c r="C7650" s="3" t="s">
        <v>5</v>
      </c>
    </row>
    <row r="7651" spans="1:3" ht="15.75" thickBot="1">
      <c r="A7651" s="6" t="s">
        <v>14580</v>
      </c>
      <c r="B7651" s="5" t="s">
        <v>14581</v>
      </c>
      <c r="C7651" s="3" t="s">
        <v>5</v>
      </c>
    </row>
    <row r="7652" spans="1:3" ht="15.75" thickBot="1">
      <c r="A7652" s="6" t="s">
        <v>14582</v>
      </c>
      <c r="B7652" s="5" t="s">
        <v>14583</v>
      </c>
      <c r="C7652" s="3" t="s">
        <v>5</v>
      </c>
    </row>
    <row r="7653" spans="1:3" ht="15.75" thickBot="1">
      <c r="A7653" s="6" t="s">
        <v>14584</v>
      </c>
      <c r="B7653" s="5" t="s">
        <v>14585</v>
      </c>
      <c r="C7653" s="3" t="s">
        <v>5</v>
      </c>
    </row>
    <row r="7654" spans="1:3" ht="15.75" thickBot="1">
      <c r="A7654" s="6" t="s">
        <v>14586</v>
      </c>
      <c r="B7654" s="5" t="s">
        <v>14587</v>
      </c>
      <c r="C7654" s="3" t="s">
        <v>5</v>
      </c>
    </row>
    <row r="7655" spans="1:3" ht="15.75" thickBot="1">
      <c r="A7655" s="6" t="s">
        <v>14588</v>
      </c>
      <c r="B7655" s="5" t="s">
        <v>14589</v>
      </c>
      <c r="C7655" s="3" t="s">
        <v>5</v>
      </c>
    </row>
    <row r="7656" spans="1:3" ht="15.75" thickBot="1">
      <c r="A7656" s="6" t="s">
        <v>14590</v>
      </c>
      <c r="B7656" s="5" t="s">
        <v>14591</v>
      </c>
      <c r="C7656" s="3" t="s">
        <v>5</v>
      </c>
    </row>
    <row r="7657" spans="1:3" ht="15.75" thickBot="1">
      <c r="A7657" s="6" t="s">
        <v>14592</v>
      </c>
      <c r="B7657" s="5" t="s">
        <v>14593</v>
      </c>
      <c r="C7657" s="3" t="s">
        <v>5</v>
      </c>
    </row>
    <row r="7658" spans="1:3" ht="15.75" thickBot="1">
      <c r="A7658" s="6" t="s">
        <v>14594</v>
      </c>
      <c r="B7658" s="5" t="s">
        <v>14595</v>
      </c>
      <c r="C7658" s="3" t="s">
        <v>5</v>
      </c>
    </row>
    <row r="7659" spans="1:3" ht="15.75" thickBot="1">
      <c r="A7659" s="6" t="s">
        <v>14596</v>
      </c>
      <c r="B7659" s="5" t="s">
        <v>14597</v>
      </c>
      <c r="C7659" s="3" t="s">
        <v>5</v>
      </c>
    </row>
    <row r="7660" spans="1:3" ht="15.75" thickBot="1">
      <c r="A7660" s="6" t="s">
        <v>14598</v>
      </c>
      <c r="B7660" s="5" t="s">
        <v>14599</v>
      </c>
      <c r="C7660" s="3" t="s">
        <v>5</v>
      </c>
    </row>
    <row r="7661" spans="1:3" ht="15.75" thickBot="1">
      <c r="A7661" s="6" t="s">
        <v>14600</v>
      </c>
      <c r="B7661" s="5" t="s">
        <v>14601</v>
      </c>
      <c r="C7661" s="3" t="s">
        <v>5</v>
      </c>
    </row>
    <row r="7662" spans="1:3" ht="15.75" thickBot="1">
      <c r="A7662" s="6" t="s">
        <v>14602</v>
      </c>
      <c r="B7662" s="5" t="s">
        <v>14603</v>
      </c>
      <c r="C7662" s="3" t="s">
        <v>5</v>
      </c>
    </row>
    <row r="7663" spans="1:3">
      <c r="A7663" s="1" t="s">
        <v>14602</v>
      </c>
      <c r="B7663" s="2" t="s">
        <v>14604</v>
      </c>
      <c r="C7663" s="3" t="s">
        <v>5</v>
      </c>
    </row>
    <row r="7664" spans="1:3" ht="15.75" thickBot="1">
      <c r="A7664" s="4"/>
      <c r="B7664" s="5" t="s">
        <v>14605</v>
      </c>
      <c r="C7664" s="3" t="s">
        <v>5</v>
      </c>
    </row>
    <row r="7665" spans="1:3" ht="15.75" thickBot="1">
      <c r="A7665" s="6" t="s">
        <v>14606</v>
      </c>
      <c r="B7665" s="5" t="s">
        <v>14607</v>
      </c>
      <c r="C7665" s="3" t="s">
        <v>5</v>
      </c>
    </row>
    <row r="7666" spans="1:3" ht="15.75" thickBot="1">
      <c r="A7666" s="6" t="s">
        <v>14608</v>
      </c>
      <c r="B7666" s="5" t="s">
        <v>14609</v>
      </c>
      <c r="C7666" s="3" t="s">
        <v>5</v>
      </c>
    </row>
    <row r="7667" spans="1:3" ht="15.75" thickBot="1">
      <c r="A7667" s="6" t="s">
        <v>14610</v>
      </c>
      <c r="B7667" s="5" t="s">
        <v>14611</v>
      </c>
      <c r="C7667" s="3" t="s">
        <v>5</v>
      </c>
    </row>
    <row r="7668" spans="1:3" ht="15.75" thickBot="1">
      <c r="A7668" s="6" t="s">
        <v>14612</v>
      </c>
      <c r="B7668" s="5" t="s">
        <v>14613</v>
      </c>
      <c r="C7668" s="3" t="s">
        <v>5</v>
      </c>
    </row>
    <row r="7669" spans="1:3" ht="26.25" thickBot="1">
      <c r="A7669" s="6" t="s">
        <v>14614</v>
      </c>
      <c r="B7669" s="5" t="s">
        <v>14615</v>
      </c>
      <c r="C7669" s="3" t="s">
        <v>5</v>
      </c>
    </row>
    <row r="7670" spans="1:3" ht="15.75" thickBot="1">
      <c r="A7670" s="6" t="s">
        <v>14616</v>
      </c>
      <c r="B7670" s="5" t="s">
        <v>14617</v>
      </c>
      <c r="C7670" s="3" t="s">
        <v>5</v>
      </c>
    </row>
    <row r="7671" spans="1:3" ht="15.75" thickBot="1">
      <c r="A7671" s="6" t="s">
        <v>14618</v>
      </c>
      <c r="B7671" s="5" t="s">
        <v>14607</v>
      </c>
      <c r="C7671" s="3" t="s">
        <v>5</v>
      </c>
    </row>
    <row r="7672" spans="1:3" ht="15.75" thickBot="1">
      <c r="A7672" s="6" t="s">
        <v>14619</v>
      </c>
      <c r="B7672" s="5" t="s">
        <v>14620</v>
      </c>
      <c r="C7672" s="3" t="s">
        <v>5</v>
      </c>
    </row>
    <row r="7673" spans="1:3" ht="15.75" thickBot="1">
      <c r="A7673" s="6" t="s">
        <v>14621</v>
      </c>
      <c r="B7673" s="5" t="s">
        <v>14622</v>
      </c>
      <c r="C7673" s="3" t="s">
        <v>5</v>
      </c>
    </row>
    <row r="7674" spans="1:3" ht="15.75" thickBot="1">
      <c r="A7674" s="6" t="s">
        <v>14623</v>
      </c>
      <c r="B7674" s="5" t="s">
        <v>14624</v>
      </c>
      <c r="C7674" s="3" t="s">
        <v>5</v>
      </c>
    </row>
    <row r="7675" spans="1:3">
      <c r="A7675" s="1" t="s">
        <v>14625</v>
      </c>
      <c r="B7675" s="2" t="s">
        <v>14626</v>
      </c>
      <c r="C7675" s="3" t="s">
        <v>5</v>
      </c>
    </row>
    <row r="7676" spans="1:3" ht="15.75" thickBot="1">
      <c r="A7676" s="4"/>
      <c r="B7676" s="5" t="s">
        <v>14627</v>
      </c>
      <c r="C7676" s="3" t="s">
        <v>5</v>
      </c>
    </row>
    <row r="7677" spans="1:3" ht="15.75" thickBot="1">
      <c r="A7677" s="6" t="s">
        <v>14628</v>
      </c>
      <c r="B7677" s="5" t="s">
        <v>14629</v>
      </c>
      <c r="C7677" s="3" t="s">
        <v>5</v>
      </c>
    </row>
    <row r="7678" spans="1:3" ht="26.25" thickBot="1">
      <c r="A7678" s="6" t="s">
        <v>14630</v>
      </c>
      <c r="B7678" s="5" t="s">
        <v>14631</v>
      </c>
      <c r="C7678" s="3" t="s">
        <v>5</v>
      </c>
    </row>
    <row r="7679" spans="1:3" ht="15.75" thickBot="1">
      <c r="A7679" s="6" t="s">
        <v>14632</v>
      </c>
      <c r="B7679" s="5" t="s">
        <v>14633</v>
      </c>
      <c r="C7679" s="3" t="s">
        <v>5</v>
      </c>
    </row>
    <row r="7680" spans="1:3" ht="15.75" thickBot="1">
      <c r="A7680" s="6" t="s">
        <v>14634</v>
      </c>
      <c r="B7680" s="5" t="s">
        <v>14635</v>
      </c>
      <c r="C7680" s="3" t="s">
        <v>5</v>
      </c>
    </row>
    <row r="7681" spans="1:3" ht="15.75" thickBot="1">
      <c r="A7681" s="6" t="s">
        <v>14636</v>
      </c>
      <c r="B7681" s="5" t="s">
        <v>14633</v>
      </c>
      <c r="C7681" s="3" t="s">
        <v>5</v>
      </c>
    </row>
    <row r="7682" spans="1:3" ht="15.75" thickBot="1">
      <c r="A7682" s="6" t="s">
        <v>14637</v>
      </c>
      <c r="B7682" s="5" t="s">
        <v>14638</v>
      </c>
      <c r="C7682" s="3" t="s">
        <v>5</v>
      </c>
    </row>
    <row r="7683" spans="1:3" ht="15.75" thickBot="1">
      <c r="A7683" s="6" t="s">
        <v>14639</v>
      </c>
      <c r="B7683" s="5" t="s">
        <v>14640</v>
      </c>
      <c r="C7683" s="3" t="s">
        <v>5</v>
      </c>
    </row>
    <row r="7684" spans="1:3" ht="15.75" thickBot="1">
      <c r="A7684" s="6" t="s">
        <v>14641</v>
      </c>
      <c r="B7684" s="5" t="s">
        <v>14642</v>
      </c>
      <c r="C7684" s="3" t="s">
        <v>5</v>
      </c>
    </row>
    <row r="7685" spans="1:3" ht="15.75" thickBot="1">
      <c r="A7685" s="6" t="s">
        <v>14643</v>
      </c>
      <c r="B7685" s="5" t="s">
        <v>14644</v>
      </c>
      <c r="C7685" s="3" t="s">
        <v>5</v>
      </c>
    </row>
    <row r="7686" spans="1:3" ht="15.75" thickBot="1">
      <c r="A7686" s="6" t="s">
        <v>14645</v>
      </c>
      <c r="B7686" s="5" t="s">
        <v>14646</v>
      </c>
      <c r="C7686" s="3" t="s">
        <v>5</v>
      </c>
    </row>
    <row r="7687" spans="1:3" ht="15.75" thickBot="1">
      <c r="A7687" s="6" t="s">
        <v>14647</v>
      </c>
      <c r="B7687" s="5" t="e">
        <f xml:space="preserve"> synchronoscope</f>
        <v>#NAME?</v>
      </c>
      <c r="C7687" s="3" t="s">
        <v>5</v>
      </c>
    </row>
    <row r="7688" spans="1:3" ht="15.75" thickBot="1">
      <c r="A7688" s="6" t="s">
        <v>14648</v>
      </c>
      <c r="B7688" s="5" t="s">
        <v>14649</v>
      </c>
      <c r="C7688" s="3" t="s">
        <v>5</v>
      </c>
    </row>
    <row r="7689" spans="1:3" ht="39" thickBot="1">
      <c r="A7689" s="6" t="s">
        <v>14650</v>
      </c>
      <c r="B7689" s="5" t="s">
        <v>14651</v>
      </c>
      <c r="C7689" s="3" t="s">
        <v>5</v>
      </c>
    </row>
    <row r="7690" spans="1:3" ht="15.75" thickBot="1">
      <c r="A7690" s="6" t="s">
        <v>14652</v>
      </c>
      <c r="B7690" s="5" t="s">
        <v>14653</v>
      </c>
      <c r="C7690" s="3" t="s">
        <v>5</v>
      </c>
    </row>
    <row r="7691" spans="1:3" ht="15.75" thickBot="1">
      <c r="A7691" s="6" t="s">
        <v>14654</v>
      </c>
      <c r="B7691" s="5" t="s">
        <v>14655</v>
      </c>
      <c r="C7691" s="3" t="s">
        <v>5</v>
      </c>
    </row>
    <row r="7692" spans="1:3" ht="15.75" thickBot="1">
      <c r="A7692" s="6" t="s">
        <v>14656</v>
      </c>
      <c r="B7692" s="5" t="s">
        <v>14657</v>
      </c>
      <c r="C7692" s="3" t="s">
        <v>5</v>
      </c>
    </row>
    <row r="7693" spans="1:3" ht="15.75" thickBot="1">
      <c r="A7693" s="6" t="s">
        <v>14658</v>
      </c>
      <c r="B7693" s="5" t="s">
        <v>14659</v>
      </c>
      <c r="C7693" s="3" t="s">
        <v>5</v>
      </c>
    </row>
    <row r="7694" spans="1:3" ht="15.75" thickBot="1">
      <c r="A7694" s="6" t="s">
        <v>14660</v>
      </c>
      <c r="B7694" s="5" t="s">
        <v>14661</v>
      </c>
      <c r="C7694" s="3" t="s">
        <v>5</v>
      </c>
    </row>
    <row r="7695" spans="1:3" ht="15.75" thickBot="1">
      <c r="A7695" s="6" t="s">
        <v>14662</v>
      </c>
      <c r="B7695" s="5" t="s">
        <v>14663</v>
      </c>
      <c r="C7695" s="3" t="s">
        <v>5</v>
      </c>
    </row>
    <row r="7696" spans="1:3" ht="15.75" thickBot="1">
      <c r="A7696" s="6" t="s">
        <v>14664</v>
      </c>
      <c r="B7696" s="5" t="s">
        <v>14665</v>
      </c>
      <c r="C7696" s="3" t="s">
        <v>5</v>
      </c>
    </row>
    <row r="7697" spans="1:3" ht="15.75" thickBot="1">
      <c r="A7697" s="6" t="s">
        <v>14666</v>
      </c>
      <c r="B7697" s="5" t="s">
        <v>14667</v>
      </c>
      <c r="C7697" s="3" t="s">
        <v>5</v>
      </c>
    </row>
    <row r="7698" spans="1:3" ht="15.75" thickBot="1">
      <c r="A7698" s="6" t="s">
        <v>14668</v>
      </c>
      <c r="B7698" s="5" t="s">
        <v>14669</v>
      </c>
      <c r="C7698" s="3" t="s">
        <v>5</v>
      </c>
    </row>
    <row r="7699" spans="1:3" ht="15.75" thickBot="1">
      <c r="A7699" s="6" t="s">
        <v>14670</v>
      </c>
      <c r="B7699" s="5" t="s">
        <v>14671</v>
      </c>
      <c r="C7699" s="3" t="s">
        <v>5</v>
      </c>
    </row>
    <row r="7700" spans="1:3" ht="15.75" thickBot="1">
      <c r="A7700" s="6" t="s">
        <v>14672</v>
      </c>
      <c r="B7700" s="5" t="s">
        <v>14673</v>
      </c>
      <c r="C7700" s="3" t="s">
        <v>5</v>
      </c>
    </row>
    <row r="7701" spans="1:3" ht="15.75" thickBot="1">
      <c r="A7701" s="6" t="s">
        <v>14674</v>
      </c>
      <c r="B7701" s="5" t="s">
        <v>14675</v>
      </c>
      <c r="C7701" s="3" t="s">
        <v>5</v>
      </c>
    </row>
    <row r="7702" spans="1:3" ht="15.75" thickBot="1">
      <c r="A7702" s="6" t="s">
        <v>14676</v>
      </c>
      <c r="B7702" s="5" t="s">
        <v>14677</v>
      </c>
      <c r="C7702" s="3" t="s">
        <v>5</v>
      </c>
    </row>
    <row r="7703" spans="1:3" ht="15.75" thickBot="1">
      <c r="A7703" s="6" t="s">
        <v>14678</v>
      </c>
      <c r="B7703" s="5" t="s">
        <v>2426</v>
      </c>
      <c r="C7703" s="3" t="s">
        <v>5</v>
      </c>
    </row>
    <row r="7704" spans="1:3" ht="15.75" thickBot="1">
      <c r="A7704" s="6" t="s">
        <v>14679</v>
      </c>
      <c r="B7704" s="5" t="s">
        <v>2433</v>
      </c>
      <c r="C7704" s="3" t="s">
        <v>5</v>
      </c>
    </row>
    <row r="7705" spans="1:3" ht="15.75" thickBot="1">
      <c r="A7705" s="6" t="s">
        <v>14680</v>
      </c>
      <c r="B7705" s="5" t="s">
        <v>14681</v>
      </c>
      <c r="C7705" s="3" t="s">
        <v>5</v>
      </c>
    </row>
    <row r="7706" spans="1:3" ht="15.75" thickBot="1">
      <c r="A7706" s="6" t="s">
        <v>14682</v>
      </c>
      <c r="B7706" s="5" t="s">
        <v>14263</v>
      </c>
      <c r="C7706" s="3" t="s">
        <v>5</v>
      </c>
    </row>
    <row r="7707" spans="1:3" ht="15.75" thickBot="1">
      <c r="A7707" s="6" t="s">
        <v>14683</v>
      </c>
      <c r="B7707" s="5" t="s">
        <v>14684</v>
      </c>
      <c r="C7707" s="3" t="s">
        <v>5</v>
      </c>
    </row>
    <row r="7708" spans="1:3" ht="15.75" thickBot="1">
      <c r="A7708" s="6" t="s">
        <v>14685</v>
      </c>
      <c r="B7708" s="5" t="s">
        <v>14686</v>
      </c>
      <c r="C7708" s="3" t="s">
        <v>5</v>
      </c>
    </row>
    <row r="7709" spans="1:3" ht="15.75" thickBot="1">
      <c r="A7709" s="6" t="s">
        <v>14687</v>
      </c>
      <c r="B7709" s="5" t="s">
        <v>14688</v>
      </c>
      <c r="C7709" s="3" t="s">
        <v>5</v>
      </c>
    </row>
    <row r="7710" spans="1:3" ht="15.75" thickBot="1">
      <c r="A7710" s="6" t="s">
        <v>14689</v>
      </c>
      <c r="B7710" s="5" t="s">
        <v>14690</v>
      </c>
      <c r="C7710" s="3" t="s">
        <v>5</v>
      </c>
    </row>
    <row r="7711" spans="1:3" ht="15.75" thickBot="1">
      <c r="A7711" s="6" t="s">
        <v>14691</v>
      </c>
      <c r="B7711" s="5" t="s">
        <v>14692</v>
      </c>
      <c r="C7711" s="3" t="s">
        <v>5</v>
      </c>
    </row>
    <row r="7712" spans="1:3" ht="15.75" thickBot="1">
      <c r="A7712" s="6" t="s">
        <v>14693</v>
      </c>
      <c r="B7712" s="5" t="s">
        <v>14694</v>
      </c>
      <c r="C7712" s="3" t="s">
        <v>5</v>
      </c>
    </row>
    <row r="7713" spans="1:3" ht="15.75" thickBot="1">
      <c r="A7713" s="6" t="s">
        <v>14695</v>
      </c>
      <c r="B7713" s="5" t="s">
        <v>14696</v>
      </c>
      <c r="C7713" s="3" t="s">
        <v>5</v>
      </c>
    </row>
    <row r="7714" spans="1:3" ht="15.75" thickBot="1">
      <c r="A7714" s="6" t="s">
        <v>14697</v>
      </c>
      <c r="B7714" s="5" t="s">
        <v>14698</v>
      </c>
      <c r="C7714" s="3" t="s">
        <v>5</v>
      </c>
    </row>
    <row r="7715" spans="1:3" ht="26.25" thickBot="1">
      <c r="A7715" s="6" t="s">
        <v>14699</v>
      </c>
      <c r="B7715" s="5" t="s">
        <v>14700</v>
      </c>
      <c r="C7715" s="3" t="s">
        <v>5</v>
      </c>
    </row>
    <row r="7716" spans="1:3">
      <c r="A7716" s="1" t="s">
        <v>14701</v>
      </c>
      <c r="B7716" s="2" t="s">
        <v>14702</v>
      </c>
      <c r="C7716" s="3" t="s">
        <v>5</v>
      </c>
    </row>
    <row r="7717" spans="1:3" ht="15.75" thickBot="1">
      <c r="A7717" s="4"/>
      <c r="B7717" s="5" t="s">
        <v>14703</v>
      </c>
      <c r="C7717" s="3" t="s">
        <v>5</v>
      </c>
    </row>
    <row r="7718" spans="1:3" ht="26.25" thickBot="1">
      <c r="A7718" s="6" t="s">
        <v>14704</v>
      </c>
      <c r="B7718" s="5" t="s">
        <v>14705</v>
      </c>
      <c r="C7718" s="3" t="s">
        <v>5</v>
      </c>
    </row>
    <row r="7719" spans="1:3" ht="15.75" thickBot="1">
      <c r="A7719" s="6" t="s">
        <v>14706</v>
      </c>
      <c r="B7719" s="5" t="s">
        <v>14707</v>
      </c>
      <c r="C7719" s="3" t="s">
        <v>5</v>
      </c>
    </row>
    <row r="7720" spans="1:3" ht="15.75" thickBot="1">
      <c r="A7720" s="6" t="s">
        <v>14708</v>
      </c>
      <c r="B7720" s="5" t="s">
        <v>14709</v>
      </c>
      <c r="C7720" s="3" t="s">
        <v>5</v>
      </c>
    </row>
    <row r="7721" spans="1:3" ht="15.75" thickBot="1">
      <c r="A7721" s="6" t="s">
        <v>14710</v>
      </c>
      <c r="B7721" s="5" t="e">
        <f xml:space="preserve"> tap changer</f>
        <v>#NAME?</v>
      </c>
      <c r="C7721" s="3" t="s">
        <v>5</v>
      </c>
    </row>
    <row r="7722" spans="1:3" ht="15.75" thickBot="1">
      <c r="A7722" s="6" t="s">
        <v>14711</v>
      </c>
      <c r="B7722" s="5" t="s">
        <v>14712</v>
      </c>
      <c r="C7722" s="3" t="s">
        <v>5</v>
      </c>
    </row>
    <row r="7723" spans="1:3" ht="15.75" thickBot="1">
      <c r="A7723" s="6" t="s">
        <v>14713</v>
      </c>
      <c r="B7723" s="5" t="s">
        <v>14714</v>
      </c>
      <c r="C7723" s="3" t="s">
        <v>5</v>
      </c>
    </row>
    <row r="7724" spans="1:3" ht="15.75" thickBot="1">
      <c r="A7724" s="6" t="s">
        <v>14715</v>
      </c>
      <c r="B7724" s="5" t="s">
        <v>14716</v>
      </c>
      <c r="C7724" s="3" t="s">
        <v>5</v>
      </c>
    </row>
    <row r="7725" spans="1:3" ht="15.75" thickBot="1">
      <c r="A7725" s="6" t="s">
        <v>14717</v>
      </c>
      <c r="B7725" s="5" t="s">
        <v>14718</v>
      </c>
      <c r="C7725" s="3" t="s">
        <v>5</v>
      </c>
    </row>
    <row r="7726" spans="1:3" ht="15.75" thickBot="1">
      <c r="A7726" s="6" t="s">
        <v>14719</v>
      </c>
      <c r="B7726" s="5" t="s">
        <v>14720</v>
      </c>
      <c r="C7726" s="3" t="s">
        <v>5</v>
      </c>
    </row>
    <row r="7727" spans="1:3" ht="15.75" thickBot="1">
      <c r="A7727" s="6" t="s">
        <v>14721</v>
      </c>
      <c r="B7727" s="5" t="s">
        <v>14722</v>
      </c>
      <c r="C7727" s="3" t="s">
        <v>5</v>
      </c>
    </row>
    <row r="7728" spans="1:3" ht="15.75" thickBot="1">
      <c r="A7728" s="6" t="s">
        <v>14723</v>
      </c>
      <c r="B7728" s="5" t="s">
        <v>14724</v>
      </c>
      <c r="C7728" s="3" t="s">
        <v>5</v>
      </c>
    </row>
    <row r="7729" spans="1:3" ht="15.75" thickBot="1">
      <c r="A7729" s="6" t="s">
        <v>14725</v>
      </c>
      <c r="B7729" s="5" t="s">
        <v>14726</v>
      </c>
      <c r="C7729" s="3" t="s">
        <v>5</v>
      </c>
    </row>
    <row r="7730" spans="1:3" ht="15.75" thickBot="1">
      <c r="A7730" s="6" t="s">
        <v>14727</v>
      </c>
      <c r="B7730" s="5" t="s">
        <v>14728</v>
      </c>
      <c r="C7730" s="3" t="s">
        <v>5</v>
      </c>
    </row>
    <row r="7731" spans="1:3" ht="15.75" thickBot="1">
      <c r="A7731" s="6" t="s">
        <v>14729</v>
      </c>
      <c r="B7731" s="5" t="s">
        <v>14730</v>
      </c>
      <c r="C7731" s="3" t="s">
        <v>5</v>
      </c>
    </row>
    <row r="7732" spans="1:3" ht="15.75" thickBot="1">
      <c r="A7732" s="6" t="s">
        <v>14731</v>
      </c>
      <c r="B7732" s="5" t="s">
        <v>14732</v>
      </c>
      <c r="C7732" s="3" t="s">
        <v>5</v>
      </c>
    </row>
    <row r="7733" spans="1:3" ht="15.75" thickBot="1">
      <c r="A7733" s="6" t="s">
        <v>14733</v>
      </c>
      <c r="B7733" s="5" t="s">
        <v>14734</v>
      </c>
      <c r="C7733" s="3" t="s">
        <v>5</v>
      </c>
    </row>
    <row r="7734" spans="1:3" ht="15.75" thickBot="1">
      <c r="A7734" s="6" t="s">
        <v>14735</v>
      </c>
      <c r="B7734" s="5" t="s">
        <v>14736</v>
      </c>
      <c r="C7734" s="3" t="s">
        <v>5</v>
      </c>
    </row>
    <row r="7735" spans="1:3" ht="15.75" thickBot="1">
      <c r="A7735" s="6" t="s">
        <v>14737</v>
      </c>
      <c r="B7735" s="5" t="s">
        <v>14738</v>
      </c>
      <c r="C7735" s="3" t="s">
        <v>5</v>
      </c>
    </row>
    <row r="7736" spans="1:3" ht="15.75" thickBot="1">
      <c r="A7736" s="6" t="s">
        <v>14739</v>
      </c>
      <c r="B7736" s="5" t="s">
        <v>14740</v>
      </c>
      <c r="C7736" s="3" t="s">
        <v>5</v>
      </c>
    </row>
    <row r="7737" spans="1:3" ht="15.75" thickBot="1">
      <c r="A7737" s="6" t="s">
        <v>14741</v>
      </c>
      <c r="B7737" s="5" t="s">
        <v>14742</v>
      </c>
      <c r="C7737" s="3" t="s">
        <v>5</v>
      </c>
    </row>
    <row r="7738" spans="1:3" ht="15.75" thickBot="1">
      <c r="A7738" s="6" t="s">
        <v>14743</v>
      </c>
      <c r="B7738" s="5" t="s">
        <v>14744</v>
      </c>
      <c r="C7738" s="3" t="s">
        <v>5</v>
      </c>
    </row>
    <row r="7739" spans="1:3" ht="15.75" thickBot="1">
      <c r="A7739" s="6" t="s">
        <v>14745</v>
      </c>
      <c r="B7739" s="5" t="s">
        <v>14746</v>
      </c>
      <c r="C7739" s="3" t="s">
        <v>5</v>
      </c>
    </row>
    <row r="7740" spans="1:3" ht="15.75" thickBot="1">
      <c r="A7740" s="6" t="s">
        <v>14747</v>
      </c>
      <c r="B7740" s="5" t="s">
        <v>14748</v>
      </c>
      <c r="C7740" s="3" t="s">
        <v>5</v>
      </c>
    </row>
    <row r="7741" spans="1:3" ht="15.75" thickBot="1">
      <c r="A7741" s="6" t="s">
        <v>14749</v>
      </c>
      <c r="B7741" s="5" t="s">
        <v>14750</v>
      </c>
      <c r="C7741" s="3" t="s">
        <v>5</v>
      </c>
    </row>
    <row r="7742" spans="1:3" ht="15.75" thickBot="1">
      <c r="A7742" s="6" t="s">
        <v>14751</v>
      </c>
      <c r="B7742" s="5" t="s">
        <v>14752</v>
      </c>
      <c r="C7742" s="3" t="s">
        <v>5</v>
      </c>
    </row>
    <row r="7743" spans="1:3" ht="15.75" thickBot="1">
      <c r="A7743" s="6" t="s">
        <v>14753</v>
      </c>
      <c r="B7743" s="5" t="s">
        <v>14754</v>
      </c>
      <c r="C7743" s="3" t="s">
        <v>5</v>
      </c>
    </row>
    <row r="7744" spans="1:3" ht="15.75" thickBot="1">
      <c r="A7744" s="6" t="s">
        <v>14755</v>
      </c>
      <c r="B7744" s="5" t="s">
        <v>14756</v>
      </c>
      <c r="C7744" s="3" t="s">
        <v>5</v>
      </c>
    </row>
    <row r="7745" spans="1:3" ht="15.75" thickBot="1">
      <c r="A7745" s="6" t="s">
        <v>14757</v>
      </c>
      <c r="B7745" s="5" t="s">
        <v>14758</v>
      </c>
      <c r="C7745" s="3" t="s">
        <v>5</v>
      </c>
    </row>
    <row r="7746" spans="1:3" ht="15.75" thickBot="1">
      <c r="A7746" s="6" t="s">
        <v>14759</v>
      </c>
      <c r="B7746" s="5" t="s">
        <v>14760</v>
      </c>
      <c r="C7746" s="3" t="s">
        <v>5</v>
      </c>
    </row>
    <row r="7747" spans="1:3" ht="15.75" thickBot="1">
      <c r="A7747" s="6" t="s">
        <v>14761</v>
      </c>
      <c r="B7747" s="5" t="s">
        <v>14762</v>
      </c>
      <c r="C7747" s="3" t="s">
        <v>5</v>
      </c>
    </row>
    <row r="7748" spans="1:3" ht="15.75" thickBot="1">
      <c r="A7748" s="6" t="s">
        <v>14763</v>
      </c>
      <c r="B7748" s="5" t="s">
        <v>14764</v>
      </c>
      <c r="C7748" s="3" t="s">
        <v>5</v>
      </c>
    </row>
    <row r="7749" spans="1:3" ht="15.75" thickBot="1">
      <c r="A7749" s="6" t="s">
        <v>14765</v>
      </c>
      <c r="B7749" s="5" t="s">
        <v>14766</v>
      </c>
      <c r="C7749" s="3" t="s">
        <v>5</v>
      </c>
    </row>
    <row r="7750" spans="1:3" ht="15.75" thickBot="1">
      <c r="A7750" s="6" t="s">
        <v>14767</v>
      </c>
      <c r="B7750" s="5" t="s">
        <v>14768</v>
      </c>
      <c r="C7750" s="3" t="s">
        <v>5</v>
      </c>
    </row>
    <row r="7751" spans="1:3" ht="15.75" thickBot="1">
      <c r="A7751" s="6" t="s">
        <v>14769</v>
      </c>
      <c r="B7751" s="5" t="s">
        <v>14770</v>
      </c>
      <c r="C7751" s="3" t="s">
        <v>5</v>
      </c>
    </row>
    <row r="7752" spans="1:3" ht="15.75" thickBot="1">
      <c r="A7752" s="6" t="s">
        <v>14771</v>
      </c>
      <c r="B7752" s="5" t="s">
        <v>14772</v>
      </c>
      <c r="C7752" s="3" t="s">
        <v>5</v>
      </c>
    </row>
    <row r="7753" spans="1:3" ht="15.75" thickBot="1">
      <c r="A7753" s="6" t="s">
        <v>14773</v>
      </c>
      <c r="B7753" s="5" t="s">
        <v>14774</v>
      </c>
      <c r="C7753" s="3" t="s">
        <v>5</v>
      </c>
    </row>
    <row r="7754" spans="1:3" ht="15.75" thickBot="1">
      <c r="A7754" s="6" t="s">
        <v>14775</v>
      </c>
      <c r="B7754" s="5" t="s">
        <v>14776</v>
      </c>
      <c r="C7754" s="3" t="s">
        <v>5</v>
      </c>
    </row>
    <row r="7755" spans="1:3" ht="15.75" thickBot="1">
      <c r="A7755" s="6" t="s">
        <v>14777</v>
      </c>
      <c r="B7755" s="5" t="s">
        <v>14778</v>
      </c>
      <c r="C7755" s="3" t="s">
        <v>5</v>
      </c>
    </row>
    <row r="7756" spans="1:3" ht="15.75" thickBot="1">
      <c r="A7756" s="6" t="s">
        <v>14779</v>
      </c>
      <c r="B7756" s="5" t="s">
        <v>14780</v>
      </c>
      <c r="C7756" s="3" t="s">
        <v>5</v>
      </c>
    </row>
    <row r="7757" spans="1:3" ht="15.75" thickBot="1">
      <c r="A7757" s="6" t="s">
        <v>14781</v>
      </c>
      <c r="B7757" s="5" t="s">
        <v>14782</v>
      </c>
      <c r="C7757" s="3" t="s">
        <v>5</v>
      </c>
    </row>
    <row r="7758" spans="1:3" ht="15.75" thickBot="1">
      <c r="A7758" s="6" t="s">
        <v>14783</v>
      </c>
      <c r="B7758" s="5" t="s">
        <v>14784</v>
      </c>
      <c r="C7758" s="3" t="s">
        <v>5</v>
      </c>
    </row>
    <row r="7759" spans="1:3" ht="15.75" thickBot="1">
      <c r="A7759" s="6" t="s">
        <v>14785</v>
      </c>
      <c r="B7759" s="5" t="s">
        <v>14786</v>
      </c>
      <c r="C7759" s="3" t="s">
        <v>5</v>
      </c>
    </row>
    <row r="7760" spans="1:3" ht="15.75" thickBot="1">
      <c r="A7760" s="6" t="s">
        <v>14787</v>
      </c>
      <c r="B7760" s="5" t="s">
        <v>14788</v>
      </c>
      <c r="C7760" s="3" t="s">
        <v>5</v>
      </c>
    </row>
    <row r="7761" spans="1:3" ht="15.75" thickBot="1">
      <c r="A7761" s="6" t="s">
        <v>14789</v>
      </c>
      <c r="B7761" s="5" t="s">
        <v>14790</v>
      </c>
      <c r="C7761" s="3" t="s">
        <v>5</v>
      </c>
    </row>
    <row r="7762" spans="1:3" ht="15.75" thickBot="1">
      <c r="A7762" s="6" t="s">
        <v>14791</v>
      </c>
      <c r="B7762" s="5" t="s">
        <v>14792</v>
      </c>
      <c r="C7762" s="3" t="s">
        <v>5</v>
      </c>
    </row>
    <row r="7763" spans="1:3" ht="15.75" thickBot="1">
      <c r="A7763" s="6" t="s">
        <v>14793</v>
      </c>
      <c r="B7763" s="5" t="s">
        <v>14794</v>
      </c>
      <c r="C7763" s="3" t="s">
        <v>5</v>
      </c>
    </row>
    <row r="7764" spans="1:3" ht="15.75" thickBot="1">
      <c r="A7764" s="6" t="s">
        <v>14795</v>
      </c>
      <c r="B7764" s="5" t="s">
        <v>14796</v>
      </c>
      <c r="C7764" s="3" t="s">
        <v>5</v>
      </c>
    </row>
    <row r="7765" spans="1:3">
      <c r="A7765" s="1" t="s">
        <v>14797</v>
      </c>
      <c r="B7765" s="2" t="s">
        <v>14798</v>
      </c>
      <c r="C7765" s="3" t="s">
        <v>5</v>
      </c>
    </row>
    <row r="7766" spans="1:3" ht="15.75" thickBot="1">
      <c r="A7766" s="4"/>
      <c r="B7766" s="5" t="s">
        <v>14799</v>
      </c>
      <c r="C7766" s="3" t="s">
        <v>5</v>
      </c>
    </row>
    <row r="7767" spans="1:3" ht="15.75" thickBot="1">
      <c r="A7767" s="6" t="s">
        <v>14800</v>
      </c>
      <c r="B7767" s="5" t="s">
        <v>14801</v>
      </c>
      <c r="C7767" s="3" t="s">
        <v>5</v>
      </c>
    </row>
    <row r="7768" spans="1:3" ht="15.75" thickBot="1">
      <c r="A7768" s="6" t="s">
        <v>14802</v>
      </c>
      <c r="B7768" s="5" t="s">
        <v>14803</v>
      </c>
      <c r="C7768" s="3" t="s">
        <v>5</v>
      </c>
    </row>
    <row r="7769" spans="1:3" ht="15.75" thickBot="1">
      <c r="A7769" s="6" t="s">
        <v>14804</v>
      </c>
      <c r="B7769" s="5" t="s">
        <v>14805</v>
      </c>
      <c r="C7769" s="3" t="s">
        <v>5</v>
      </c>
    </row>
    <row r="7770" spans="1:3" ht="15.75" thickBot="1">
      <c r="A7770" s="6" t="s">
        <v>14806</v>
      </c>
      <c r="B7770" s="5" t="s">
        <v>14807</v>
      </c>
      <c r="C7770" s="3" t="s">
        <v>5</v>
      </c>
    </row>
    <row r="7771" spans="1:3" ht="15.75" thickBot="1">
      <c r="A7771" s="6" t="s">
        <v>14808</v>
      </c>
      <c r="B7771" s="5" t="s">
        <v>14809</v>
      </c>
      <c r="C7771" s="3" t="s">
        <v>5</v>
      </c>
    </row>
    <row r="7772" spans="1:3" ht="15.75" thickBot="1">
      <c r="A7772" s="6" t="s">
        <v>14810</v>
      </c>
      <c r="B7772" s="5" t="s">
        <v>14811</v>
      </c>
      <c r="C7772" s="3" t="s">
        <v>5</v>
      </c>
    </row>
    <row r="7773" spans="1:3" ht="15.75" thickBot="1">
      <c r="A7773" s="6" t="s">
        <v>14812</v>
      </c>
      <c r="B7773" s="5" t="s">
        <v>14813</v>
      </c>
      <c r="C7773" s="3" t="s">
        <v>5</v>
      </c>
    </row>
    <row r="7774" spans="1:3" ht="15.75" thickBot="1">
      <c r="A7774" s="6" t="s">
        <v>14814</v>
      </c>
      <c r="B7774" s="5" t="s">
        <v>14815</v>
      </c>
      <c r="C7774" s="3" t="s">
        <v>5</v>
      </c>
    </row>
    <row r="7775" spans="1:3" ht="15.75" thickBot="1">
      <c r="A7775" s="6" t="s">
        <v>14816</v>
      </c>
      <c r="B7775" s="5" t="s">
        <v>14817</v>
      </c>
      <c r="C7775" s="3" t="s">
        <v>5</v>
      </c>
    </row>
    <row r="7776" spans="1:3" ht="15.75" thickBot="1">
      <c r="A7776" s="6" t="s">
        <v>14818</v>
      </c>
      <c r="B7776" s="5" t="s">
        <v>14819</v>
      </c>
      <c r="C7776" s="3" t="s">
        <v>5</v>
      </c>
    </row>
    <row r="7777" spans="1:3" ht="15.75" thickBot="1">
      <c r="A7777" s="6" t="s">
        <v>14820</v>
      </c>
      <c r="B7777" s="5" t="s">
        <v>14821</v>
      </c>
      <c r="C7777" s="3" t="s">
        <v>5</v>
      </c>
    </row>
    <row r="7778" spans="1:3" ht="15.75" thickBot="1">
      <c r="A7778" s="6" t="s">
        <v>14822</v>
      </c>
      <c r="B7778" s="5" t="s">
        <v>14823</v>
      </c>
      <c r="C7778" s="3" t="s">
        <v>5</v>
      </c>
    </row>
    <row r="7779" spans="1:3" ht="15.75" thickBot="1">
      <c r="A7779" s="6" t="s">
        <v>14824</v>
      </c>
      <c r="B7779" s="5" t="s">
        <v>14303</v>
      </c>
      <c r="C7779" s="3" t="s">
        <v>5</v>
      </c>
    </row>
    <row r="7780" spans="1:3" ht="15.75" thickBot="1">
      <c r="A7780" s="6" t="s">
        <v>14825</v>
      </c>
      <c r="B7780" s="5" t="s">
        <v>14826</v>
      </c>
      <c r="C7780" s="3" t="s">
        <v>5</v>
      </c>
    </row>
    <row r="7781" spans="1:3" ht="15.75" thickBot="1">
      <c r="A7781" s="6" t="s">
        <v>14827</v>
      </c>
      <c r="B7781" s="5" t="s">
        <v>14307</v>
      </c>
      <c r="C7781" s="3" t="s">
        <v>5</v>
      </c>
    </row>
    <row r="7782" spans="1:3" ht="15.75" thickBot="1">
      <c r="A7782" s="6" t="s">
        <v>14828</v>
      </c>
      <c r="B7782" s="5" t="s">
        <v>14829</v>
      </c>
      <c r="C7782" s="3" t="s">
        <v>5</v>
      </c>
    </row>
    <row r="7783" spans="1:3" ht="15.75" thickBot="1">
      <c r="A7783" s="6" t="s">
        <v>14830</v>
      </c>
      <c r="B7783" s="5" t="s">
        <v>14831</v>
      </c>
      <c r="C7783" s="3" t="s">
        <v>5</v>
      </c>
    </row>
    <row r="7784" spans="1:3" ht="15.75" thickBot="1">
      <c r="A7784" s="6" t="s">
        <v>14830</v>
      </c>
      <c r="B7784" s="5" t="s">
        <v>14832</v>
      </c>
      <c r="C7784" s="3" t="s">
        <v>5</v>
      </c>
    </row>
    <row r="7785" spans="1:3" ht="15.75" thickBot="1">
      <c r="A7785" s="6" t="s">
        <v>14833</v>
      </c>
      <c r="B7785" s="5" t="s">
        <v>14834</v>
      </c>
      <c r="C7785" s="3" t="s">
        <v>5</v>
      </c>
    </row>
    <row r="7786" spans="1:3" ht="15.75" thickBot="1">
      <c r="A7786" s="6" t="s">
        <v>14835</v>
      </c>
      <c r="B7786" s="5" t="s">
        <v>14836</v>
      </c>
      <c r="C7786" s="3" t="s">
        <v>5</v>
      </c>
    </row>
    <row r="7787" spans="1:3" ht="15.75" thickBot="1">
      <c r="A7787" s="6" t="s">
        <v>14837</v>
      </c>
      <c r="B7787" s="5" t="s">
        <v>14838</v>
      </c>
      <c r="C7787" s="3" t="s">
        <v>5</v>
      </c>
    </row>
    <row r="7788" spans="1:3" ht="15.75" thickBot="1">
      <c r="A7788" s="6" t="s">
        <v>14839</v>
      </c>
      <c r="B7788" s="5" t="s">
        <v>14840</v>
      </c>
      <c r="C7788" s="3" t="s">
        <v>5</v>
      </c>
    </row>
    <row r="7789" spans="1:3" ht="15.75" thickBot="1">
      <c r="A7789" s="6" t="s">
        <v>14841</v>
      </c>
      <c r="B7789" s="5" t="s">
        <v>14842</v>
      </c>
      <c r="C7789" s="3" t="s">
        <v>5</v>
      </c>
    </row>
    <row r="7790" spans="1:3" ht="15.75" thickBot="1">
      <c r="A7790" s="6" t="s">
        <v>14843</v>
      </c>
      <c r="B7790" s="5" t="s">
        <v>14844</v>
      </c>
      <c r="C7790" s="3" t="s">
        <v>5</v>
      </c>
    </row>
    <row r="7791" spans="1:3" ht="15.75" thickBot="1">
      <c r="A7791" s="6" t="s">
        <v>14845</v>
      </c>
      <c r="B7791" s="5" t="s">
        <v>14846</v>
      </c>
      <c r="C7791" s="3" t="s">
        <v>5</v>
      </c>
    </row>
    <row r="7792" spans="1:3" ht="15.75" thickBot="1">
      <c r="A7792" s="6" t="s">
        <v>14847</v>
      </c>
      <c r="B7792" s="5" t="s">
        <v>14848</v>
      </c>
      <c r="C7792" s="3" t="s">
        <v>5</v>
      </c>
    </row>
    <row r="7793" spans="1:3" ht="15.75" thickBot="1">
      <c r="A7793" s="6" t="s">
        <v>14849</v>
      </c>
      <c r="B7793" s="5" t="s">
        <v>14850</v>
      </c>
      <c r="C7793" s="3" t="s">
        <v>5</v>
      </c>
    </row>
    <row r="7794" spans="1:3" ht="15.75" thickBot="1">
      <c r="A7794" s="6" t="s">
        <v>14851</v>
      </c>
      <c r="B7794" s="5" t="s">
        <v>14852</v>
      </c>
      <c r="C7794" s="3" t="s">
        <v>5</v>
      </c>
    </row>
    <row r="7795" spans="1:3" ht="15.75" thickBot="1">
      <c r="A7795" s="6" t="s">
        <v>14853</v>
      </c>
      <c r="B7795" s="5" t="e">
        <f xml:space="preserve"> dead end tower</f>
        <v>#NAME?</v>
      </c>
      <c r="C7795" s="3" t="s">
        <v>5</v>
      </c>
    </row>
    <row r="7796" spans="1:3" ht="15.75" thickBot="1">
      <c r="A7796" s="6" t="s">
        <v>14854</v>
      </c>
      <c r="B7796" s="5" t="s">
        <v>14855</v>
      </c>
      <c r="C7796" s="3" t="s">
        <v>5</v>
      </c>
    </row>
    <row r="7797" spans="1:3" ht="15.75" thickBot="1">
      <c r="A7797" s="6" t="s">
        <v>14856</v>
      </c>
      <c r="B7797" s="5" t="s">
        <v>14857</v>
      </c>
      <c r="C7797" s="3" t="s">
        <v>5</v>
      </c>
    </row>
    <row r="7798" spans="1:3" ht="15.75" thickBot="1">
      <c r="A7798" s="6" t="s">
        <v>14858</v>
      </c>
      <c r="B7798" s="5" t="s">
        <v>14859</v>
      </c>
      <c r="C7798" s="3" t="s">
        <v>5</v>
      </c>
    </row>
    <row r="7799" spans="1:3" ht="15.75" thickBot="1">
      <c r="A7799" s="6" t="s">
        <v>14860</v>
      </c>
      <c r="B7799" s="5" t="s">
        <v>14861</v>
      </c>
      <c r="C7799" s="3" t="s">
        <v>5</v>
      </c>
    </row>
    <row r="7800" spans="1:3" ht="15.75" thickBot="1">
      <c r="A7800" s="6" t="s">
        <v>14862</v>
      </c>
      <c r="B7800" s="5" t="s">
        <v>14863</v>
      </c>
      <c r="C7800" s="3" t="s">
        <v>5</v>
      </c>
    </row>
    <row r="7801" spans="1:3" ht="15.75" thickBot="1">
      <c r="A7801" s="6" t="s">
        <v>14864</v>
      </c>
      <c r="B7801" s="5" t="s">
        <v>14865</v>
      </c>
      <c r="C7801" s="3" t="s">
        <v>5</v>
      </c>
    </row>
    <row r="7802" spans="1:3" ht="15.75" thickBot="1">
      <c r="A7802" s="6" t="s">
        <v>14866</v>
      </c>
      <c r="B7802" s="5" t="s">
        <v>14867</v>
      </c>
      <c r="C7802" s="3" t="s">
        <v>5</v>
      </c>
    </row>
    <row r="7803" spans="1:3" ht="15.75" thickBot="1">
      <c r="A7803" s="6" t="s">
        <v>14868</v>
      </c>
      <c r="B7803" s="5" t="s">
        <v>14869</v>
      </c>
      <c r="C7803" s="3" t="s">
        <v>5</v>
      </c>
    </row>
    <row r="7804" spans="1:3" ht="15.75" thickBot="1">
      <c r="A7804" s="6" t="s">
        <v>14870</v>
      </c>
      <c r="B7804" s="5" t="s">
        <v>14871</v>
      </c>
      <c r="C7804" s="3" t="s">
        <v>5</v>
      </c>
    </row>
    <row r="7805" spans="1:3" ht="15.75" thickBot="1">
      <c r="A7805" s="6" t="s">
        <v>14872</v>
      </c>
      <c r="B7805" s="5" t="s">
        <v>14873</v>
      </c>
      <c r="C7805" s="3" t="s">
        <v>5</v>
      </c>
    </row>
    <row r="7806" spans="1:3" ht="15.75" thickBot="1">
      <c r="A7806" s="6" t="s">
        <v>14874</v>
      </c>
      <c r="B7806" s="5" t="s">
        <v>14875</v>
      </c>
      <c r="C7806" s="3" t="s">
        <v>5</v>
      </c>
    </row>
    <row r="7807" spans="1:3" ht="15.75" thickBot="1">
      <c r="A7807" s="6" t="s">
        <v>14876</v>
      </c>
      <c r="B7807" s="5" t="s">
        <v>14877</v>
      </c>
      <c r="C7807" s="3" t="s">
        <v>5</v>
      </c>
    </row>
    <row r="7808" spans="1:3" ht="15.75" thickBot="1">
      <c r="A7808" s="6" t="s">
        <v>14878</v>
      </c>
      <c r="B7808" s="5" t="s">
        <v>14879</v>
      </c>
      <c r="C7808" s="3" t="s">
        <v>5</v>
      </c>
    </row>
    <row r="7809" spans="1:3" ht="15.75" thickBot="1">
      <c r="A7809" s="6" t="s">
        <v>14880</v>
      </c>
      <c r="B7809" s="5" t="s">
        <v>14881</v>
      </c>
      <c r="C7809" s="3" t="s">
        <v>5</v>
      </c>
    </row>
    <row r="7810" spans="1:3" ht="15.75" thickBot="1">
      <c r="A7810" s="6" t="s">
        <v>14882</v>
      </c>
      <c r="B7810" s="5" t="s">
        <v>14883</v>
      </c>
      <c r="C7810" s="3" t="s">
        <v>5</v>
      </c>
    </row>
    <row r="7811" spans="1:3" ht="15.75" thickBot="1">
      <c r="A7811" s="6" t="s">
        <v>14884</v>
      </c>
      <c r="B7811" s="5" t="s">
        <v>14885</v>
      </c>
      <c r="C7811" s="3" t="s">
        <v>5</v>
      </c>
    </row>
    <row r="7812" spans="1:3" ht="15.75" thickBot="1">
      <c r="A7812" s="6" t="s">
        <v>14886</v>
      </c>
      <c r="B7812" s="5" t="s">
        <v>14887</v>
      </c>
      <c r="C7812" s="3" t="s">
        <v>5</v>
      </c>
    </row>
    <row r="7813" spans="1:3" ht="15.75" thickBot="1">
      <c r="A7813" s="6" t="s">
        <v>14888</v>
      </c>
      <c r="B7813" s="5" t="s">
        <v>14889</v>
      </c>
      <c r="C7813" s="3" t="s">
        <v>5</v>
      </c>
    </row>
    <row r="7814" spans="1:3" ht="15.75" thickBot="1">
      <c r="A7814" s="6" t="s">
        <v>14890</v>
      </c>
      <c r="B7814" s="5" t="s">
        <v>14891</v>
      </c>
      <c r="C7814" s="3" t="s">
        <v>5</v>
      </c>
    </row>
    <row r="7815" spans="1:3" ht="15.75" thickBot="1">
      <c r="A7815" s="6" t="s">
        <v>14892</v>
      </c>
      <c r="B7815" s="5" t="s">
        <v>14893</v>
      </c>
      <c r="C7815" s="3" t="s">
        <v>5</v>
      </c>
    </row>
    <row r="7816" spans="1:3" ht="15.75" thickBot="1">
      <c r="A7816" s="6" t="s">
        <v>14894</v>
      </c>
      <c r="B7816" s="5" t="s">
        <v>14895</v>
      </c>
      <c r="C7816" s="3" t="s">
        <v>5</v>
      </c>
    </row>
    <row r="7817" spans="1:3" ht="15.75" thickBot="1">
      <c r="A7817" s="6" t="s">
        <v>14896</v>
      </c>
      <c r="B7817" s="5" t="s">
        <v>14897</v>
      </c>
      <c r="C7817" s="3" t="s">
        <v>5</v>
      </c>
    </row>
    <row r="7818" spans="1:3" ht="15.75" thickBot="1">
      <c r="A7818" s="6" t="s">
        <v>14898</v>
      </c>
      <c r="B7818" s="5" t="s">
        <v>14899</v>
      </c>
      <c r="C7818" s="3" t="s">
        <v>5</v>
      </c>
    </row>
    <row r="7819" spans="1:3" ht="15.75" thickBot="1">
      <c r="A7819" s="6" t="s">
        <v>14898</v>
      </c>
      <c r="B7819" s="5" t="s">
        <v>14899</v>
      </c>
      <c r="C7819" s="3" t="s">
        <v>5</v>
      </c>
    </row>
    <row r="7820" spans="1:3" ht="15.75" thickBot="1">
      <c r="A7820" s="6" t="s">
        <v>14900</v>
      </c>
      <c r="B7820" s="5" t="s">
        <v>14901</v>
      </c>
      <c r="C7820" s="3" t="s">
        <v>5</v>
      </c>
    </row>
    <row r="7821" spans="1:3" ht="15.75" thickBot="1">
      <c r="A7821" s="6" t="s">
        <v>14900</v>
      </c>
      <c r="B7821" s="5" t="s">
        <v>14901</v>
      </c>
      <c r="C7821" s="3" t="s">
        <v>5</v>
      </c>
    </row>
    <row r="7822" spans="1:3" ht="15.75" thickBot="1">
      <c r="A7822" s="6" t="s">
        <v>14902</v>
      </c>
      <c r="B7822" s="5" t="s">
        <v>14903</v>
      </c>
      <c r="C7822" s="3" t="s">
        <v>5</v>
      </c>
    </row>
    <row r="7823" spans="1:3" ht="15.75" thickBot="1">
      <c r="A7823" s="6" t="s">
        <v>14904</v>
      </c>
      <c r="B7823" s="5" t="s">
        <v>14905</v>
      </c>
      <c r="C7823" s="3" t="s">
        <v>5</v>
      </c>
    </row>
    <row r="7824" spans="1:3" ht="15.75" thickBot="1">
      <c r="A7824" s="6" t="s">
        <v>14906</v>
      </c>
      <c r="B7824" s="5" t="s">
        <v>14907</v>
      </c>
      <c r="C7824" s="3" t="s">
        <v>5</v>
      </c>
    </row>
    <row r="7825" spans="1:3" ht="15.75" thickBot="1">
      <c r="A7825" s="6" t="s">
        <v>14908</v>
      </c>
      <c r="B7825" s="5" t="s">
        <v>14909</v>
      </c>
      <c r="C7825" s="3" t="s">
        <v>5</v>
      </c>
    </row>
    <row r="7826" spans="1:3" ht="15.75" thickBot="1">
      <c r="A7826" s="6" t="s">
        <v>14910</v>
      </c>
      <c r="B7826" s="5" t="s">
        <v>14911</v>
      </c>
      <c r="C7826" s="3" t="s">
        <v>5</v>
      </c>
    </row>
    <row r="7827" spans="1:3" ht="15.75" thickBot="1">
      <c r="A7827" s="6" t="s">
        <v>14912</v>
      </c>
      <c r="B7827" s="5" t="s">
        <v>14913</v>
      </c>
      <c r="C7827" s="3" t="s">
        <v>5</v>
      </c>
    </row>
    <row r="7828" spans="1:3" ht="15.75" thickBot="1">
      <c r="A7828" s="6" t="s">
        <v>14914</v>
      </c>
      <c r="B7828" s="5" t="s">
        <v>14915</v>
      </c>
      <c r="C7828" s="3" t="s">
        <v>5</v>
      </c>
    </row>
    <row r="7829" spans="1:3" ht="15.75" thickBot="1">
      <c r="A7829" s="6" t="s">
        <v>14916</v>
      </c>
      <c r="B7829" s="5" t="s">
        <v>14917</v>
      </c>
      <c r="C7829" s="3" t="s">
        <v>5</v>
      </c>
    </row>
    <row r="7830" spans="1:3" ht="15.75" thickBot="1">
      <c r="A7830" s="6" t="s">
        <v>14918</v>
      </c>
      <c r="B7830" s="5" t="s">
        <v>14919</v>
      </c>
      <c r="C7830" s="3" t="s">
        <v>5</v>
      </c>
    </row>
    <row r="7831" spans="1:3" ht="15.75" thickBot="1">
      <c r="A7831" s="6" t="s">
        <v>14920</v>
      </c>
      <c r="B7831" s="5" t="s">
        <v>14921</v>
      </c>
      <c r="C7831" s="3" t="s">
        <v>5</v>
      </c>
    </row>
    <row r="7832" spans="1:3" ht="15.75" thickBot="1">
      <c r="A7832" s="6" t="s">
        <v>14922</v>
      </c>
      <c r="B7832" s="5" t="s">
        <v>14923</v>
      </c>
      <c r="C7832" s="3" t="s">
        <v>5</v>
      </c>
    </row>
    <row r="7833" spans="1:3" ht="15.75" thickBot="1">
      <c r="A7833" s="6" t="s">
        <v>14924</v>
      </c>
      <c r="B7833" s="5" t="s">
        <v>14925</v>
      </c>
      <c r="C7833" s="3" t="s">
        <v>5</v>
      </c>
    </row>
    <row r="7834" spans="1:3" ht="15.75" thickBot="1">
      <c r="A7834" s="6" t="s">
        <v>14926</v>
      </c>
      <c r="B7834" s="5" t="s">
        <v>14927</v>
      </c>
      <c r="C7834" s="3" t="s">
        <v>5</v>
      </c>
    </row>
    <row r="7835" spans="1:3" ht="15.75" thickBot="1">
      <c r="A7835" s="6" t="s">
        <v>14928</v>
      </c>
      <c r="B7835" s="5" t="s">
        <v>14929</v>
      </c>
      <c r="C7835" s="3" t="s">
        <v>5</v>
      </c>
    </row>
    <row r="7836" spans="1:3" ht="15.75" thickBot="1">
      <c r="A7836" s="6" t="s">
        <v>14930</v>
      </c>
      <c r="B7836" s="5" t="s">
        <v>14931</v>
      </c>
      <c r="C7836" s="3" t="s">
        <v>5</v>
      </c>
    </row>
    <row r="7837" spans="1:3" ht="15.75" thickBot="1">
      <c r="A7837" s="6" t="s">
        <v>14932</v>
      </c>
      <c r="B7837" s="5" t="s">
        <v>14933</v>
      </c>
      <c r="C7837" s="3" t="s">
        <v>5</v>
      </c>
    </row>
    <row r="7838" spans="1:3" ht="15.75" thickBot="1">
      <c r="A7838" s="6" t="s">
        <v>14934</v>
      </c>
      <c r="B7838" s="5" t="s">
        <v>14935</v>
      </c>
      <c r="C7838" s="3" t="s">
        <v>5</v>
      </c>
    </row>
    <row r="7839" spans="1:3" ht="15.75" thickBot="1">
      <c r="A7839" s="6" t="s">
        <v>14936</v>
      </c>
      <c r="B7839" s="5" t="s">
        <v>14937</v>
      </c>
      <c r="C7839" s="3" t="s">
        <v>5</v>
      </c>
    </row>
    <row r="7840" spans="1:3" ht="15.75" thickBot="1">
      <c r="A7840" s="6" t="s">
        <v>14938</v>
      </c>
      <c r="B7840" s="5" t="s">
        <v>14939</v>
      </c>
      <c r="C7840" s="3" t="s">
        <v>5</v>
      </c>
    </row>
    <row r="7841" spans="1:3" ht="15.75" thickBot="1">
      <c r="A7841" s="6" t="s">
        <v>14940</v>
      </c>
      <c r="B7841" s="5" t="s">
        <v>14941</v>
      </c>
      <c r="C7841" s="3" t="s">
        <v>5</v>
      </c>
    </row>
    <row r="7842" spans="1:3" ht="15.75" thickBot="1">
      <c r="A7842" s="6" t="s">
        <v>14942</v>
      </c>
      <c r="B7842" s="5" t="s">
        <v>14943</v>
      </c>
      <c r="C7842" s="3" t="s">
        <v>5</v>
      </c>
    </row>
    <row r="7843" spans="1:3" ht="15.75" thickBot="1">
      <c r="A7843" s="6" t="s">
        <v>14944</v>
      </c>
      <c r="B7843" s="5" t="s">
        <v>14945</v>
      </c>
      <c r="C7843" s="3" t="s">
        <v>5</v>
      </c>
    </row>
    <row r="7844" spans="1:3" ht="15.75" thickBot="1">
      <c r="A7844" s="6" t="s">
        <v>14946</v>
      </c>
      <c r="B7844" s="5" t="s">
        <v>14947</v>
      </c>
      <c r="C7844" s="3" t="s">
        <v>5</v>
      </c>
    </row>
    <row r="7845" spans="1:3" ht="15.75" thickBot="1">
      <c r="A7845" s="6" t="s">
        <v>14948</v>
      </c>
      <c r="B7845" s="5" t="s">
        <v>14949</v>
      </c>
      <c r="C7845" s="3" t="s">
        <v>5</v>
      </c>
    </row>
    <row r="7846" spans="1:3" ht="15.75" thickBot="1">
      <c r="A7846" s="6" t="s">
        <v>14950</v>
      </c>
      <c r="B7846" s="5" t="s">
        <v>14951</v>
      </c>
      <c r="C7846" s="3" t="s">
        <v>5</v>
      </c>
    </row>
    <row r="7847" spans="1:3" ht="15.75" thickBot="1">
      <c r="A7847" s="6" t="s">
        <v>14952</v>
      </c>
      <c r="B7847" s="5" t="s">
        <v>14953</v>
      </c>
      <c r="C7847" s="3" t="s">
        <v>5</v>
      </c>
    </row>
    <row r="7848" spans="1:3" ht="15.75" thickBot="1">
      <c r="A7848" s="6" t="s">
        <v>14954</v>
      </c>
      <c r="B7848" s="5" t="s">
        <v>14955</v>
      </c>
      <c r="C7848" s="3" t="s">
        <v>5</v>
      </c>
    </row>
    <row r="7849" spans="1:3" ht="15.75" thickBot="1">
      <c r="A7849" s="6" t="s">
        <v>14956</v>
      </c>
      <c r="B7849" s="5" t="s">
        <v>14957</v>
      </c>
      <c r="C7849" s="3" t="s">
        <v>5</v>
      </c>
    </row>
    <row r="7850" spans="1:3" ht="15.75" thickBot="1">
      <c r="A7850" s="6" t="s">
        <v>14958</v>
      </c>
      <c r="B7850" s="5" t="s">
        <v>14959</v>
      </c>
      <c r="C7850" s="3" t="s">
        <v>5</v>
      </c>
    </row>
    <row r="7851" spans="1:3" ht="15.75" thickBot="1">
      <c r="A7851" s="6" t="s">
        <v>14960</v>
      </c>
      <c r="B7851" s="5" t="s">
        <v>14961</v>
      </c>
      <c r="C7851" s="3" t="s">
        <v>5</v>
      </c>
    </row>
    <row r="7852" spans="1:3" ht="15.75" thickBot="1">
      <c r="A7852" s="6" t="s">
        <v>14962</v>
      </c>
      <c r="B7852" s="5" t="s">
        <v>14963</v>
      </c>
      <c r="C7852" s="3" t="s">
        <v>5</v>
      </c>
    </row>
    <row r="7853" spans="1:3" ht="15.75" thickBot="1">
      <c r="A7853" s="6" t="s">
        <v>14964</v>
      </c>
      <c r="B7853" s="5" t="s">
        <v>14965</v>
      </c>
      <c r="C7853" s="3" t="s">
        <v>5</v>
      </c>
    </row>
    <row r="7854" spans="1:3" ht="15.75" thickBot="1">
      <c r="A7854" s="6" t="s">
        <v>14966</v>
      </c>
      <c r="B7854" s="5" t="s">
        <v>14967</v>
      </c>
      <c r="C7854" s="3" t="s">
        <v>5</v>
      </c>
    </row>
    <row r="7855" spans="1:3" ht="15.75" thickBot="1">
      <c r="A7855" s="6" t="s">
        <v>14968</v>
      </c>
      <c r="B7855" s="5" t="s">
        <v>14969</v>
      </c>
      <c r="C7855" s="3" t="s">
        <v>5</v>
      </c>
    </row>
    <row r="7856" spans="1:3" ht="15.75" thickBot="1">
      <c r="A7856" s="6" t="s">
        <v>14970</v>
      </c>
      <c r="B7856" s="5" t="s">
        <v>14971</v>
      </c>
      <c r="C7856" s="3" t="s">
        <v>5</v>
      </c>
    </row>
    <row r="7857" spans="1:3" ht="15.75" thickBot="1">
      <c r="A7857" s="6" t="s">
        <v>14972</v>
      </c>
      <c r="B7857" s="5" t="s">
        <v>14973</v>
      </c>
      <c r="C7857" s="3" t="s">
        <v>5</v>
      </c>
    </row>
    <row r="7858" spans="1:3" ht="15.75" thickBot="1">
      <c r="A7858" s="6" t="s">
        <v>14974</v>
      </c>
      <c r="B7858" s="5" t="s">
        <v>14975</v>
      </c>
      <c r="C7858" s="3" t="s">
        <v>5</v>
      </c>
    </row>
    <row r="7859" spans="1:3" ht="15.75" thickBot="1">
      <c r="A7859" s="6" t="s">
        <v>14976</v>
      </c>
      <c r="B7859" s="5" t="s">
        <v>14977</v>
      </c>
      <c r="C7859" s="3" t="s">
        <v>5</v>
      </c>
    </row>
    <row r="7860" spans="1:3" ht="15.75" thickBot="1">
      <c r="A7860" s="6" t="s">
        <v>14978</v>
      </c>
      <c r="B7860" s="5" t="s">
        <v>14979</v>
      </c>
      <c r="C7860" s="3" t="s">
        <v>5</v>
      </c>
    </row>
    <row r="7861" spans="1:3" ht="15.75" thickBot="1">
      <c r="A7861" s="6" t="s">
        <v>14980</v>
      </c>
      <c r="B7861" s="5" t="s">
        <v>14981</v>
      </c>
      <c r="C7861" s="3" t="s">
        <v>5</v>
      </c>
    </row>
    <row r="7862" spans="1:3" ht="15.75" thickBot="1">
      <c r="A7862" s="6" t="s">
        <v>14982</v>
      </c>
      <c r="B7862" s="5" t="s">
        <v>14983</v>
      </c>
      <c r="C7862" s="3" t="s">
        <v>5</v>
      </c>
    </row>
    <row r="7863" spans="1:3" ht="15.75" thickBot="1">
      <c r="A7863" s="6" t="s">
        <v>14984</v>
      </c>
      <c r="B7863" s="5" t="s">
        <v>14985</v>
      </c>
      <c r="C7863" s="3" t="s">
        <v>5</v>
      </c>
    </row>
    <row r="7864" spans="1:3" ht="15.75" thickBot="1">
      <c r="A7864" s="6" t="s">
        <v>14986</v>
      </c>
      <c r="B7864" s="5" t="s">
        <v>14987</v>
      </c>
      <c r="C7864" s="3" t="s">
        <v>5</v>
      </c>
    </row>
    <row r="7865" spans="1:3" ht="15.75" thickBot="1">
      <c r="A7865" s="6" t="s">
        <v>14988</v>
      </c>
      <c r="B7865" s="5" t="s">
        <v>14989</v>
      </c>
      <c r="C7865" s="3" t="s">
        <v>5</v>
      </c>
    </row>
    <row r="7866" spans="1:3" ht="15.75" thickBot="1">
      <c r="A7866" s="6" t="s">
        <v>14990</v>
      </c>
      <c r="B7866" s="5" t="s">
        <v>14991</v>
      </c>
      <c r="C7866" s="3" t="s">
        <v>5</v>
      </c>
    </row>
    <row r="7867" spans="1:3" ht="15.75" thickBot="1">
      <c r="A7867" s="6" t="s">
        <v>14992</v>
      </c>
      <c r="B7867" s="5" t="s">
        <v>14993</v>
      </c>
      <c r="C7867" s="3" t="s">
        <v>5</v>
      </c>
    </row>
    <row r="7868" spans="1:3" ht="15.75" thickBot="1">
      <c r="A7868" s="6" t="s">
        <v>14994</v>
      </c>
      <c r="B7868" s="5" t="s">
        <v>14995</v>
      </c>
      <c r="C7868" s="3" t="s">
        <v>5</v>
      </c>
    </row>
    <row r="7869" spans="1:3" ht="15.75" thickBot="1">
      <c r="A7869" s="6" t="s">
        <v>14996</v>
      </c>
      <c r="B7869" s="5" t="s">
        <v>14997</v>
      </c>
      <c r="C7869" s="3" t="s">
        <v>5</v>
      </c>
    </row>
    <row r="7870" spans="1:3" ht="15.75" thickBot="1">
      <c r="A7870" s="6" t="s">
        <v>14998</v>
      </c>
      <c r="B7870" s="5" t="s">
        <v>14999</v>
      </c>
      <c r="C7870" s="3" t="s">
        <v>5</v>
      </c>
    </row>
    <row r="7871" spans="1:3" ht="15.75" thickBot="1">
      <c r="A7871" s="6" t="s">
        <v>15000</v>
      </c>
      <c r="B7871" s="5" t="s">
        <v>15001</v>
      </c>
      <c r="C7871" s="3" t="s">
        <v>5</v>
      </c>
    </row>
    <row r="7872" spans="1:3" ht="15.75" thickBot="1">
      <c r="A7872" s="6" t="s">
        <v>15002</v>
      </c>
      <c r="B7872" s="5" t="s">
        <v>15003</v>
      </c>
      <c r="C7872" s="3" t="s">
        <v>5</v>
      </c>
    </row>
    <row r="7873" spans="1:3" ht="15.75" thickBot="1">
      <c r="A7873" s="6" t="s">
        <v>15004</v>
      </c>
      <c r="B7873" s="5" t="s">
        <v>15005</v>
      </c>
      <c r="C7873" s="3" t="s">
        <v>5</v>
      </c>
    </row>
    <row r="7874" spans="1:3" ht="15.75" thickBot="1">
      <c r="A7874" s="6" t="s">
        <v>15006</v>
      </c>
      <c r="B7874" s="5" t="s">
        <v>15007</v>
      </c>
      <c r="C7874" s="3" t="s">
        <v>5</v>
      </c>
    </row>
    <row r="7875" spans="1:3" ht="15.75" thickBot="1">
      <c r="A7875" s="6" t="s">
        <v>15008</v>
      </c>
      <c r="B7875" s="5" t="s">
        <v>15009</v>
      </c>
      <c r="C7875" s="3" t="s">
        <v>5</v>
      </c>
    </row>
    <row r="7876" spans="1:3" ht="15.75" thickBot="1">
      <c r="A7876" s="6" t="s">
        <v>15010</v>
      </c>
      <c r="B7876" s="5" t="s">
        <v>15011</v>
      </c>
      <c r="C7876" s="3" t="s">
        <v>5</v>
      </c>
    </row>
    <row r="7877" spans="1:3" ht="15.75" thickBot="1">
      <c r="A7877" s="6" t="s">
        <v>15012</v>
      </c>
      <c r="B7877" s="5" t="s">
        <v>15013</v>
      </c>
      <c r="C7877" s="3" t="s">
        <v>5</v>
      </c>
    </row>
    <row r="7878" spans="1:3" ht="15.75" thickBot="1">
      <c r="A7878" s="6" t="s">
        <v>15014</v>
      </c>
      <c r="B7878" s="5" t="s">
        <v>15015</v>
      </c>
      <c r="C7878" s="3" t="s">
        <v>5</v>
      </c>
    </row>
    <row r="7879" spans="1:3" ht="15.75" thickBot="1">
      <c r="A7879" s="6" t="s">
        <v>15016</v>
      </c>
      <c r="B7879" s="5" t="s">
        <v>15017</v>
      </c>
      <c r="C7879" s="3" t="s">
        <v>5</v>
      </c>
    </row>
    <row r="7880" spans="1:3" ht="15.75" thickBot="1">
      <c r="A7880" s="6" t="s">
        <v>15018</v>
      </c>
      <c r="B7880" s="5" t="s">
        <v>15019</v>
      </c>
      <c r="C7880" s="3" t="s">
        <v>5</v>
      </c>
    </row>
    <row r="7881" spans="1:3" ht="15.75" thickBot="1">
      <c r="A7881" s="6" t="s">
        <v>15020</v>
      </c>
      <c r="B7881" s="5" t="s">
        <v>15021</v>
      </c>
      <c r="C7881" s="3" t="s">
        <v>5</v>
      </c>
    </row>
    <row r="7882" spans="1:3" ht="15.75" thickBot="1">
      <c r="A7882" s="6" t="s">
        <v>15022</v>
      </c>
      <c r="B7882" s="5" t="s">
        <v>15023</v>
      </c>
      <c r="C7882" s="3" t="s">
        <v>5</v>
      </c>
    </row>
    <row r="7883" spans="1:3" ht="15.75" thickBot="1">
      <c r="A7883" s="6" t="s">
        <v>15024</v>
      </c>
      <c r="B7883" s="5" t="s">
        <v>15025</v>
      </c>
      <c r="C7883" s="3" t="s">
        <v>5</v>
      </c>
    </row>
    <row r="7884" spans="1:3" ht="15.75" thickBot="1">
      <c r="A7884" s="6" t="s">
        <v>15026</v>
      </c>
      <c r="B7884" s="5" t="s">
        <v>15027</v>
      </c>
      <c r="C7884" s="3" t="s">
        <v>5</v>
      </c>
    </row>
    <row r="7885" spans="1:3" ht="15.75" thickBot="1">
      <c r="A7885" s="6" t="s">
        <v>15028</v>
      </c>
      <c r="B7885" s="5" t="s">
        <v>15029</v>
      </c>
      <c r="C7885" s="3" t="s">
        <v>5</v>
      </c>
    </row>
    <row r="7886" spans="1:3" ht="15.75" thickBot="1">
      <c r="A7886" s="6" t="s">
        <v>15030</v>
      </c>
      <c r="B7886" s="5" t="s">
        <v>15031</v>
      </c>
      <c r="C7886" s="3" t="s">
        <v>5</v>
      </c>
    </row>
    <row r="7887" spans="1:3" ht="15.75" thickBot="1">
      <c r="A7887" s="6" t="s">
        <v>15032</v>
      </c>
      <c r="B7887" s="5" t="s">
        <v>15033</v>
      </c>
      <c r="C7887" s="3" t="s">
        <v>5</v>
      </c>
    </row>
    <row r="7888" spans="1:3" ht="15.75" thickBot="1">
      <c r="A7888" s="6" t="s">
        <v>15034</v>
      </c>
      <c r="B7888" s="5" t="s">
        <v>15035</v>
      </c>
      <c r="C7888" s="3" t="s">
        <v>5</v>
      </c>
    </row>
    <row r="7889" spans="1:3" ht="15.75" thickBot="1">
      <c r="A7889" s="6" t="s">
        <v>15036</v>
      </c>
      <c r="B7889" s="5" t="s">
        <v>15037</v>
      </c>
      <c r="C7889" s="3" t="s">
        <v>5</v>
      </c>
    </row>
    <row r="7890" spans="1:3" ht="15.75" thickBot="1">
      <c r="A7890" s="6" t="s">
        <v>15038</v>
      </c>
      <c r="B7890" s="5" t="s">
        <v>15039</v>
      </c>
      <c r="C7890" s="3" t="s">
        <v>5</v>
      </c>
    </row>
    <row r="7891" spans="1:3" ht="15.75" thickBot="1">
      <c r="A7891" s="6" t="s">
        <v>15040</v>
      </c>
      <c r="B7891" s="5" t="s">
        <v>15041</v>
      </c>
      <c r="C7891" s="3" t="s">
        <v>5</v>
      </c>
    </row>
    <row r="7892" spans="1:3" ht="15.75" thickBot="1">
      <c r="A7892" s="6" t="s">
        <v>15042</v>
      </c>
      <c r="B7892" s="5" t="s">
        <v>15043</v>
      </c>
      <c r="C7892" s="3" t="s">
        <v>5</v>
      </c>
    </row>
    <row r="7893" spans="1:3" ht="15.75" thickBot="1">
      <c r="A7893" s="6" t="s">
        <v>15044</v>
      </c>
      <c r="B7893" s="5" t="s">
        <v>15045</v>
      </c>
      <c r="C7893" s="3" t="s">
        <v>5</v>
      </c>
    </row>
    <row r="7894" spans="1:3" ht="15.75" thickBot="1">
      <c r="A7894" s="6" t="s">
        <v>15046</v>
      </c>
      <c r="B7894" s="5" t="s">
        <v>15047</v>
      </c>
      <c r="C7894" s="3" t="s">
        <v>5</v>
      </c>
    </row>
    <row r="7895" spans="1:3" ht="15.75" thickBot="1">
      <c r="A7895" s="6" t="s">
        <v>15048</v>
      </c>
      <c r="B7895" s="5" t="s">
        <v>15049</v>
      </c>
      <c r="C7895" s="3" t="s">
        <v>5</v>
      </c>
    </row>
    <row r="7896" spans="1:3" ht="15.75" thickBot="1">
      <c r="A7896" s="6" t="s">
        <v>15050</v>
      </c>
      <c r="B7896" s="5" t="s">
        <v>15051</v>
      </c>
      <c r="C7896" s="3" t="s">
        <v>5</v>
      </c>
    </row>
    <row r="7897" spans="1:3" ht="15.75" thickBot="1">
      <c r="A7897" s="6" t="s">
        <v>15052</v>
      </c>
      <c r="B7897" s="5" t="s">
        <v>15053</v>
      </c>
      <c r="C7897" s="3" t="s">
        <v>5</v>
      </c>
    </row>
    <row r="7898" spans="1:3" ht="15.75" thickBot="1">
      <c r="A7898" s="6" t="s">
        <v>15054</v>
      </c>
      <c r="B7898" s="5" t="s">
        <v>15055</v>
      </c>
      <c r="C7898" s="3" t="s">
        <v>5</v>
      </c>
    </row>
    <row r="7899" spans="1:3" ht="15.75" thickBot="1">
      <c r="A7899" s="6" t="s">
        <v>15056</v>
      </c>
      <c r="B7899" s="5" t="s">
        <v>15057</v>
      </c>
      <c r="C7899" s="3" t="s">
        <v>5</v>
      </c>
    </row>
    <row r="7900" spans="1:3" ht="15.75" thickBot="1">
      <c r="A7900" s="6" t="s">
        <v>15058</v>
      </c>
      <c r="B7900" s="5" t="s">
        <v>15059</v>
      </c>
      <c r="C7900" s="3" t="s">
        <v>5</v>
      </c>
    </row>
    <row r="7901" spans="1:3" ht="15.75" thickBot="1">
      <c r="A7901" s="6" t="s">
        <v>15060</v>
      </c>
      <c r="B7901" s="5" t="s">
        <v>15061</v>
      </c>
      <c r="C7901" s="3" t="s">
        <v>5</v>
      </c>
    </row>
    <row r="7902" spans="1:3" ht="15.75" thickBot="1">
      <c r="A7902" s="6" t="s">
        <v>15062</v>
      </c>
      <c r="B7902" s="5" t="s">
        <v>15063</v>
      </c>
      <c r="C7902" s="3" t="s">
        <v>5</v>
      </c>
    </row>
    <row r="7903" spans="1:3" ht="15.75" thickBot="1">
      <c r="A7903" s="6" t="s">
        <v>15064</v>
      </c>
      <c r="B7903" s="5" t="s">
        <v>15065</v>
      </c>
      <c r="C7903" s="3" t="s">
        <v>5</v>
      </c>
    </row>
    <row r="7904" spans="1:3" ht="15.75" thickBot="1">
      <c r="A7904" s="6" t="s">
        <v>15066</v>
      </c>
      <c r="B7904" s="5" t="s">
        <v>10873</v>
      </c>
      <c r="C7904" s="3" t="s">
        <v>5</v>
      </c>
    </row>
    <row r="7905" spans="1:3" ht="15.75" thickBot="1">
      <c r="A7905" s="6" t="s">
        <v>15067</v>
      </c>
      <c r="B7905" s="5" t="s">
        <v>15068</v>
      </c>
      <c r="C7905" s="3" t="s">
        <v>5</v>
      </c>
    </row>
    <row r="7906" spans="1:3" ht="15.75" thickBot="1">
      <c r="A7906" s="6" t="s">
        <v>15069</v>
      </c>
      <c r="B7906" s="5" t="s">
        <v>15070</v>
      </c>
      <c r="C7906" s="3" t="s">
        <v>5</v>
      </c>
    </row>
    <row r="7907" spans="1:3" ht="15.75" thickBot="1">
      <c r="A7907" s="6" t="s">
        <v>15071</v>
      </c>
      <c r="B7907" s="5" t="s">
        <v>15072</v>
      </c>
      <c r="C7907" s="3" t="s">
        <v>5</v>
      </c>
    </row>
    <row r="7908" spans="1:3" ht="15.75" thickBot="1">
      <c r="A7908" s="6" t="s">
        <v>15073</v>
      </c>
      <c r="B7908" s="5" t="s">
        <v>15074</v>
      </c>
      <c r="C7908" s="3" t="s">
        <v>5</v>
      </c>
    </row>
    <row r="7909" spans="1:3" ht="15.75" thickBot="1">
      <c r="A7909" s="6" t="s">
        <v>15075</v>
      </c>
      <c r="B7909" s="5" t="s">
        <v>15076</v>
      </c>
      <c r="C7909" s="3" t="s">
        <v>5</v>
      </c>
    </row>
    <row r="7910" spans="1:3" ht="15.75" thickBot="1">
      <c r="A7910" s="6" t="s">
        <v>15077</v>
      </c>
      <c r="B7910" s="5" t="s">
        <v>15078</v>
      </c>
      <c r="C7910" s="3" t="s">
        <v>5</v>
      </c>
    </row>
    <row r="7911" spans="1:3" ht="15.75" thickBot="1">
      <c r="A7911" s="6" t="s">
        <v>15079</v>
      </c>
      <c r="B7911" s="5" t="s">
        <v>15080</v>
      </c>
      <c r="C7911" s="3" t="s">
        <v>5</v>
      </c>
    </row>
    <row r="7912" spans="1:3" ht="15.75" thickBot="1">
      <c r="A7912" s="6" t="s">
        <v>15081</v>
      </c>
      <c r="B7912" s="5" t="s">
        <v>15082</v>
      </c>
      <c r="C7912" s="3" t="s">
        <v>5</v>
      </c>
    </row>
    <row r="7913" spans="1:3" ht="15.75" thickBot="1">
      <c r="A7913" s="6" t="s">
        <v>15083</v>
      </c>
      <c r="B7913" s="5" t="e">
        <f xml:space="preserve"> binding wire</f>
        <v>#NAME?</v>
      </c>
      <c r="C7913" s="3" t="s">
        <v>5</v>
      </c>
    </row>
    <row r="7914" spans="1:3" ht="15.75" thickBot="1">
      <c r="A7914" s="6" t="s">
        <v>15084</v>
      </c>
      <c r="B7914" s="5" t="s">
        <v>15085</v>
      </c>
      <c r="C7914" s="3" t="s">
        <v>5</v>
      </c>
    </row>
    <row r="7915" spans="1:3" ht="15.75" thickBot="1">
      <c r="A7915" s="6" t="s">
        <v>15086</v>
      </c>
      <c r="B7915" s="5" t="s">
        <v>2893</v>
      </c>
      <c r="C7915" s="3" t="s">
        <v>5</v>
      </c>
    </row>
    <row r="7916" spans="1:3">
      <c r="A7916" s="1" t="s">
        <v>15087</v>
      </c>
      <c r="B7916" s="2" t="s">
        <v>15088</v>
      </c>
      <c r="C7916" s="3" t="s">
        <v>5</v>
      </c>
    </row>
    <row r="7917" spans="1:3" ht="15.75" thickBot="1">
      <c r="A7917" s="4"/>
      <c r="B7917" s="5" t="s">
        <v>3333</v>
      </c>
      <c r="C7917" s="3" t="s">
        <v>5</v>
      </c>
    </row>
    <row r="7918" spans="1:3" ht="15.75" thickBot="1">
      <c r="A7918" s="6" t="s">
        <v>15089</v>
      </c>
      <c r="B7918" s="5" t="s">
        <v>15090</v>
      </c>
      <c r="C7918" s="3" t="s">
        <v>5</v>
      </c>
    </row>
    <row r="7919" spans="1:3" ht="15.75" thickBot="1">
      <c r="A7919" s="6" t="s">
        <v>15091</v>
      </c>
      <c r="B7919" s="5" t="s">
        <v>15092</v>
      </c>
      <c r="C7919" s="3" t="s">
        <v>5</v>
      </c>
    </row>
    <row r="7920" spans="1:3" ht="15.75" thickBot="1">
      <c r="A7920" s="6" t="s">
        <v>15093</v>
      </c>
      <c r="B7920" s="5" t="s">
        <v>15094</v>
      </c>
      <c r="C7920" s="3" t="s">
        <v>5</v>
      </c>
    </row>
    <row r="7921" spans="1:3" ht="15.75" thickBot="1">
      <c r="A7921" s="6" t="s">
        <v>15095</v>
      </c>
      <c r="B7921" s="5" t="s">
        <v>15096</v>
      </c>
      <c r="C7921" s="3" t="s">
        <v>5</v>
      </c>
    </row>
    <row r="7922" spans="1:3" ht="15.75" thickBot="1">
      <c r="A7922" s="6" t="s">
        <v>15097</v>
      </c>
      <c r="B7922" s="5" t="s">
        <v>15098</v>
      </c>
      <c r="C7922" s="3" t="s">
        <v>5</v>
      </c>
    </row>
    <row r="7923" spans="1:3" ht="15.75" thickBot="1">
      <c r="A7923" s="6" t="s">
        <v>15099</v>
      </c>
      <c r="B7923" s="5" t="s">
        <v>15100</v>
      </c>
      <c r="C7923" s="3" t="s">
        <v>5</v>
      </c>
    </row>
    <row r="7924" spans="1:3" ht="15.75" thickBot="1">
      <c r="A7924" s="6" t="s">
        <v>15101</v>
      </c>
      <c r="B7924" s="5" t="s">
        <v>15102</v>
      </c>
      <c r="C7924" s="3" t="s">
        <v>5</v>
      </c>
    </row>
    <row r="7925" spans="1:3" ht="15.75" thickBot="1">
      <c r="A7925" s="6" t="s">
        <v>15103</v>
      </c>
      <c r="B7925" s="5" t="s">
        <v>15104</v>
      </c>
      <c r="C7925" s="3" t="s">
        <v>5</v>
      </c>
    </row>
    <row r="7926" spans="1:3" ht="15.75" thickBot="1">
      <c r="A7926" s="6" t="s">
        <v>15105</v>
      </c>
      <c r="B7926" s="5" t="s">
        <v>15106</v>
      </c>
      <c r="C7926" s="3" t="s">
        <v>5</v>
      </c>
    </row>
    <row r="7927" spans="1:3" ht="15.75" thickBot="1">
      <c r="A7927" s="6" t="s">
        <v>15107</v>
      </c>
      <c r="B7927" s="5" t="s">
        <v>15108</v>
      </c>
      <c r="C7927" s="3" t="s">
        <v>5</v>
      </c>
    </row>
    <row r="7928" spans="1:3" ht="15.75" thickBot="1">
      <c r="A7928" s="6" t="s">
        <v>15109</v>
      </c>
      <c r="B7928" s="5" t="s">
        <v>15110</v>
      </c>
      <c r="C7928" s="3" t="s">
        <v>5</v>
      </c>
    </row>
    <row r="7929" spans="1:3" ht="15.75" thickBot="1">
      <c r="A7929" s="6" t="s">
        <v>15111</v>
      </c>
      <c r="B7929" s="5" t="s">
        <v>15112</v>
      </c>
      <c r="C7929" s="3" t="s">
        <v>5</v>
      </c>
    </row>
    <row r="7930" spans="1:3" ht="15.75" thickBot="1">
      <c r="A7930" s="6" t="s">
        <v>15113</v>
      </c>
      <c r="B7930" s="5" t="s">
        <v>15114</v>
      </c>
      <c r="C7930" s="3" t="s">
        <v>5</v>
      </c>
    </row>
    <row r="7931" spans="1:3" ht="15.75" thickBot="1">
      <c r="A7931" s="6" t="s">
        <v>15115</v>
      </c>
      <c r="B7931" s="5" t="s">
        <v>15116</v>
      </c>
      <c r="C7931" s="3" t="s">
        <v>5</v>
      </c>
    </row>
    <row r="7932" spans="1:3" ht="15.75" thickBot="1">
      <c r="A7932" s="6" t="s">
        <v>15117</v>
      </c>
      <c r="B7932" s="5" t="s">
        <v>15118</v>
      </c>
      <c r="C7932" s="3" t="s">
        <v>5</v>
      </c>
    </row>
    <row r="7933" spans="1:3" ht="15.75" thickBot="1">
      <c r="A7933" s="6" t="s">
        <v>15119</v>
      </c>
      <c r="B7933" s="5" t="s">
        <v>15120</v>
      </c>
      <c r="C7933" s="3" t="s">
        <v>5</v>
      </c>
    </row>
    <row r="7934" spans="1:3" ht="15.75" thickBot="1">
      <c r="A7934" s="6" t="s">
        <v>15121</v>
      </c>
      <c r="B7934" s="5" t="s">
        <v>15122</v>
      </c>
      <c r="C7934" s="3" t="s">
        <v>5</v>
      </c>
    </row>
    <row r="7935" spans="1:3" ht="15.75" thickBot="1">
      <c r="A7935" s="6" t="s">
        <v>15123</v>
      </c>
      <c r="B7935" s="5" t="s">
        <v>15124</v>
      </c>
      <c r="C7935" s="3" t="s">
        <v>5</v>
      </c>
    </row>
    <row r="7936" spans="1:3" ht="15.75" thickBot="1">
      <c r="A7936" s="6" t="s">
        <v>15125</v>
      </c>
      <c r="B7936" s="5" t="s">
        <v>15126</v>
      </c>
      <c r="C7936" s="3" t="s">
        <v>5</v>
      </c>
    </row>
    <row r="7937" spans="1:3" ht="15.75" thickBot="1">
      <c r="A7937" s="6" t="s">
        <v>15127</v>
      </c>
      <c r="B7937" s="5" t="s">
        <v>12176</v>
      </c>
      <c r="C7937" s="3" t="s">
        <v>5</v>
      </c>
    </row>
    <row r="7938" spans="1:3" ht="15.75" thickBot="1">
      <c r="A7938" s="6" t="s">
        <v>15128</v>
      </c>
      <c r="B7938" s="5" t="s">
        <v>15129</v>
      </c>
      <c r="C7938" s="3" t="s">
        <v>5</v>
      </c>
    </row>
    <row r="7939" spans="1:3" ht="15.75" thickBot="1">
      <c r="A7939" s="6" t="s">
        <v>15130</v>
      </c>
      <c r="B7939" s="5" t="s">
        <v>15131</v>
      </c>
      <c r="C7939" s="3" t="s">
        <v>5</v>
      </c>
    </row>
    <row r="7940" spans="1:3" ht="15.75" thickBot="1">
      <c r="A7940" s="6" t="s">
        <v>15132</v>
      </c>
      <c r="B7940" s="5" t="s">
        <v>15133</v>
      </c>
      <c r="C7940" s="3" t="s">
        <v>5</v>
      </c>
    </row>
    <row r="7941" spans="1:3" ht="15.75" thickBot="1">
      <c r="A7941" s="6" t="s">
        <v>15134</v>
      </c>
      <c r="B7941" s="5" t="s">
        <v>15135</v>
      </c>
      <c r="C7941" s="3" t="s">
        <v>5</v>
      </c>
    </row>
    <row r="7942" spans="1:3" ht="15.75" thickBot="1">
      <c r="A7942" s="6" t="s">
        <v>15136</v>
      </c>
      <c r="B7942" s="5" t="s">
        <v>15137</v>
      </c>
      <c r="C7942" s="3" t="s">
        <v>5</v>
      </c>
    </row>
    <row r="7943" spans="1:3" ht="15.75" thickBot="1">
      <c r="A7943" s="6" t="s">
        <v>15138</v>
      </c>
      <c r="B7943" s="5" t="s">
        <v>15139</v>
      </c>
      <c r="C7943" s="3" t="s">
        <v>5</v>
      </c>
    </row>
    <row r="7944" spans="1:3" ht="15.75" thickBot="1">
      <c r="A7944" s="6" t="s">
        <v>15140</v>
      </c>
      <c r="B7944" s="5" t="s">
        <v>15141</v>
      </c>
      <c r="C7944" s="3" t="s">
        <v>5</v>
      </c>
    </row>
    <row r="7945" spans="1:3" ht="15.75" thickBot="1">
      <c r="A7945" s="6" t="s">
        <v>15142</v>
      </c>
      <c r="B7945" s="5" t="s">
        <v>15143</v>
      </c>
      <c r="C7945" s="3" t="s">
        <v>5</v>
      </c>
    </row>
    <row r="7946" spans="1:3" ht="15.75" thickBot="1">
      <c r="A7946" s="6" t="s">
        <v>15144</v>
      </c>
      <c r="B7946" s="5" t="s">
        <v>15145</v>
      </c>
      <c r="C7946" s="3" t="s">
        <v>5</v>
      </c>
    </row>
    <row r="7947" spans="1:3" ht="15.75" thickBot="1">
      <c r="A7947" s="6" t="s">
        <v>15146</v>
      </c>
      <c r="B7947" s="5" t="s">
        <v>15147</v>
      </c>
      <c r="C7947" s="3" t="s">
        <v>5</v>
      </c>
    </row>
    <row r="7948" spans="1:3" ht="15.75" thickBot="1">
      <c r="A7948" s="6" t="s">
        <v>15148</v>
      </c>
      <c r="B7948" s="5" t="s">
        <v>15149</v>
      </c>
      <c r="C7948" s="3" t="s">
        <v>5</v>
      </c>
    </row>
    <row r="7949" spans="1:3" ht="15.75" thickBot="1">
      <c r="A7949" s="6" t="s">
        <v>15150</v>
      </c>
      <c r="B7949" s="5" t="s">
        <v>15151</v>
      </c>
      <c r="C7949" s="3" t="s">
        <v>5</v>
      </c>
    </row>
    <row r="7950" spans="1:3">
      <c r="A7950" s="1" t="s">
        <v>15152</v>
      </c>
      <c r="B7950" s="2" t="s">
        <v>15153</v>
      </c>
      <c r="C7950" s="3" t="s">
        <v>5</v>
      </c>
    </row>
    <row r="7951" spans="1:3" ht="15.75" thickBot="1">
      <c r="A7951" s="4"/>
      <c r="B7951" s="5" t="s">
        <v>422</v>
      </c>
      <c r="C7951" s="3" t="s">
        <v>5</v>
      </c>
    </row>
    <row r="7952" spans="1:3" ht="15.75" thickBot="1">
      <c r="A7952" s="6" t="s">
        <v>15154</v>
      </c>
      <c r="B7952" s="5" t="s">
        <v>15155</v>
      </c>
      <c r="C7952" s="3" t="s">
        <v>5</v>
      </c>
    </row>
    <row r="7953" spans="1:3" ht="15.75" thickBot="1">
      <c r="A7953" s="6" t="s">
        <v>15156</v>
      </c>
      <c r="B7953" s="5" t="s">
        <v>15157</v>
      </c>
      <c r="C7953" s="3" t="s">
        <v>5</v>
      </c>
    </row>
    <row r="7954" spans="1:3" ht="15.75" thickBot="1">
      <c r="A7954" s="6" t="s">
        <v>15158</v>
      </c>
      <c r="B7954" s="5" t="s">
        <v>15159</v>
      </c>
      <c r="C7954" s="3" t="s">
        <v>5</v>
      </c>
    </row>
    <row r="7955" spans="1:3" ht="15.75" thickBot="1">
      <c r="A7955" s="6" t="s">
        <v>15160</v>
      </c>
      <c r="B7955" s="5" t="s">
        <v>15161</v>
      </c>
      <c r="C7955" s="3" t="s">
        <v>5</v>
      </c>
    </row>
    <row r="7956" spans="1:3" ht="15.75" thickBot="1">
      <c r="A7956" s="6" t="s">
        <v>15162</v>
      </c>
      <c r="B7956" s="5" t="s">
        <v>15163</v>
      </c>
      <c r="C7956" s="3" t="s">
        <v>5</v>
      </c>
    </row>
    <row r="7957" spans="1:3">
      <c r="A7957" s="1" t="s">
        <v>15164</v>
      </c>
      <c r="B7957" s="2" t="s">
        <v>15165</v>
      </c>
      <c r="C7957" s="3" t="s">
        <v>5</v>
      </c>
    </row>
    <row r="7958" spans="1:3" ht="15.75" thickBot="1">
      <c r="A7958" s="4"/>
      <c r="B7958" s="5" t="s">
        <v>7423</v>
      </c>
      <c r="C7958" s="3" t="s">
        <v>5</v>
      </c>
    </row>
    <row r="7959" spans="1:3" ht="15.75" thickBot="1">
      <c r="A7959" s="6" t="s">
        <v>15166</v>
      </c>
      <c r="B7959" s="5" t="s">
        <v>15167</v>
      </c>
      <c r="C7959" s="3" t="s">
        <v>5</v>
      </c>
    </row>
    <row r="7960" spans="1:3" ht="15.75" thickBot="1">
      <c r="A7960" s="6" t="s">
        <v>15168</v>
      </c>
      <c r="B7960" s="5" t="s">
        <v>15169</v>
      </c>
      <c r="C7960" s="3" t="s">
        <v>5</v>
      </c>
    </row>
    <row r="7961" spans="1:3" ht="15.75" thickBot="1">
      <c r="A7961" s="6" t="s">
        <v>15170</v>
      </c>
      <c r="B7961" s="5" t="s">
        <v>15171</v>
      </c>
      <c r="C7961" s="3" t="s">
        <v>5</v>
      </c>
    </row>
    <row r="7962" spans="1:3" ht="15.75" thickBot="1">
      <c r="A7962" s="6" t="s">
        <v>15172</v>
      </c>
      <c r="B7962" s="5" t="s">
        <v>15173</v>
      </c>
      <c r="C7962" s="3" t="s">
        <v>5</v>
      </c>
    </row>
    <row r="7963" spans="1:3" ht="15.75" thickBot="1">
      <c r="A7963" s="6" t="s">
        <v>15174</v>
      </c>
      <c r="B7963" s="5" t="s">
        <v>15175</v>
      </c>
      <c r="C7963" s="3" t="s">
        <v>5</v>
      </c>
    </row>
    <row r="7964" spans="1:3" ht="15.75" thickBot="1">
      <c r="A7964" s="6" t="s">
        <v>15176</v>
      </c>
      <c r="B7964" s="5" t="s">
        <v>15177</v>
      </c>
      <c r="C7964" s="3" t="s">
        <v>5</v>
      </c>
    </row>
    <row r="7965" spans="1:3" ht="15.75" thickBot="1">
      <c r="A7965" s="6" t="s">
        <v>15178</v>
      </c>
      <c r="B7965" s="5" t="s">
        <v>15179</v>
      </c>
      <c r="C7965" s="3" t="s">
        <v>5</v>
      </c>
    </row>
    <row r="7966" spans="1:3" ht="15.75" thickBot="1">
      <c r="A7966" s="6" t="s">
        <v>15180</v>
      </c>
      <c r="B7966" s="5" t="s">
        <v>15181</v>
      </c>
      <c r="C7966" s="3" t="s">
        <v>5</v>
      </c>
    </row>
    <row r="7967" spans="1:3" ht="15.75" thickBot="1">
      <c r="A7967" s="6" t="s">
        <v>15182</v>
      </c>
      <c r="B7967" s="5" t="s">
        <v>15183</v>
      </c>
      <c r="C7967" s="3" t="s">
        <v>5</v>
      </c>
    </row>
    <row r="7968" spans="1:3">
      <c r="A7968" s="1" t="s">
        <v>15184</v>
      </c>
      <c r="B7968" s="2" t="s">
        <v>15185</v>
      </c>
      <c r="C7968" s="3" t="s">
        <v>5</v>
      </c>
    </row>
    <row r="7969" spans="1:3" ht="15.75" thickBot="1">
      <c r="A7969" s="4"/>
      <c r="B7969" s="5" t="s">
        <v>15186</v>
      </c>
      <c r="C7969" s="3" t="s">
        <v>5</v>
      </c>
    </row>
    <row r="7970" spans="1:3" ht="15.75" thickBot="1">
      <c r="A7970" s="6" t="s">
        <v>15187</v>
      </c>
      <c r="B7970" s="5" t="s">
        <v>15188</v>
      </c>
      <c r="C7970" s="3" t="s">
        <v>5</v>
      </c>
    </row>
    <row r="7971" spans="1:3" ht="15.75" thickBot="1">
      <c r="A7971" s="6" t="s">
        <v>15189</v>
      </c>
      <c r="B7971" s="5" t="s">
        <v>15190</v>
      </c>
      <c r="C7971" s="3" t="s">
        <v>5</v>
      </c>
    </row>
    <row r="7972" spans="1:3" ht="15.75" thickBot="1">
      <c r="A7972" s="6" t="s">
        <v>15191</v>
      </c>
      <c r="B7972" s="5" t="s">
        <v>15192</v>
      </c>
      <c r="C7972" s="3" t="s">
        <v>5</v>
      </c>
    </row>
    <row r="7973" spans="1:3" ht="15.75" thickBot="1">
      <c r="A7973" s="6" t="s">
        <v>15193</v>
      </c>
      <c r="B7973" s="5" t="s">
        <v>15194</v>
      </c>
      <c r="C7973" s="3" t="s">
        <v>5</v>
      </c>
    </row>
    <row r="7974" spans="1:3" ht="15.75" thickBot="1">
      <c r="A7974" s="6" t="s">
        <v>15195</v>
      </c>
      <c r="B7974" s="5" t="s">
        <v>15196</v>
      </c>
      <c r="C7974" s="3" t="s">
        <v>5</v>
      </c>
    </row>
    <row r="7975" spans="1:3" ht="15.75" thickBot="1">
      <c r="A7975" s="6" t="s">
        <v>15197</v>
      </c>
      <c r="B7975" s="5" t="s">
        <v>15198</v>
      </c>
      <c r="C7975" s="3" t="s">
        <v>5</v>
      </c>
    </row>
    <row r="7976" spans="1:3" ht="15.75" thickBot="1">
      <c r="A7976" s="6" t="s">
        <v>15199</v>
      </c>
      <c r="B7976" s="5" t="s">
        <v>15200</v>
      </c>
      <c r="C7976" s="3" t="s">
        <v>5</v>
      </c>
    </row>
    <row r="7977" spans="1:3" ht="15.75" thickBot="1">
      <c r="A7977" s="6" t="s">
        <v>15201</v>
      </c>
      <c r="B7977" s="5" t="s">
        <v>15202</v>
      </c>
      <c r="C7977" s="3" t="s">
        <v>5</v>
      </c>
    </row>
    <row r="7978" spans="1:3" ht="15.75" thickBot="1">
      <c r="A7978" s="6" t="s">
        <v>15203</v>
      </c>
      <c r="B7978" s="5" t="s">
        <v>15204</v>
      </c>
      <c r="C7978" s="3" t="s">
        <v>5</v>
      </c>
    </row>
    <row r="7979" spans="1:3" ht="15.75" thickBot="1">
      <c r="A7979" s="6" t="s">
        <v>15205</v>
      </c>
      <c r="B7979" s="5" t="s">
        <v>15206</v>
      </c>
      <c r="C7979" s="3" t="s">
        <v>5</v>
      </c>
    </row>
    <row r="7980" spans="1:3" ht="15.75" thickBot="1">
      <c r="A7980" s="6" t="s">
        <v>15207</v>
      </c>
      <c r="B7980" s="5" t="s">
        <v>15208</v>
      </c>
      <c r="C7980" s="3" t="s">
        <v>5</v>
      </c>
    </row>
    <row r="7981" spans="1:3" ht="15.75" thickBot="1">
      <c r="A7981" s="6" t="s">
        <v>15209</v>
      </c>
      <c r="B7981" s="5" t="s">
        <v>15210</v>
      </c>
      <c r="C7981" s="3" t="s">
        <v>5</v>
      </c>
    </row>
    <row r="7982" spans="1:3" ht="15.75" thickBot="1">
      <c r="A7982" s="6" t="s">
        <v>15211</v>
      </c>
      <c r="B7982" s="5" t="s">
        <v>15212</v>
      </c>
      <c r="C7982" s="3" t="s">
        <v>5</v>
      </c>
    </row>
    <row r="7983" spans="1:3" ht="15.75" thickBot="1">
      <c r="A7983" s="6" t="s">
        <v>15213</v>
      </c>
      <c r="B7983" s="5" t="s">
        <v>15214</v>
      </c>
      <c r="C7983" s="3" t="s">
        <v>5</v>
      </c>
    </row>
    <row r="7984" spans="1:3" ht="15.75" thickBot="1">
      <c r="A7984" s="6" t="s">
        <v>15215</v>
      </c>
      <c r="B7984" s="5" t="s">
        <v>15216</v>
      </c>
      <c r="C7984" s="3" t="s">
        <v>5</v>
      </c>
    </row>
    <row r="7985" spans="1:3" ht="15.75" thickBot="1">
      <c r="A7985" s="6" t="s">
        <v>15217</v>
      </c>
      <c r="B7985" s="5" t="s">
        <v>15218</v>
      </c>
      <c r="C7985" s="3" t="s">
        <v>5</v>
      </c>
    </row>
    <row r="7986" spans="1:3" ht="15.75" thickBot="1">
      <c r="A7986" s="6" t="s">
        <v>15219</v>
      </c>
      <c r="B7986" s="5" t="s">
        <v>15220</v>
      </c>
      <c r="C7986" s="3" t="s">
        <v>5</v>
      </c>
    </row>
    <row r="7987" spans="1:3" ht="15.75" thickBot="1">
      <c r="A7987" s="6" t="s">
        <v>15221</v>
      </c>
      <c r="B7987" s="5" t="s">
        <v>15222</v>
      </c>
      <c r="C7987" s="3" t="s">
        <v>5</v>
      </c>
    </row>
    <row r="7988" spans="1:3" ht="15.75" thickBot="1">
      <c r="A7988" s="6" t="s">
        <v>15223</v>
      </c>
      <c r="B7988" s="5" t="s">
        <v>15224</v>
      </c>
      <c r="C7988" s="3" t="s">
        <v>5</v>
      </c>
    </row>
    <row r="7989" spans="1:3" ht="15.75" thickBot="1">
      <c r="A7989" s="6" t="s">
        <v>15225</v>
      </c>
      <c r="B7989" s="5" t="s">
        <v>15226</v>
      </c>
      <c r="C7989" s="3" t="s">
        <v>5</v>
      </c>
    </row>
    <row r="7990" spans="1:3" ht="15.75" thickBot="1">
      <c r="A7990" s="6" t="s">
        <v>15227</v>
      </c>
      <c r="B7990" s="5" t="s">
        <v>15228</v>
      </c>
      <c r="C7990" s="3" t="s">
        <v>5</v>
      </c>
    </row>
    <row r="7991" spans="1:3" ht="15.75" thickBot="1">
      <c r="A7991" s="6" t="s">
        <v>15229</v>
      </c>
      <c r="B7991" s="5" t="s">
        <v>15230</v>
      </c>
      <c r="C7991" s="3" t="s">
        <v>5</v>
      </c>
    </row>
    <row r="7992" spans="1:3" ht="15.75" thickBot="1">
      <c r="A7992" s="6" t="s">
        <v>15231</v>
      </c>
      <c r="B7992" s="5" t="s">
        <v>15232</v>
      </c>
      <c r="C7992" s="3" t="s">
        <v>5</v>
      </c>
    </row>
    <row r="7993" spans="1:3" ht="15.75" thickBot="1">
      <c r="A7993" s="6" t="s">
        <v>15233</v>
      </c>
      <c r="B7993" s="5" t="s">
        <v>15234</v>
      </c>
      <c r="C7993" s="3" t="s">
        <v>5</v>
      </c>
    </row>
    <row r="7994" spans="1:3" ht="15.75" thickBot="1">
      <c r="A7994" s="6" t="s">
        <v>15235</v>
      </c>
      <c r="B7994" s="5" t="s">
        <v>15236</v>
      </c>
      <c r="C7994" s="3" t="s">
        <v>5</v>
      </c>
    </row>
    <row r="7995" spans="1:3">
      <c r="A7995" s="1" t="s">
        <v>15237</v>
      </c>
      <c r="B7995" s="2" t="s">
        <v>15238</v>
      </c>
      <c r="C7995" s="3" t="s">
        <v>5</v>
      </c>
    </row>
    <row r="7996" spans="1:3" ht="15.75" thickBot="1">
      <c r="A7996" s="4"/>
      <c r="B7996" s="5" t="s">
        <v>15239</v>
      </c>
      <c r="C7996" s="3" t="s">
        <v>5</v>
      </c>
    </row>
    <row r="7997" spans="1:3" ht="15.75" thickBot="1">
      <c r="A7997" s="6" t="s">
        <v>15240</v>
      </c>
      <c r="B7997" s="5" t="s">
        <v>15241</v>
      </c>
      <c r="C7997" s="3" t="s">
        <v>5</v>
      </c>
    </row>
    <row r="7998" spans="1:3" ht="15.75" thickBot="1">
      <c r="A7998" s="6" t="s">
        <v>15242</v>
      </c>
      <c r="B7998" s="5" t="s">
        <v>15243</v>
      </c>
      <c r="C7998" s="3" t="s">
        <v>5</v>
      </c>
    </row>
    <row r="7999" spans="1:3" ht="15.75" thickBot="1">
      <c r="A7999" s="6" t="s">
        <v>15244</v>
      </c>
      <c r="B7999" s="5" t="s">
        <v>15245</v>
      </c>
      <c r="C7999" s="3" t="s">
        <v>5</v>
      </c>
    </row>
    <row r="8000" spans="1:3" ht="15.75" thickBot="1">
      <c r="A8000" s="6" t="s">
        <v>15246</v>
      </c>
      <c r="B8000" s="5" t="s">
        <v>15247</v>
      </c>
      <c r="C8000" s="3" t="s">
        <v>5</v>
      </c>
    </row>
    <row r="8001" spans="1:3" ht="15.75" thickBot="1">
      <c r="A8001" s="6" t="s">
        <v>15248</v>
      </c>
      <c r="B8001" s="5" t="s">
        <v>15249</v>
      </c>
      <c r="C8001" s="3" t="s">
        <v>5</v>
      </c>
    </row>
    <row r="8002" spans="1:3" ht="15.75" thickBot="1">
      <c r="A8002" s="6" t="s">
        <v>15250</v>
      </c>
      <c r="B8002" s="5" t="s">
        <v>15251</v>
      </c>
      <c r="C8002" s="3" t="s">
        <v>5</v>
      </c>
    </row>
    <row r="8003" spans="1:3" ht="15.75" thickBot="1">
      <c r="A8003" s="6" t="s">
        <v>15252</v>
      </c>
      <c r="B8003" s="5" t="s">
        <v>15253</v>
      </c>
      <c r="C8003" s="3" t="s">
        <v>5</v>
      </c>
    </row>
    <row r="8004" spans="1:3" ht="15.75" thickBot="1">
      <c r="A8004" s="6" t="s">
        <v>15254</v>
      </c>
      <c r="B8004" s="5" t="s">
        <v>15255</v>
      </c>
      <c r="C8004" s="3" t="s">
        <v>5</v>
      </c>
    </row>
    <row r="8005" spans="1:3" ht="15.75" thickBot="1">
      <c r="A8005" s="6" t="s">
        <v>15256</v>
      </c>
      <c r="B8005" s="5" t="s">
        <v>15257</v>
      </c>
      <c r="C8005" s="3" t="s">
        <v>5</v>
      </c>
    </row>
    <row r="8006" spans="1:3" ht="15.75" thickBot="1">
      <c r="A8006" s="6" t="s">
        <v>15258</v>
      </c>
      <c r="B8006" s="5" t="s">
        <v>15259</v>
      </c>
      <c r="C8006" s="3" t="s">
        <v>5</v>
      </c>
    </row>
    <row r="8007" spans="1:3" ht="15.75" thickBot="1">
      <c r="A8007" s="6" t="s">
        <v>15260</v>
      </c>
      <c r="B8007" s="5" t="s">
        <v>15261</v>
      </c>
      <c r="C8007" s="3" t="s">
        <v>5</v>
      </c>
    </row>
    <row r="8008" spans="1:3" ht="15.75" thickBot="1">
      <c r="A8008" s="6" t="s">
        <v>15262</v>
      </c>
      <c r="B8008" s="5" t="s">
        <v>15263</v>
      </c>
      <c r="C8008" s="3" t="s">
        <v>5</v>
      </c>
    </row>
    <row r="8009" spans="1:3" ht="15.75" thickBot="1">
      <c r="A8009" s="6" t="s">
        <v>15264</v>
      </c>
      <c r="B8009" s="5" t="s">
        <v>15265</v>
      </c>
      <c r="C8009" s="3" t="s">
        <v>5</v>
      </c>
    </row>
    <row r="8010" spans="1:3" ht="15.75" thickBot="1">
      <c r="A8010" s="6" t="s">
        <v>15266</v>
      </c>
      <c r="B8010" s="5" t="s">
        <v>15267</v>
      </c>
      <c r="C8010" s="3" t="s">
        <v>5</v>
      </c>
    </row>
    <row r="8011" spans="1:3" ht="15.75" thickBot="1">
      <c r="A8011" s="6" t="s">
        <v>15268</v>
      </c>
      <c r="B8011" s="5" t="s">
        <v>15269</v>
      </c>
      <c r="C8011" s="3" t="s">
        <v>5</v>
      </c>
    </row>
    <row r="8012" spans="1:3" ht="15.75" thickBot="1">
      <c r="A8012" s="6" t="s">
        <v>15270</v>
      </c>
      <c r="B8012" s="5" t="s">
        <v>15271</v>
      </c>
      <c r="C8012" s="3" t="s">
        <v>5</v>
      </c>
    </row>
    <row r="8013" spans="1:3" ht="15.75" thickBot="1">
      <c r="A8013" s="6" t="s">
        <v>15272</v>
      </c>
      <c r="B8013" s="5" t="s">
        <v>15273</v>
      </c>
      <c r="C8013" s="3" t="s">
        <v>5</v>
      </c>
    </row>
    <row r="8014" spans="1:3" ht="15.75" thickBot="1">
      <c r="A8014" s="6" t="s">
        <v>15274</v>
      </c>
      <c r="B8014" s="5" t="s">
        <v>15275</v>
      </c>
      <c r="C8014" s="3" t="s">
        <v>5</v>
      </c>
    </row>
    <row r="8015" spans="1:3" ht="15.75" thickBot="1">
      <c r="A8015" s="6" t="s">
        <v>15276</v>
      </c>
      <c r="B8015" s="5" t="s">
        <v>15277</v>
      </c>
      <c r="C8015" s="3" t="s">
        <v>5</v>
      </c>
    </row>
    <row r="8016" spans="1:3" ht="15.75" thickBot="1">
      <c r="A8016" s="6" t="s">
        <v>15278</v>
      </c>
      <c r="B8016" s="5" t="s">
        <v>15279</v>
      </c>
      <c r="C8016" s="3" t="s">
        <v>5</v>
      </c>
    </row>
    <row r="8017" spans="1:3" ht="15.75" thickBot="1">
      <c r="A8017" s="6" t="s">
        <v>15280</v>
      </c>
      <c r="B8017" s="5" t="s">
        <v>15281</v>
      </c>
      <c r="C8017" s="3" t="s">
        <v>5</v>
      </c>
    </row>
    <row r="8018" spans="1:3" ht="15.75" thickBot="1">
      <c r="A8018" s="6" t="s">
        <v>15282</v>
      </c>
      <c r="B8018" s="5" t="s">
        <v>15283</v>
      </c>
      <c r="C8018" s="3" t="s">
        <v>5</v>
      </c>
    </row>
    <row r="8019" spans="1:3" ht="15.75" thickBot="1">
      <c r="A8019" s="6" t="s">
        <v>15284</v>
      </c>
      <c r="B8019" s="5" t="s">
        <v>15285</v>
      </c>
      <c r="C8019" s="3" t="s">
        <v>5</v>
      </c>
    </row>
    <row r="8020" spans="1:3" ht="15.75" thickBot="1">
      <c r="A8020" s="6" t="s">
        <v>15286</v>
      </c>
      <c r="B8020" s="5" t="s">
        <v>15287</v>
      </c>
      <c r="C8020" s="3" t="s">
        <v>5</v>
      </c>
    </row>
    <row r="8021" spans="1:3" ht="15.75" thickBot="1">
      <c r="A8021" s="6" t="s">
        <v>15288</v>
      </c>
      <c r="B8021" s="5" t="s">
        <v>15289</v>
      </c>
      <c r="C8021" s="3" t="s">
        <v>5</v>
      </c>
    </row>
    <row r="8022" spans="1:3" ht="15.75" thickBot="1">
      <c r="A8022" s="6" t="s">
        <v>15290</v>
      </c>
      <c r="B8022" s="5" t="s">
        <v>15291</v>
      </c>
      <c r="C8022" s="3" t="s">
        <v>5</v>
      </c>
    </row>
    <row r="8023" spans="1:3" ht="15.75" thickBot="1">
      <c r="A8023" s="6" t="s">
        <v>15292</v>
      </c>
      <c r="B8023" s="5" t="s">
        <v>15293</v>
      </c>
      <c r="C8023" s="3" t="s">
        <v>5</v>
      </c>
    </row>
    <row r="8024" spans="1:3" ht="15.75" thickBot="1">
      <c r="A8024" s="6" t="s">
        <v>15294</v>
      </c>
      <c r="B8024" s="5" t="s">
        <v>15295</v>
      </c>
      <c r="C8024" s="3" t="s">
        <v>5</v>
      </c>
    </row>
    <row r="8025" spans="1:3" ht="15.75" thickBot="1">
      <c r="A8025" s="6" t="s">
        <v>15296</v>
      </c>
      <c r="B8025" s="5" t="s">
        <v>15297</v>
      </c>
      <c r="C8025" s="3" t="s">
        <v>5</v>
      </c>
    </row>
    <row r="8026" spans="1:3" ht="15.75" thickBot="1">
      <c r="A8026" s="6" t="s">
        <v>15298</v>
      </c>
      <c r="B8026" s="5" t="s">
        <v>15299</v>
      </c>
      <c r="C8026" s="3" t="s">
        <v>5</v>
      </c>
    </row>
    <row r="8027" spans="1:3" ht="15.75" thickBot="1">
      <c r="A8027" s="6" t="s">
        <v>15300</v>
      </c>
      <c r="B8027" s="5" t="s">
        <v>15301</v>
      </c>
      <c r="C8027" s="3" t="s">
        <v>5</v>
      </c>
    </row>
    <row r="8028" spans="1:3" ht="15.75" thickBot="1">
      <c r="A8028" s="6" t="s">
        <v>15302</v>
      </c>
      <c r="B8028" s="5" t="s">
        <v>15303</v>
      </c>
      <c r="C8028" s="3" t="s">
        <v>5</v>
      </c>
    </row>
    <row r="8029" spans="1:3" ht="15.75" thickBot="1">
      <c r="A8029" s="6" t="s">
        <v>15304</v>
      </c>
      <c r="B8029" s="5" t="s">
        <v>15305</v>
      </c>
      <c r="C8029" s="3" t="s">
        <v>5</v>
      </c>
    </row>
    <row r="8030" spans="1:3" ht="15.75" thickBot="1">
      <c r="A8030" s="6" t="s">
        <v>15306</v>
      </c>
      <c r="B8030" s="5" t="s">
        <v>15307</v>
      </c>
      <c r="C8030" s="3" t="s">
        <v>5</v>
      </c>
    </row>
    <row r="8031" spans="1:3" ht="15.75" thickBot="1">
      <c r="A8031" s="6" t="s">
        <v>15308</v>
      </c>
      <c r="B8031" s="5" t="s">
        <v>15309</v>
      </c>
      <c r="C8031" s="3" t="s">
        <v>5</v>
      </c>
    </row>
    <row r="8032" spans="1:3" ht="15.75" thickBot="1">
      <c r="A8032" s="6" t="s">
        <v>15310</v>
      </c>
      <c r="B8032" s="5" t="s">
        <v>15311</v>
      </c>
      <c r="C8032" s="3" t="s">
        <v>5</v>
      </c>
    </row>
    <row r="8033" spans="1:3" ht="15.75" thickBot="1">
      <c r="A8033" s="6" t="s">
        <v>15312</v>
      </c>
      <c r="B8033" s="5" t="s">
        <v>15313</v>
      </c>
      <c r="C8033" s="3" t="s">
        <v>5</v>
      </c>
    </row>
    <row r="8034" spans="1:3" ht="15.75" thickBot="1">
      <c r="A8034" s="6" t="s">
        <v>15314</v>
      </c>
      <c r="B8034" s="5" t="s">
        <v>15315</v>
      </c>
      <c r="C8034" s="3" t="s">
        <v>5</v>
      </c>
    </row>
    <row r="8035" spans="1:3" ht="15.75" thickBot="1">
      <c r="A8035" s="6" t="s">
        <v>15316</v>
      </c>
      <c r="B8035" s="5" t="s">
        <v>15317</v>
      </c>
      <c r="C8035" s="3" t="s">
        <v>5</v>
      </c>
    </row>
    <row r="8036" spans="1:3" ht="15.75" thickBot="1">
      <c r="A8036" s="6" t="s">
        <v>15318</v>
      </c>
      <c r="B8036" s="5" t="s">
        <v>15319</v>
      </c>
      <c r="C8036" s="3" t="s">
        <v>5</v>
      </c>
    </row>
    <row r="8037" spans="1:3" ht="15.75" thickBot="1">
      <c r="A8037" s="6" t="s">
        <v>15320</v>
      </c>
      <c r="B8037" s="5" t="s">
        <v>15321</v>
      </c>
      <c r="C8037" s="3" t="s">
        <v>5</v>
      </c>
    </row>
    <row r="8038" spans="1:3" ht="15.75" thickBot="1">
      <c r="A8038" s="6" t="s">
        <v>15322</v>
      </c>
      <c r="B8038" s="5" t="s">
        <v>15323</v>
      </c>
      <c r="C8038" s="3" t="s">
        <v>5</v>
      </c>
    </row>
    <row r="8039" spans="1:3" ht="15.75" thickBot="1">
      <c r="A8039" s="6" t="s">
        <v>15324</v>
      </c>
      <c r="B8039" s="5" t="s">
        <v>15325</v>
      </c>
      <c r="C8039" s="3" t="s">
        <v>5</v>
      </c>
    </row>
    <row r="8040" spans="1:3" ht="26.25" thickBot="1">
      <c r="A8040" s="6" t="s">
        <v>15326</v>
      </c>
      <c r="B8040" s="5" t="s">
        <v>15327</v>
      </c>
      <c r="C8040" s="3" t="s">
        <v>5</v>
      </c>
    </row>
    <row r="8041" spans="1:3" ht="15.75" thickBot="1">
      <c r="A8041" s="6" t="s">
        <v>15328</v>
      </c>
      <c r="B8041" s="5" t="s">
        <v>15329</v>
      </c>
      <c r="C8041" s="3" t="s">
        <v>5</v>
      </c>
    </row>
    <row r="8042" spans="1:3" ht="15.75" thickBot="1">
      <c r="A8042" s="6" t="s">
        <v>15330</v>
      </c>
      <c r="B8042" s="5" t="s">
        <v>15331</v>
      </c>
      <c r="C8042" s="3" t="s">
        <v>5</v>
      </c>
    </row>
    <row r="8043" spans="1:3" ht="15.75" thickBot="1">
      <c r="A8043" s="6" t="s">
        <v>15332</v>
      </c>
      <c r="B8043" s="5" t="s">
        <v>15333</v>
      </c>
      <c r="C8043" s="3" t="s">
        <v>5</v>
      </c>
    </row>
    <row r="8044" spans="1:3" ht="15.75" thickBot="1">
      <c r="A8044" s="6" t="s">
        <v>15334</v>
      </c>
      <c r="B8044" s="5" t="s">
        <v>15335</v>
      </c>
      <c r="C8044" s="3" t="s">
        <v>5</v>
      </c>
    </row>
    <row r="8045" spans="1:3" ht="15.75" thickBot="1">
      <c r="A8045" s="6" t="s">
        <v>15336</v>
      </c>
      <c r="B8045" s="5" t="s">
        <v>15337</v>
      </c>
      <c r="C8045" s="3" t="s">
        <v>5</v>
      </c>
    </row>
    <row r="8046" spans="1:3" ht="15.75" thickBot="1">
      <c r="A8046" s="6" t="s">
        <v>15338</v>
      </c>
      <c r="B8046" s="5" t="s">
        <v>15339</v>
      </c>
      <c r="C8046" s="3" t="s">
        <v>5</v>
      </c>
    </row>
    <row r="8047" spans="1:3" ht="15.75" thickBot="1">
      <c r="A8047" s="6" t="s">
        <v>15340</v>
      </c>
      <c r="B8047" s="5" t="s">
        <v>15341</v>
      </c>
      <c r="C8047" s="3" t="s">
        <v>5</v>
      </c>
    </row>
    <row r="8048" spans="1:3" ht="15.75" thickBot="1">
      <c r="A8048" s="6" t="s">
        <v>15342</v>
      </c>
      <c r="B8048" s="5" t="s">
        <v>15343</v>
      </c>
      <c r="C8048" s="3" t="s">
        <v>5</v>
      </c>
    </row>
    <row r="8049" spans="1:3" ht="15.75" thickBot="1">
      <c r="A8049" s="6" t="s">
        <v>15344</v>
      </c>
      <c r="B8049" s="5" t="s">
        <v>15345</v>
      </c>
      <c r="C8049" s="3" t="s">
        <v>5</v>
      </c>
    </row>
    <row r="8050" spans="1:3" ht="15.75" thickBot="1">
      <c r="A8050" s="6" t="s">
        <v>15346</v>
      </c>
      <c r="B8050" s="5" t="s">
        <v>15347</v>
      </c>
      <c r="C8050" s="3" t="s">
        <v>5</v>
      </c>
    </row>
    <row r="8051" spans="1:3" ht="15.75" thickBot="1">
      <c r="A8051" s="6" t="s">
        <v>15348</v>
      </c>
      <c r="B8051" s="5" t="s">
        <v>15349</v>
      </c>
      <c r="C8051" s="3" t="s">
        <v>5</v>
      </c>
    </row>
    <row r="8052" spans="1:3" ht="15.75" thickBot="1">
      <c r="A8052" s="6" t="s">
        <v>15350</v>
      </c>
      <c r="B8052" s="5" t="s">
        <v>15351</v>
      </c>
      <c r="C8052" s="3" t="s">
        <v>5</v>
      </c>
    </row>
    <row r="8053" spans="1:3" ht="15.75" thickBot="1">
      <c r="A8053" s="6" t="s">
        <v>15352</v>
      </c>
      <c r="B8053" s="5" t="s">
        <v>15353</v>
      </c>
      <c r="C8053" s="3" t="s">
        <v>5</v>
      </c>
    </row>
    <row r="8054" spans="1:3" ht="15.75" thickBot="1">
      <c r="A8054" s="6" t="s">
        <v>15354</v>
      </c>
      <c r="B8054" s="5" t="s">
        <v>15355</v>
      </c>
      <c r="C8054" s="3" t="s">
        <v>5</v>
      </c>
    </row>
    <row r="8055" spans="1:3" ht="15.75" thickBot="1">
      <c r="A8055" s="6" t="s">
        <v>15356</v>
      </c>
      <c r="B8055" s="5" t="e">
        <f xml:space="preserve"> diverter switch</f>
        <v>#NAME?</v>
      </c>
      <c r="C8055" s="3" t="s">
        <v>5</v>
      </c>
    </row>
    <row r="8056" spans="1:3" ht="15.75" thickBot="1">
      <c r="A8056" s="6" t="s">
        <v>15357</v>
      </c>
      <c r="B8056" s="5" t="s">
        <v>15358</v>
      </c>
      <c r="C8056" s="3" t="s">
        <v>5</v>
      </c>
    </row>
    <row r="8057" spans="1:3" ht="15.75" thickBot="1">
      <c r="A8057" s="6" t="s">
        <v>15359</v>
      </c>
      <c r="B8057" s="5" t="s">
        <v>12043</v>
      </c>
      <c r="C8057" s="3" t="s">
        <v>5</v>
      </c>
    </row>
    <row r="8058" spans="1:3" ht="15.75" thickBot="1">
      <c r="A8058" s="6" t="s">
        <v>15360</v>
      </c>
      <c r="B8058" s="5" t="s">
        <v>15361</v>
      </c>
      <c r="C8058" s="3" t="s">
        <v>5</v>
      </c>
    </row>
    <row r="8059" spans="1:3" ht="15.75" thickBot="1">
      <c r="A8059" s="6" t="s">
        <v>15362</v>
      </c>
      <c r="B8059" s="5" t="s">
        <v>15363</v>
      </c>
      <c r="C8059" s="3" t="s">
        <v>5</v>
      </c>
    </row>
    <row r="8060" spans="1:3" ht="15.75" thickBot="1">
      <c r="A8060" s="6" t="s">
        <v>15364</v>
      </c>
      <c r="B8060" s="5" t="s">
        <v>15365</v>
      </c>
      <c r="C8060" s="3" t="s">
        <v>5</v>
      </c>
    </row>
    <row r="8061" spans="1:3" ht="15.75" thickBot="1">
      <c r="A8061" s="6" t="s">
        <v>15366</v>
      </c>
      <c r="B8061" s="5" t="s">
        <v>15367</v>
      </c>
      <c r="C8061" s="3" t="s">
        <v>5</v>
      </c>
    </row>
    <row r="8062" spans="1:3" ht="15.75" thickBot="1">
      <c r="A8062" s="6" t="s">
        <v>15368</v>
      </c>
      <c r="B8062" s="5" t="s">
        <v>15369</v>
      </c>
      <c r="C8062" s="3" t="s">
        <v>5</v>
      </c>
    </row>
    <row r="8063" spans="1:3" ht="15.75" thickBot="1">
      <c r="A8063" s="6" t="s">
        <v>15370</v>
      </c>
      <c r="B8063" s="5" t="s">
        <v>15371</v>
      </c>
      <c r="C8063" s="3" t="s">
        <v>5</v>
      </c>
    </row>
    <row r="8064" spans="1:3" ht="15.75" thickBot="1">
      <c r="A8064" s="6" t="s">
        <v>15372</v>
      </c>
      <c r="B8064" s="5" t="s">
        <v>15373</v>
      </c>
      <c r="C8064" s="3" t="s">
        <v>5</v>
      </c>
    </row>
    <row r="8065" spans="1:3" ht="15.75" thickBot="1">
      <c r="A8065" s="6" t="s">
        <v>15374</v>
      </c>
      <c r="B8065" s="5" t="s">
        <v>15375</v>
      </c>
      <c r="C8065" s="3" t="s">
        <v>5</v>
      </c>
    </row>
    <row r="8066" spans="1:3" ht="15.75" thickBot="1">
      <c r="A8066" s="6" t="s">
        <v>15376</v>
      </c>
      <c r="B8066" s="5" t="s">
        <v>15377</v>
      </c>
      <c r="C8066" s="3" t="s">
        <v>5</v>
      </c>
    </row>
    <row r="8067" spans="1:3" ht="15.75" thickBot="1">
      <c r="A8067" s="6" t="s">
        <v>15378</v>
      </c>
      <c r="B8067" s="5" t="s">
        <v>15379</v>
      </c>
      <c r="C8067" s="3" t="s">
        <v>5</v>
      </c>
    </row>
    <row r="8068" spans="1:3" ht="15.75" thickBot="1">
      <c r="A8068" s="6" t="s">
        <v>15380</v>
      </c>
      <c r="B8068" s="5" t="s">
        <v>15381</v>
      </c>
      <c r="C8068" s="3" t="s">
        <v>5</v>
      </c>
    </row>
    <row r="8069" spans="1:3" ht="15.75" thickBot="1">
      <c r="A8069" s="6" t="s">
        <v>15382</v>
      </c>
      <c r="B8069" s="5" t="s">
        <v>15383</v>
      </c>
      <c r="C8069" s="3" t="s">
        <v>5</v>
      </c>
    </row>
    <row r="8070" spans="1:3" ht="15.75" thickBot="1">
      <c r="A8070" s="6" t="s">
        <v>15384</v>
      </c>
      <c r="B8070" s="5" t="s">
        <v>15385</v>
      </c>
      <c r="C8070" s="3" t="s">
        <v>5</v>
      </c>
    </row>
    <row r="8071" spans="1:3" ht="15.75" thickBot="1">
      <c r="A8071" s="6" t="s">
        <v>15386</v>
      </c>
      <c r="B8071" s="5" t="s">
        <v>15387</v>
      </c>
      <c r="C8071" s="3" t="s">
        <v>5</v>
      </c>
    </row>
    <row r="8072" spans="1:3" ht="15.75" thickBot="1">
      <c r="A8072" s="6" t="s">
        <v>15388</v>
      </c>
      <c r="B8072" s="5" t="s">
        <v>15389</v>
      </c>
      <c r="C8072" s="3" t="s">
        <v>5</v>
      </c>
    </row>
    <row r="8073" spans="1:3" ht="15.75" thickBot="1">
      <c r="A8073" s="6" t="s">
        <v>15390</v>
      </c>
      <c r="B8073" s="5" t="s">
        <v>15391</v>
      </c>
      <c r="C8073" s="3" t="s">
        <v>5</v>
      </c>
    </row>
    <row r="8074" spans="1:3" ht="15.75" thickBot="1">
      <c r="A8074" s="6" t="s">
        <v>15392</v>
      </c>
      <c r="B8074" s="5" t="s">
        <v>15393</v>
      </c>
      <c r="C8074" s="3" t="s">
        <v>5</v>
      </c>
    </row>
    <row r="8075" spans="1:3" ht="15.75" thickBot="1">
      <c r="A8075" s="6" t="s">
        <v>15394</v>
      </c>
      <c r="B8075" s="5" t="s">
        <v>15395</v>
      </c>
      <c r="C8075" s="3" t="s">
        <v>5</v>
      </c>
    </row>
    <row r="8076" spans="1:3" ht="15.75" thickBot="1">
      <c r="A8076" s="6" t="s">
        <v>15396</v>
      </c>
      <c r="B8076" s="5" t="s">
        <v>15397</v>
      </c>
      <c r="C8076" s="3" t="s">
        <v>5</v>
      </c>
    </row>
    <row r="8077" spans="1:3" ht="15.75" thickBot="1">
      <c r="A8077" s="6" t="s">
        <v>15398</v>
      </c>
      <c r="B8077" s="5" t="s">
        <v>15399</v>
      </c>
      <c r="C8077" s="3" t="s">
        <v>5</v>
      </c>
    </row>
    <row r="8078" spans="1:3" ht="15.75" thickBot="1">
      <c r="A8078" s="6" t="s">
        <v>15400</v>
      </c>
      <c r="B8078" s="5" t="s">
        <v>15401</v>
      </c>
      <c r="C8078" s="3" t="s">
        <v>5</v>
      </c>
    </row>
    <row r="8079" spans="1:3" ht="15.75" thickBot="1">
      <c r="A8079" s="6" t="s">
        <v>15402</v>
      </c>
      <c r="B8079" s="5" t="s">
        <v>15403</v>
      </c>
      <c r="C8079" s="3" t="s">
        <v>5</v>
      </c>
    </row>
    <row r="8080" spans="1:3" ht="15.75" thickBot="1">
      <c r="A8080" s="6" t="s">
        <v>15404</v>
      </c>
      <c r="B8080" s="5" t="s">
        <v>15405</v>
      </c>
      <c r="C8080" s="3" t="s">
        <v>5</v>
      </c>
    </row>
    <row r="8081" spans="1:3" ht="15.75" thickBot="1">
      <c r="A8081" s="6" t="s">
        <v>15406</v>
      </c>
      <c r="B8081" s="5" t="s">
        <v>15407</v>
      </c>
      <c r="C8081" s="3" t="s">
        <v>5</v>
      </c>
    </row>
    <row r="8082" spans="1:3" ht="15.75" thickBot="1">
      <c r="A8082" s="6" t="s">
        <v>15408</v>
      </c>
      <c r="B8082" s="5" t="s">
        <v>15409</v>
      </c>
      <c r="C8082" s="3" t="s">
        <v>5</v>
      </c>
    </row>
    <row r="8083" spans="1:3" ht="15.75" thickBot="1">
      <c r="A8083" s="6" t="s">
        <v>15410</v>
      </c>
      <c r="B8083" s="5" t="s">
        <v>15411</v>
      </c>
      <c r="C8083" s="3" t="s">
        <v>5</v>
      </c>
    </row>
    <row r="8084" spans="1:3" ht="15.75" thickBot="1">
      <c r="A8084" s="6" t="s">
        <v>15412</v>
      </c>
      <c r="B8084" s="5" t="s">
        <v>15413</v>
      </c>
      <c r="C8084" s="3" t="s">
        <v>5</v>
      </c>
    </row>
    <row r="8085" spans="1:3" ht="15.75" thickBot="1">
      <c r="A8085" s="6" t="s">
        <v>15414</v>
      </c>
      <c r="B8085" s="5" t="s">
        <v>15415</v>
      </c>
      <c r="C8085" s="3" t="s">
        <v>5</v>
      </c>
    </row>
    <row r="8086" spans="1:3" ht="15.75" thickBot="1">
      <c r="A8086" s="6" t="s">
        <v>15416</v>
      </c>
      <c r="B8086" s="5" t="s">
        <v>15417</v>
      </c>
      <c r="C8086" s="3" t="s">
        <v>5</v>
      </c>
    </row>
    <row r="8087" spans="1:3" ht="15.75" thickBot="1">
      <c r="A8087" s="6" t="s">
        <v>15418</v>
      </c>
      <c r="B8087" s="5" t="s">
        <v>15419</v>
      </c>
      <c r="C8087" s="3" t="s">
        <v>5</v>
      </c>
    </row>
    <row r="8088" spans="1:3" ht="15.75" thickBot="1">
      <c r="A8088" s="6" t="s">
        <v>15420</v>
      </c>
      <c r="B8088" s="5" t="s">
        <v>15421</v>
      </c>
      <c r="C8088" s="3" t="s">
        <v>5</v>
      </c>
    </row>
    <row r="8089" spans="1:3" ht="15.75" thickBot="1">
      <c r="A8089" s="6" t="s">
        <v>15422</v>
      </c>
      <c r="B8089" s="5" t="s">
        <v>15423</v>
      </c>
      <c r="C8089" s="3" t="s">
        <v>5</v>
      </c>
    </row>
    <row r="8090" spans="1:3" ht="15.75" thickBot="1">
      <c r="A8090" s="6" t="s">
        <v>15424</v>
      </c>
      <c r="B8090" s="5" t="s">
        <v>15425</v>
      </c>
      <c r="C8090" s="3" t="s">
        <v>5</v>
      </c>
    </row>
    <row r="8091" spans="1:3" ht="15.75" thickBot="1">
      <c r="A8091" s="6" t="s">
        <v>15426</v>
      </c>
      <c r="B8091" s="5" t="s">
        <v>15427</v>
      </c>
      <c r="C8091" s="3" t="s">
        <v>5</v>
      </c>
    </row>
    <row r="8092" spans="1:3" ht="15.75" thickBot="1">
      <c r="A8092" s="6" t="s">
        <v>15428</v>
      </c>
      <c r="B8092" s="5" t="s">
        <v>15429</v>
      </c>
      <c r="C8092" s="3" t="s">
        <v>5</v>
      </c>
    </row>
    <row r="8093" spans="1:3" ht="15.75" thickBot="1">
      <c r="A8093" s="6" t="s">
        <v>15430</v>
      </c>
      <c r="B8093" s="5" t="s">
        <v>15431</v>
      </c>
      <c r="C8093" s="3" t="s">
        <v>5</v>
      </c>
    </row>
    <row r="8094" spans="1:3" ht="15.75" thickBot="1">
      <c r="A8094" s="6" t="s">
        <v>15432</v>
      </c>
      <c r="B8094" s="5" t="s">
        <v>15433</v>
      </c>
      <c r="C8094" s="3" t="s">
        <v>5</v>
      </c>
    </row>
    <row r="8095" spans="1:3" ht="15.75" thickBot="1">
      <c r="A8095" s="6" t="s">
        <v>15434</v>
      </c>
      <c r="B8095" s="5" t="s">
        <v>15435</v>
      </c>
      <c r="C8095" s="3" t="s">
        <v>5</v>
      </c>
    </row>
    <row r="8096" spans="1:3" ht="15.75" thickBot="1">
      <c r="A8096" s="6" t="s">
        <v>15436</v>
      </c>
      <c r="B8096" s="5" t="s">
        <v>15437</v>
      </c>
      <c r="C8096" s="3" t="s">
        <v>5</v>
      </c>
    </row>
    <row r="8097" spans="1:3" ht="15.75" thickBot="1">
      <c r="A8097" s="6" t="s">
        <v>15438</v>
      </c>
      <c r="B8097" s="5" t="s">
        <v>15439</v>
      </c>
      <c r="C8097" s="3" t="s">
        <v>5</v>
      </c>
    </row>
    <row r="8098" spans="1:3" ht="15.75" thickBot="1">
      <c r="A8098" s="6" t="s">
        <v>15440</v>
      </c>
      <c r="B8098" s="5" t="s">
        <v>15407</v>
      </c>
      <c r="C8098" s="3" t="s">
        <v>5</v>
      </c>
    </row>
    <row r="8099" spans="1:3" ht="15.75" thickBot="1">
      <c r="A8099" s="6" t="s">
        <v>15441</v>
      </c>
      <c r="B8099" s="5" t="s">
        <v>15442</v>
      </c>
      <c r="C8099" s="3" t="s">
        <v>5</v>
      </c>
    </row>
    <row r="8100" spans="1:3" ht="15.75" thickBot="1">
      <c r="A8100" s="6" t="s">
        <v>15443</v>
      </c>
      <c r="B8100" s="5" t="s">
        <v>15444</v>
      </c>
      <c r="C8100" s="3" t="s">
        <v>5</v>
      </c>
    </row>
    <row r="8101" spans="1:3" ht="15.75" thickBot="1">
      <c r="A8101" s="6" t="s">
        <v>15445</v>
      </c>
      <c r="B8101" s="5" t="s">
        <v>15446</v>
      </c>
      <c r="C8101" s="3" t="s">
        <v>5</v>
      </c>
    </row>
    <row r="8102" spans="1:3" ht="15.75" thickBot="1">
      <c r="A8102" s="6" t="s">
        <v>15447</v>
      </c>
      <c r="B8102" s="5" t="s">
        <v>15361</v>
      </c>
      <c r="C8102" s="3" t="s">
        <v>5</v>
      </c>
    </row>
    <row r="8103" spans="1:3" ht="15.75" thickBot="1">
      <c r="A8103" s="6" t="s">
        <v>15448</v>
      </c>
      <c r="B8103" s="5" t="s">
        <v>15449</v>
      </c>
      <c r="C8103" s="3" t="s">
        <v>5</v>
      </c>
    </row>
    <row r="8104" spans="1:3" ht="15.75" thickBot="1">
      <c r="A8104" s="6" t="s">
        <v>15450</v>
      </c>
      <c r="B8104" s="5" t="s">
        <v>15451</v>
      </c>
      <c r="C8104" s="3" t="s">
        <v>5</v>
      </c>
    </row>
    <row r="8105" spans="1:3" ht="15.75" thickBot="1">
      <c r="A8105" s="6" t="s">
        <v>15452</v>
      </c>
      <c r="B8105" s="5" t="s">
        <v>15453</v>
      </c>
      <c r="C8105" s="3" t="s">
        <v>5</v>
      </c>
    </row>
    <row r="8106" spans="1:3" ht="26.25" thickBot="1">
      <c r="A8106" s="6" t="s">
        <v>15454</v>
      </c>
      <c r="B8106" s="5" t="s">
        <v>15455</v>
      </c>
      <c r="C8106" s="3" t="s">
        <v>5</v>
      </c>
    </row>
    <row r="8107" spans="1:3" ht="15.75" thickBot="1">
      <c r="A8107" s="6" t="s">
        <v>15456</v>
      </c>
      <c r="B8107" s="5" t="s">
        <v>15457</v>
      </c>
      <c r="C8107" s="3" t="s">
        <v>5</v>
      </c>
    </row>
    <row r="8108" spans="1:3" ht="15.75" thickBot="1">
      <c r="A8108" s="6" t="s">
        <v>15458</v>
      </c>
      <c r="B8108" s="5" t="s">
        <v>15459</v>
      </c>
      <c r="C8108" s="3" t="s">
        <v>5</v>
      </c>
    </row>
    <row r="8109" spans="1:3" ht="15.75" thickBot="1">
      <c r="A8109" s="6" t="s">
        <v>15460</v>
      </c>
      <c r="B8109" s="5" t="s">
        <v>4599</v>
      </c>
      <c r="C8109" s="3" t="s">
        <v>5</v>
      </c>
    </row>
    <row r="8110" spans="1:3" ht="15.75" thickBot="1">
      <c r="A8110" s="6" t="s">
        <v>15461</v>
      </c>
      <c r="B8110" s="5" t="s">
        <v>15462</v>
      </c>
      <c r="C8110" s="3" t="s">
        <v>5</v>
      </c>
    </row>
    <row r="8111" spans="1:3" ht="15.75" thickBot="1">
      <c r="A8111" s="6" t="s">
        <v>15463</v>
      </c>
      <c r="B8111" s="5" t="s">
        <v>15321</v>
      </c>
      <c r="C8111" s="3" t="s">
        <v>5</v>
      </c>
    </row>
    <row r="8112" spans="1:3" ht="15.75" thickBot="1">
      <c r="A8112" s="6" t="s">
        <v>15464</v>
      </c>
      <c r="B8112" s="5" t="s">
        <v>15465</v>
      </c>
      <c r="C8112" s="3" t="s">
        <v>5</v>
      </c>
    </row>
    <row r="8113" spans="1:3" ht="15.75" thickBot="1">
      <c r="A8113" s="6" t="s">
        <v>15466</v>
      </c>
      <c r="B8113" s="5" t="s">
        <v>15467</v>
      </c>
      <c r="C8113" s="3" t="s">
        <v>5</v>
      </c>
    </row>
    <row r="8114" spans="1:3" ht="15.75" thickBot="1">
      <c r="A8114" s="6" t="s">
        <v>15468</v>
      </c>
      <c r="B8114" s="5" t="s">
        <v>15469</v>
      </c>
      <c r="C8114" s="3" t="s">
        <v>5</v>
      </c>
    </row>
    <row r="8115" spans="1:3" ht="15.75" thickBot="1">
      <c r="A8115" s="6" t="s">
        <v>15470</v>
      </c>
      <c r="B8115" s="5" t="s">
        <v>10707</v>
      </c>
      <c r="C8115" s="3" t="s">
        <v>5</v>
      </c>
    </row>
    <row r="8116" spans="1:3" ht="15.75" thickBot="1">
      <c r="A8116" s="6" t="s">
        <v>15471</v>
      </c>
      <c r="B8116" s="5" t="s">
        <v>15472</v>
      </c>
      <c r="C8116" s="3" t="s">
        <v>5</v>
      </c>
    </row>
    <row r="8117" spans="1:3" ht="15.75" thickBot="1">
      <c r="A8117" s="6" t="s">
        <v>15473</v>
      </c>
      <c r="B8117" s="5" t="s">
        <v>15474</v>
      </c>
      <c r="C8117" s="3" t="s">
        <v>5</v>
      </c>
    </row>
    <row r="8118" spans="1:3" ht="15.75" thickBot="1">
      <c r="A8118" s="6" t="s">
        <v>15475</v>
      </c>
      <c r="B8118" s="5" t="s">
        <v>15476</v>
      </c>
      <c r="C8118" s="3" t="s">
        <v>5</v>
      </c>
    </row>
    <row r="8119" spans="1:3" ht="15.75" thickBot="1">
      <c r="A8119" s="6" t="s">
        <v>15477</v>
      </c>
      <c r="B8119" s="5" t="s">
        <v>15478</v>
      </c>
      <c r="C8119" s="3" t="s">
        <v>5</v>
      </c>
    </row>
    <row r="8120" spans="1:3" ht="15.75" thickBot="1">
      <c r="A8120" s="6" t="s">
        <v>15479</v>
      </c>
      <c r="B8120" s="5" t="s">
        <v>15480</v>
      </c>
      <c r="C8120" s="3" t="s">
        <v>5</v>
      </c>
    </row>
    <row r="8121" spans="1:3" ht="15.75" thickBot="1">
      <c r="A8121" s="6" t="s">
        <v>15481</v>
      </c>
      <c r="B8121" s="5" t="s">
        <v>15482</v>
      </c>
      <c r="C8121" s="3" t="s">
        <v>5</v>
      </c>
    </row>
    <row r="8122" spans="1:3" ht="15.75" thickBot="1">
      <c r="A8122" s="6" t="s">
        <v>15483</v>
      </c>
      <c r="B8122" s="5" t="s">
        <v>15484</v>
      </c>
      <c r="C8122" s="3" t="s">
        <v>5</v>
      </c>
    </row>
    <row r="8123" spans="1:3" ht="15.75" thickBot="1">
      <c r="A8123" s="6" t="s">
        <v>15485</v>
      </c>
      <c r="B8123" s="5" t="s">
        <v>15486</v>
      </c>
      <c r="C8123" s="3" t="s">
        <v>5</v>
      </c>
    </row>
    <row r="8124" spans="1:3" ht="15.75" thickBot="1">
      <c r="A8124" s="6" t="s">
        <v>15487</v>
      </c>
      <c r="B8124" s="5" t="s">
        <v>15488</v>
      </c>
      <c r="C8124" s="3" t="s">
        <v>5</v>
      </c>
    </row>
    <row r="8125" spans="1:3" ht="15.75" thickBot="1">
      <c r="A8125" s="6" t="s">
        <v>15489</v>
      </c>
      <c r="B8125" s="5" t="s">
        <v>15490</v>
      </c>
      <c r="C8125" s="3" t="s">
        <v>5</v>
      </c>
    </row>
    <row r="8126" spans="1:3" ht="15.75" thickBot="1">
      <c r="A8126" s="6" t="s">
        <v>15491</v>
      </c>
      <c r="B8126" s="5" t="s">
        <v>15492</v>
      </c>
      <c r="C8126" s="3" t="s">
        <v>5</v>
      </c>
    </row>
    <row r="8127" spans="1:3" ht="15.75" thickBot="1">
      <c r="A8127" s="6" t="s">
        <v>15493</v>
      </c>
      <c r="B8127" s="5" t="s">
        <v>15494</v>
      </c>
      <c r="C8127" s="3" t="s">
        <v>5</v>
      </c>
    </row>
    <row r="8128" spans="1:3" ht="15.75" thickBot="1">
      <c r="A8128" s="6" t="s">
        <v>15495</v>
      </c>
      <c r="B8128" s="5" t="s">
        <v>15496</v>
      </c>
      <c r="C8128" s="3" t="s">
        <v>5</v>
      </c>
    </row>
    <row r="8129" spans="1:3" ht="15.75" thickBot="1">
      <c r="A8129" s="6" t="s">
        <v>15497</v>
      </c>
      <c r="B8129" s="5" t="s">
        <v>15498</v>
      </c>
      <c r="C8129" s="3" t="s">
        <v>5</v>
      </c>
    </row>
    <row r="8130" spans="1:3" ht="15.75" thickBot="1">
      <c r="A8130" s="6" t="s">
        <v>15499</v>
      </c>
      <c r="B8130" s="5" t="s">
        <v>15500</v>
      </c>
      <c r="C8130" s="3" t="s">
        <v>5</v>
      </c>
    </row>
    <row r="8131" spans="1:3" ht="15.75" thickBot="1">
      <c r="A8131" s="6" t="s">
        <v>15501</v>
      </c>
      <c r="B8131" s="5" t="s">
        <v>15502</v>
      </c>
      <c r="C8131" s="3" t="s">
        <v>5</v>
      </c>
    </row>
    <row r="8132" spans="1:3" ht="15.75" thickBot="1">
      <c r="A8132" s="6" t="s">
        <v>15503</v>
      </c>
      <c r="B8132" s="5" t="s">
        <v>15504</v>
      </c>
      <c r="C8132" s="3" t="s">
        <v>5</v>
      </c>
    </row>
    <row r="8133" spans="1:3" ht="15.75" thickBot="1">
      <c r="A8133" s="6" t="s">
        <v>15505</v>
      </c>
      <c r="B8133" s="5" t="s">
        <v>15506</v>
      </c>
      <c r="C8133" s="3" t="s">
        <v>5</v>
      </c>
    </row>
    <row r="8134" spans="1:3" ht="15.75" thickBot="1">
      <c r="A8134" s="6" t="s">
        <v>15507</v>
      </c>
      <c r="B8134" s="5" t="s">
        <v>15508</v>
      </c>
      <c r="C8134" s="3" t="s">
        <v>5</v>
      </c>
    </row>
    <row r="8135" spans="1:3" ht="15.75" thickBot="1">
      <c r="A8135" s="6" t="s">
        <v>15509</v>
      </c>
      <c r="B8135" s="5" t="s">
        <v>15510</v>
      </c>
      <c r="C8135" s="3" t="s">
        <v>5</v>
      </c>
    </row>
    <row r="8136" spans="1:3" ht="15.75" thickBot="1">
      <c r="A8136" s="6" t="s">
        <v>15511</v>
      </c>
      <c r="B8136" s="5" t="s">
        <v>15512</v>
      </c>
      <c r="C8136" s="3" t="s">
        <v>5</v>
      </c>
    </row>
    <row r="8137" spans="1:3" ht="15.75" thickBot="1">
      <c r="A8137" s="6" t="s">
        <v>15513</v>
      </c>
      <c r="B8137" s="5" t="s">
        <v>15514</v>
      </c>
      <c r="C8137" s="3" t="s">
        <v>5</v>
      </c>
    </row>
    <row r="8138" spans="1:3" ht="15.75" thickBot="1">
      <c r="A8138" s="6" t="s">
        <v>15515</v>
      </c>
      <c r="B8138" s="5" t="s">
        <v>15516</v>
      </c>
      <c r="C8138" s="3" t="s">
        <v>5</v>
      </c>
    </row>
    <row r="8139" spans="1:3" ht="15.75" thickBot="1">
      <c r="A8139" s="6" t="s">
        <v>15517</v>
      </c>
      <c r="B8139" s="5" t="s">
        <v>15518</v>
      </c>
      <c r="C8139" s="3" t="s">
        <v>5</v>
      </c>
    </row>
    <row r="8140" spans="1:3" ht="15.75" thickBot="1">
      <c r="A8140" s="6" t="s">
        <v>15519</v>
      </c>
      <c r="B8140" s="5" t="s">
        <v>15520</v>
      </c>
      <c r="C8140" s="3" t="s">
        <v>5</v>
      </c>
    </row>
    <row r="8141" spans="1:3" ht="15.75" thickBot="1">
      <c r="A8141" s="6" t="s">
        <v>15521</v>
      </c>
      <c r="B8141" s="5" t="s">
        <v>15522</v>
      </c>
      <c r="C8141" s="3" t="s">
        <v>5</v>
      </c>
    </row>
    <row r="8142" spans="1:3" ht="15.75" thickBot="1">
      <c r="A8142" s="6" t="s">
        <v>15523</v>
      </c>
      <c r="B8142" s="5" t="s">
        <v>15524</v>
      </c>
      <c r="C8142" s="3" t="s">
        <v>5</v>
      </c>
    </row>
    <row r="8143" spans="1:3" ht="15.75" thickBot="1">
      <c r="A8143" s="6" t="s">
        <v>15525</v>
      </c>
      <c r="B8143" s="5" t="s">
        <v>15526</v>
      </c>
      <c r="C8143" s="3" t="s">
        <v>5</v>
      </c>
    </row>
    <row r="8144" spans="1:3" ht="15.75" thickBot="1">
      <c r="A8144" s="6" t="s">
        <v>15527</v>
      </c>
      <c r="B8144" s="5" t="s">
        <v>15528</v>
      </c>
      <c r="C8144" s="3" t="s">
        <v>5</v>
      </c>
    </row>
    <row r="8145" spans="1:3" ht="15.75" thickBot="1">
      <c r="A8145" s="6" t="s">
        <v>15529</v>
      </c>
      <c r="B8145" s="5" t="s">
        <v>15530</v>
      </c>
      <c r="C8145" s="3" t="s">
        <v>5</v>
      </c>
    </row>
    <row r="8146" spans="1:3" ht="15.75" thickBot="1">
      <c r="A8146" s="6" t="s">
        <v>15531</v>
      </c>
      <c r="B8146" s="5" t="s">
        <v>15532</v>
      </c>
      <c r="C8146" s="3" t="s">
        <v>5</v>
      </c>
    </row>
    <row r="8147" spans="1:3" ht="15.75" thickBot="1">
      <c r="A8147" s="6" t="s">
        <v>15533</v>
      </c>
      <c r="B8147" s="5" t="s">
        <v>15534</v>
      </c>
      <c r="C8147" s="3" t="s">
        <v>5</v>
      </c>
    </row>
    <row r="8148" spans="1:3" ht="15.75" thickBot="1">
      <c r="A8148" s="6" t="s">
        <v>15535</v>
      </c>
      <c r="B8148" s="5" t="s">
        <v>15536</v>
      </c>
      <c r="C8148" s="3" t="s">
        <v>5</v>
      </c>
    </row>
    <row r="8149" spans="1:3" ht="15.75" thickBot="1">
      <c r="A8149" s="6" t="s">
        <v>15537</v>
      </c>
      <c r="B8149" s="5" t="s">
        <v>15538</v>
      </c>
      <c r="C8149" s="3" t="s">
        <v>5</v>
      </c>
    </row>
    <row r="8150" spans="1:3" ht="15.75" thickBot="1">
      <c r="A8150" s="6" t="s">
        <v>15539</v>
      </c>
      <c r="B8150" s="5" t="s">
        <v>15540</v>
      </c>
      <c r="C8150" s="3" t="s">
        <v>5</v>
      </c>
    </row>
    <row r="8151" spans="1:3" ht="15.75" thickBot="1">
      <c r="A8151" s="6" t="s">
        <v>15541</v>
      </c>
      <c r="B8151" s="5" t="s">
        <v>15542</v>
      </c>
      <c r="C8151" s="3" t="s">
        <v>5</v>
      </c>
    </row>
    <row r="8152" spans="1:3" ht="15.75" thickBot="1">
      <c r="A8152" s="6" t="s">
        <v>15543</v>
      </c>
      <c r="B8152" s="5" t="s">
        <v>15544</v>
      </c>
      <c r="C8152" s="3" t="s">
        <v>5</v>
      </c>
    </row>
    <row r="8153" spans="1:3" ht="15.75" thickBot="1">
      <c r="A8153" s="6" t="s">
        <v>15545</v>
      </c>
      <c r="B8153" s="5" t="s">
        <v>1852</v>
      </c>
      <c r="C8153" s="3" t="s">
        <v>5</v>
      </c>
    </row>
    <row r="8154" spans="1:3" ht="15.75" thickBot="1">
      <c r="A8154" s="6" t="s">
        <v>15546</v>
      </c>
      <c r="B8154" s="5" t="s">
        <v>15547</v>
      </c>
      <c r="C8154" s="3" t="s">
        <v>5</v>
      </c>
    </row>
    <row r="8155" spans="1:3" ht="15.75" thickBot="1">
      <c r="A8155" s="6" t="s">
        <v>15548</v>
      </c>
      <c r="B8155" s="5" t="s">
        <v>15549</v>
      </c>
      <c r="C8155" s="3" t="s">
        <v>5</v>
      </c>
    </row>
    <row r="8156" spans="1:3" ht="15.75" thickBot="1">
      <c r="A8156" s="6" t="s">
        <v>15550</v>
      </c>
      <c r="B8156" s="5" t="s">
        <v>15551</v>
      </c>
      <c r="C8156" s="3" t="s">
        <v>5</v>
      </c>
    </row>
    <row r="8157" spans="1:3" ht="15.75" thickBot="1">
      <c r="A8157" s="6" t="s">
        <v>15552</v>
      </c>
      <c r="B8157" s="5" t="s">
        <v>15553</v>
      </c>
      <c r="C8157" s="3" t="s">
        <v>5</v>
      </c>
    </row>
    <row r="8158" spans="1:3" ht="15.75" thickBot="1">
      <c r="A8158" s="6" t="s">
        <v>15554</v>
      </c>
      <c r="B8158" s="5" t="s">
        <v>13352</v>
      </c>
      <c r="C8158" s="3" t="s">
        <v>5</v>
      </c>
    </row>
    <row r="8159" spans="1:3">
      <c r="A8159" s="1" t="s">
        <v>15555</v>
      </c>
      <c r="B8159" s="2" t="s">
        <v>15556</v>
      </c>
      <c r="C8159" s="3" t="s">
        <v>5</v>
      </c>
    </row>
    <row r="8160" spans="1:3" ht="15.75" thickBot="1">
      <c r="A8160" s="4"/>
      <c r="B8160" s="5" t="e">
        <f xml:space="preserve"> trunk main</f>
        <v>#NAME?</v>
      </c>
      <c r="C8160" s="3" t="s">
        <v>5</v>
      </c>
    </row>
    <row r="8161" spans="1:3" ht="15.75" thickBot="1">
      <c r="A8161" s="6" t="s">
        <v>15557</v>
      </c>
      <c r="B8161" s="5" t="s">
        <v>15558</v>
      </c>
      <c r="C8161" s="3" t="s">
        <v>5</v>
      </c>
    </row>
    <row r="8162" spans="1:3" ht="15.75" thickBot="1">
      <c r="A8162" s="6" t="s">
        <v>15559</v>
      </c>
      <c r="B8162" s="5" t="s">
        <v>15560</v>
      </c>
      <c r="C8162" s="3" t="s">
        <v>5</v>
      </c>
    </row>
    <row r="8163" spans="1:3" ht="15.75" thickBot="1">
      <c r="A8163" s="6" t="s">
        <v>15561</v>
      </c>
      <c r="B8163" s="5" t="s">
        <v>15562</v>
      </c>
      <c r="C8163" s="3" t="s">
        <v>5</v>
      </c>
    </row>
    <row r="8164" spans="1:3" ht="15.75" thickBot="1">
      <c r="A8164" s="6" t="s">
        <v>15563</v>
      </c>
      <c r="B8164" s="5" t="s">
        <v>15564</v>
      </c>
      <c r="C8164" s="3" t="s">
        <v>5</v>
      </c>
    </row>
    <row r="8165" spans="1:3" ht="15.75" thickBot="1">
      <c r="A8165" s="6" t="s">
        <v>15565</v>
      </c>
      <c r="B8165" s="5" t="s">
        <v>15566</v>
      </c>
      <c r="C8165" s="3" t="s">
        <v>5</v>
      </c>
    </row>
    <row r="8166" spans="1:3" ht="15.75" thickBot="1">
      <c r="A8166" s="6" t="s">
        <v>15567</v>
      </c>
      <c r="B8166" s="5" t="s">
        <v>15568</v>
      </c>
      <c r="C8166" s="3" t="s">
        <v>5</v>
      </c>
    </row>
    <row r="8167" spans="1:3" ht="15.75" thickBot="1">
      <c r="A8167" s="6" t="s">
        <v>15569</v>
      </c>
      <c r="B8167" s="5" t="s">
        <v>15570</v>
      </c>
      <c r="C8167" s="3" t="s">
        <v>5</v>
      </c>
    </row>
    <row r="8168" spans="1:3" ht="15.75" thickBot="1">
      <c r="A8168" s="6" t="s">
        <v>15571</v>
      </c>
      <c r="B8168" s="5" t="s">
        <v>15572</v>
      </c>
      <c r="C8168" s="3" t="s">
        <v>5</v>
      </c>
    </row>
    <row r="8169" spans="1:3" ht="15.75" thickBot="1">
      <c r="A8169" s="6" t="s">
        <v>15571</v>
      </c>
      <c r="B8169" s="5" t="s">
        <v>15573</v>
      </c>
      <c r="C8169" s="3" t="s">
        <v>5</v>
      </c>
    </row>
    <row r="8170" spans="1:3" ht="15.75" thickBot="1">
      <c r="A8170" s="6" t="s">
        <v>15574</v>
      </c>
      <c r="B8170" s="5" t="s">
        <v>15575</v>
      </c>
      <c r="C8170" s="3" t="s">
        <v>5</v>
      </c>
    </row>
    <row r="8171" spans="1:3" ht="15.75" thickBot="1">
      <c r="A8171" s="6" t="s">
        <v>15576</v>
      </c>
      <c r="B8171" s="5" t="s">
        <v>15577</v>
      </c>
      <c r="C8171" s="3" t="s">
        <v>5</v>
      </c>
    </row>
    <row r="8172" spans="1:3" ht="15.75" thickBot="1">
      <c r="A8172" s="6" t="s">
        <v>15578</v>
      </c>
      <c r="B8172" s="5" t="s">
        <v>15579</v>
      </c>
      <c r="C8172" s="3" t="s">
        <v>5</v>
      </c>
    </row>
    <row r="8173" spans="1:3" ht="15.75" thickBot="1">
      <c r="A8173" s="6" t="s">
        <v>15580</v>
      </c>
      <c r="B8173" s="5" t="s">
        <v>15581</v>
      </c>
      <c r="C8173" s="3" t="s">
        <v>5</v>
      </c>
    </row>
    <row r="8174" spans="1:3" ht="15.75" thickBot="1">
      <c r="A8174" s="6" t="s">
        <v>15582</v>
      </c>
      <c r="B8174" s="5" t="s">
        <v>15583</v>
      </c>
      <c r="C8174" s="3" t="s">
        <v>5</v>
      </c>
    </row>
    <row r="8175" spans="1:3" ht="15.75" thickBot="1">
      <c r="A8175" s="6" t="s">
        <v>15584</v>
      </c>
      <c r="B8175" s="5" t="s">
        <v>15585</v>
      </c>
      <c r="C8175" s="3" t="s">
        <v>5</v>
      </c>
    </row>
    <row r="8176" spans="1:3" ht="15.75" thickBot="1">
      <c r="A8176" s="6" t="s">
        <v>15586</v>
      </c>
      <c r="B8176" s="5" t="s">
        <v>15587</v>
      </c>
      <c r="C8176" s="3" t="s">
        <v>5</v>
      </c>
    </row>
    <row r="8177" spans="1:3" ht="15.75" thickBot="1">
      <c r="A8177" s="6" t="s">
        <v>15588</v>
      </c>
      <c r="B8177" s="5" t="s">
        <v>15589</v>
      </c>
      <c r="C8177" s="3" t="s">
        <v>5</v>
      </c>
    </row>
    <row r="8178" spans="1:3" ht="15.75" thickBot="1">
      <c r="A8178" s="6" t="s">
        <v>15590</v>
      </c>
      <c r="B8178" s="5" t="s">
        <v>15591</v>
      </c>
      <c r="C8178" s="3" t="s">
        <v>5</v>
      </c>
    </row>
    <row r="8179" spans="1:3" ht="15.75" thickBot="1">
      <c r="A8179" s="6" t="s">
        <v>15592</v>
      </c>
      <c r="B8179" s="5" t="s">
        <v>15593</v>
      </c>
      <c r="C8179" s="3" t="s">
        <v>5</v>
      </c>
    </row>
    <row r="8180" spans="1:3" ht="15.75" thickBot="1">
      <c r="A8180" s="6" t="s">
        <v>15594</v>
      </c>
      <c r="B8180" s="5" t="s">
        <v>15595</v>
      </c>
      <c r="C8180" s="3" t="s">
        <v>5</v>
      </c>
    </row>
    <row r="8181" spans="1:3" ht="15.75" thickBot="1">
      <c r="A8181" s="6" t="s">
        <v>15596</v>
      </c>
      <c r="B8181" s="5" t="s">
        <v>15597</v>
      </c>
      <c r="C8181" s="3" t="s">
        <v>5</v>
      </c>
    </row>
    <row r="8182" spans="1:3" ht="15.75" thickBot="1">
      <c r="A8182" s="6" t="s">
        <v>15598</v>
      </c>
      <c r="B8182" s="5" t="e">
        <f xml:space="preserve"> magic eye</f>
        <v>#NAME?</v>
      </c>
      <c r="C8182" s="3" t="s">
        <v>5</v>
      </c>
    </row>
    <row r="8183" spans="1:3" ht="15.75" thickBot="1">
      <c r="A8183" s="6" t="s">
        <v>15599</v>
      </c>
      <c r="B8183" s="5" t="s">
        <v>15600</v>
      </c>
      <c r="C8183" s="3" t="s">
        <v>5</v>
      </c>
    </row>
    <row r="8184" spans="1:3" ht="15.75" thickBot="1">
      <c r="A8184" s="6" t="s">
        <v>15601</v>
      </c>
      <c r="B8184" s="5" t="s">
        <v>15602</v>
      </c>
      <c r="C8184" s="3" t="s">
        <v>5</v>
      </c>
    </row>
    <row r="8185" spans="1:3" ht="15.75" thickBot="1">
      <c r="A8185" s="6" t="s">
        <v>15603</v>
      </c>
      <c r="B8185" s="5" t="s">
        <v>15604</v>
      </c>
      <c r="C8185" s="3" t="s">
        <v>5</v>
      </c>
    </row>
    <row r="8186" spans="1:3" ht="15.75" thickBot="1">
      <c r="A8186" s="6" t="s">
        <v>15605</v>
      </c>
      <c r="B8186" s="5" t="s">
        <v>15606</v>
      </c>
      <c r="C8186" s="3" t="s">
        <v>5</v>
      </c>
    </row>
    <row r="8187" spans="1:3" ht="15.75" thickBot="1">
      <c r="A8187" s="6" t="s">
        <v>15607</v>
      </c>
      <c r="B8187" s="5" t="s">
        <v>15608</v>
      </c>
      <c r="C8187" s="3" t="s">
        <v>5</v>
      </c>
    </row>
    <row r="8188" spans="1:3" ht="15.75" thickBot="1">
      <c r="A8188" s="6" t="s">
        <v>15609</v>
      </c>
      <c r="B8188" s="5" t="s">
        <v>15610</v>
      </c>
      <c r="C8188" s="3" t="s">
        <v>5</v>
      </c>
    </row>
    <row r="8189" spans="1:3" ht="15.75" thickBot="1">
      <c r="A8189" s="6" t="s">
        <v>15611</v>
      </c>
      <c r="B8189" s="5" t="e">
        <f xml:space="preserve"> rotary switch</f>
        <v>#NAME?</v>
      </c>
      <c r="C8189" s="3" t="s">
        <v>5</v>
      </c>
    </row>
    <row r="8190" spans="1:3" ht="15.75" thickBot="1">
      <c r="A8190" s="6" t="s">
        <v>15612</v>
      </c>
      <c r="B8190" s="5" t="s">
        <v>15613</v>
      </c>
      <c r="C8190" s="3" t="s">
        <v>5</v>
      </c>
    </row>
    <row r="8191" spans="1:3" ht="15.75" thickBot="1">
      <c r="A8191" s="6" t="s">
        <v>15614</v>
      </c>
      <c r="B8191" s="5" t="s">
        <v>15615</v>
      </c>
      <c r="C8191" s="3" t="s">
        <v>5</v>
      </c>
    </row>
    <row r="8192" spans="1:3" ht="15.75" thickBot="1">
      <c r="A8192" s="6" t="s">
        <v>15616</v>
      </c>
      <c r="B8192" s="5" t="s">
        <v>15617</v>
      </c>
      <c r="C8192" s="3" t="s">
        <v>5</v>
      </c>
    </row>
    <row r="8193" spans="1:3" ht="15.75" thickBot="1">
      <c r="A8193" s="6" t="s">
        <v>15618</v>
      </c>
      <c r="B8193" s="5" t="s">
        <v>15619</v>
      </c>
      <c r="C8193" s="3" t="s">
        <v>5</v>
      </c>
    </row>
    <row r="8194" spans="1:3" ht="15.75" thickBot="1">
      <c r="A8194" s="6" t="s">
        <v>15620</v>
      </c>
      <c r="B8194" s="5" t="s">
        <v>15621</v>
      </c>
      <c r="C8194" s="3" t="s">
        <v>5</v>
      </c>
    </row>
    <row r="8195" spans="1:3" ht="15.75" thickBot="1">
      <c r="A8195" s="6" t="s">
        <v>15622</v>
      </c>
      <c r="B8195" s="5" t="s">
        <v>15623</v>
      </c>
      <c r="C8195" s="3" t="s">
        <v>5</v>
      </c>
    </row>
    <row r="8196" spans="1:3" ht="15.75" thickBot="1">
      <c r="A8196" s="6" t="s">
        <v>15624</v>
      </c>
      <c r="B8196" s="5" t="s">
        <v>15625</v>
      </c>
      <c r="C8196" s="3" t="s">
        <v>5</v>
      </c>
    </row>
    <row r="8197" spans="1:3" ht="15.75" thickBot="1">
      <c r="A8197" s="6" t="s">
        <v>15626</v>
      </c>
      <c r="B8197" s="5" t="s">
        <v>15627</v>
      </c>
      <c r="C8197" s="3" t="s">
        <v>5</v>
      </c>
    </row>
    <row r="8198" spans="1:3" ht="26.25" thickBot="1">
      <c r="A8198" s="6" t="s">
        <v>15628</v>
      </c>
      <c r="B8198" s="5" t="s">
        <v>15629</v>
      </c>
      <c r="C8198" s="3" t="s">
        <v>5</v>
      </c>
    </row>
    <row r="8199" spans="1:3" ht="26.25" thickBot="1">
      <c r="A8199" s="6" t="s">
        <v>15630</v>
      </c>
      <c r="B8199" s="5" t="s">
        <v>15631</v>
      </c>
      <c r="C8199" s="3" t="s">
        <v>5</v>
      </c>
    </row>
    <row r="8200" spans="1:3" ht="26.25" thickBot="1">
      <c r="A8200" s="6" t="s">
        <v>15632</v>
      </c>
      <c r="B8200" s="5" t="s">
        <v>15633</v>
      </c>
      <c r="C8200" s="3" t="s">
        <v>5</v>
      </c>
    </row>
    <row r="8201" spans="1:3" ht="15.75" thickBot="1">
      <c r="A8201" s="6" t="s">
        <v>15634</v>
      </c>
      <c r="B8201" s="5" t="s">
        <v>15635</v>
      </c>
      <c r="C8201" s="3" t="s">
        <v>5</v>
      </c>
    </row>
    <row r="8202" spans="1:3" ht="15.75" thickBot="1">
      <c r="A8202" s="6" t="s">
        <v>15636</v>
      </c>
      <c r="B8202" s="5" t="s">
        <v>15637</v>
      </c>
      <c r="C8202" s="3" t="s">
        <v>5</v>
      </c>
    </row>
    <row r="8203" spans="1:3" ht="15.75" thickBot="1">
      <c r="A8203" s="6" t="s">
        <v>15638</v>
      </c>
      <c r="B8203" s="5" t="s">
        <v>15639</v>
      </c>
      <c r="C8203" s="3" t="s">
        <v>5</v>
      </c>
    </row>
    <row r="8204" spans="1:3" ht="15.75" thickBot="1">
      <c r="A8204" s="6" t="s">
        <v>15640</v>
      </c>
      <c r="B8204" s="5" t="s">
        <v>15641</v>
      </c>
      <c r="C8204" s="3" t="s">
        <v>5</v>
      </c>
    </row>
    <row r="8205" spans="1:3" ht="15.75" thickBot="1">
      <c r="A8205" s="6" t="s">
        <v>15642</v>
      </c>
      <c r="B8205" s="5" t="s">
        <v>15643</v>
      </c>
      <c r="C8205" s="3" t="s">
        <v>5</v>
      </c>
    </row>
    <row r="8206" spans="1:3" ht="15.75" thickBot="1">
      <c r="A8206" s="6" t="s">
        <v>15644</v>
      </c>
      <c r="B8206" s="5" t="s">
        <v>15645</v>
      </c>
      <c r="C8206" s="3" t="s">
        <v>5</v>
      </c>
    </row>
    <row r="8207" spans="1:3" ht="15.75" thickBot="1">
      <c r="A8207" s="6" t="s">
        <v>15646</v>
      </c>
      <c r="B8207" s="5" t="e">
        <f xml:space="preserve"> diphaser</f>
        <v>#NAME?</v>
      </c>
      <c r="C8207" s="3" t="s">
        <v>5</v>
      </c>
    </row>
    <row r="8208" spans="1:3" ht="15.75" thickBot="1">
      <c r="A8208" s="6" t="s">
        <v>15647</v>
      </c>
      <c r="B8208" s="5" t="s">
        <v>15648</v>
      </c>
      <c r="C8208" s="3" t="s">
        <v>5</v>
      </c>
    </row>
    <row r="8209" spans="1:3" ht="15.75" thickBot="1">
      <c r="A8209" s="6" t="s">
        <v>15649</v>
      </c>
      <c r="B8209" s="5" t="s">
        <v>15650</v>
      </c>
      <c r="C8209" s="3" t="s">
        <v>5</v>
      </c>
    </row>
    <row r="8210" spans="1:3" ht="15.75" thickBot="1">
      <c r="A8210" s="6" t="s">
        <v>15651</v>
      </c>
      <c r="B8210" s="5" t="s">
        <v>15652</v>
      </c>
      <c r="C8210" s="3" t="s">
        <v>5</v>
      </c>
    </row>
    <row r="8211" spans="1:3" ht="15.75" thickBot="1">
      <c r="A8211" s="6" t="s">
        <v>15653</v>
      </c>
      <c r="B8211" s="5" t="s">
        <v>15654</v>
      </c>
      <c r="C8211" s="3" t="s">
        <v>5</v>
      </c>
    </row>
    <row r="8212" spans="1:3" ht="15.75" thickBot="1">
      <c r="A8212" s="6" t="s">
        <v>15655</v>
      </c>
      <c r="B8212" s="5" t="s">
        <v>15656</v>
      </c>
      <c r="C8212" s="3" t="s">
        <v>5</v>
      </c>
    </row>
    <row r="8213" spans="1:3" ht="15.75" thickBot="1">
      <c r="A8213" s="6" t="s">
        <v>15657</v>
      </c>
      <c r="B8213" s="5" t="s">
        <v>15658</v>
      </c>
      <c r="C8213" s="3" t="s">
        <v>5</v>
      </c>
    </row>
    <row r="8214" spans="1:3" ht="15.75" thickBot="1">
      <c r="A8214" s="6" t="s">
        <v>15659</v>
      </c>
      <c r="B8214" s="5" t="s">
        <v>15660</v>
      </c>
      <c r="C8214" s="3" t="s">
        <v>5</v>
      </c>
    </row>
    <row r="8215" spans="1:3" ht="15.75" thickBot="1">
      <c r="A8215" s="6" t="s">
        <v>15661</v>
      </c>
      <c r="B8215" s="5" t="s">
        <v>15662</v>
      </c>
      <c r="C8215" s="3" t="s">
        <v>5</v>
      </c>
    </row>
    <row r="8216" spans="1:3" ht="15.75" thickBot="1">
      <c r="A8216" s="6" t="s">
        <v>15663</v>
      </c>
      <c r="B8216" s="5" t="s">
        <v>15664</v>
      </c>
      <c r="C8216" s="3" t="s">
        <v>5</v>
      </c>
    </row>
    <row r="8217" spans="1:3" ht="15.75" thickBot="1">
      <c r="A8217" s="6" t="s">
        <v>15665</v>
      </c>
      <c r="B8217" s="5" t="s">
        <v>15666</v>
      </c>
      <c r="C8217" s="3" t="s">
        <v>5</v>
      </c>
    </row>
    <row r="8218" spans="1:3" ht="15.75" thickBot="1">
      <c r="A8218" s="6" t="s">
        <v>15667</v>
      </c>
      <c r="B8218" s="5" t="s">
        <v>15668</v>
      </c>
      <c r="C8218" s="3" t="s">
        <v>5</v>
      </c>
    </row>
    <row r="8219" spans="1:3" ht="15.75" thickBot="1">
      <c r="A8219" s="6" t="s">
        <v>15669</v>
      </c>
      <c r="B8219" s="5" t="s">
        <v>15670</v>
      </c>
      <c r="C8219" s="3" t="s">
        <v>5</v>
      </c>
    </row>
    <row r="8220" spans="1:3" ht="15.75" thickBot="1">
      <c r="A8220" s="6" t="s">
        <v>15671</v>
      </c>
      <c r="B8220" s="5" t="s">
        <v>15672</v>
      </c>
      <c r="C8220" s="3" t="s">
        <v>5</v>
      </c>
    </row>
    <row r="8221" spans="1:3" ht="15.75" thickBot="1">
      <c r="A8221" s="6" t="s">
        <v>15673</v>
      </c>
      <c r="B8221" s="5" t="s">
        <v>15674</v>
      </c>
      <c r="C8221" s="3" t="s">
        <v>5</v>
      </c>
    </row>
    <row r="8222" spans="1:3" ht="15.75" thickBot="1">
      <c r="A8222" s="6" t="s">
        <v>15675</v>
      </c>
      <c r="B8222" s="5" t="s">
        <v>15676</v>
      </c>
      <c r="C8222" s="3" t="s">
        <v>5</v>
      </c>
    </row>
    <row r="8223" spans="1:3" ht="15.75" thickBot="1">
      <c r="A8223" s="6" t="s">
        <v>15677</v>
      </c>
      <c r="B8223" s="5" t="s">
        <v>15678</v>
      </c>
      <c r="C8223" s="3" t="s">
        <v>5</v>
      </c>
    </row>
    <row r="8224" spans="1:3" ht="15.75" thickBot="1">
      <c r="A8224" s="6" t="s">
        <v>15679</v>
      </c>
      <c r="B8224" s="5" t="s">
        <v>15680</v>
      </c>
      <c r="C8224" s="3" t="s">
        <v>5</v>
      </c>
    </row>
    <row r="8225" spans="1:3" ht="15.75" thickBot="1">
      <c r="A8225" s="6" t="s">
        <v>15681</v>
      </c>
      <c r="B8225" s="5" t="s">
        <v>15682</v>
      </c>
      <c r="C8225" s="3" t="s">
        <v>5</v>
      </c>
    </row>
    <row r="8226" spans="1:3" ht="15.75" thickBot="1">
      <c r="A8226" s="6" t="s">
        <v>15683</v>
      </c>
      <c r="B8226" s="5" t="s">
        <v>15684</v>
      </c>
      <c r="C8226" s="3" t="s">
        <v>5</v>
      </c>
    </row>
    <row r="8227" spans="1:3" ht="15.75" thickBot="1">
      <c r="A8227" s="6" t="s">
        <v>15685</v>
      </c>
      <c r="B8227" s="5" t="s">
        <v>15686</v>
      </c>
      <c r="C8227" s="3" t="s">
        <v>5</v>
      </c>
    </row>
    <row r="8228" spans="1:3" ht="26.25" thickBot="1">
      <c r="A8228" s="6" t="s">
        <v>15687</v>
      </c>
      <c r="B8228" s="5" t="s">
        <v>15688</v>
      </c>
      <c r="C8228" s="3" t="s">
        <v>5</v>
      </c>
    </row>
    <row r="8229" spans="1:3" ht="15.75" thickBot="1">
      <c r="A8229" s="6" t="s">
        <v>15689</v>
      </c>
      <c r="B8229" s="5" t="s">
        <v>6090</v>
      </c>
      <c r="C8229" s="3" t="s">
        <v>5</v>
      </c>
    </row>
    <row r="8230" spans="1:3" ht="15.75" thickBot="1">
      <c r="A8230" s="6" t="s">
        <v>15690</v>
      </c>
      <c r="B8230" s="5" t="s">
        <v>15691</v>
      </c>
      <c r="C8230" s="3" t="s">
        <v>5</v>
      </c>
    </row>
    <row r="8231" spans="1:3" ht="15.75" thickBot="1">
      <c r="A8231" s="6" t="s">
        <v>15692</v>
      </c>
      <c r="B8231" s="5" t="s">
        <v>15693</v>
      </c>
      <c r="C8231" s="3" t="s">
        <v>5</v>
      </c>
    </row>
    <row r="8232" spans="1:3" ht="15.75" thickBot="1">
      <c r="A8232" s="6" t="s">
        <v>15694</v>
      </c>
      <c r="B8232" s="5" t="s">
        <v>15695</v>
      </c>
      <c r="C8232" s="3" t="s">
        <v>5</v>
      </c>
    </row>
    <row r="8233" spans="1:3" ht="15.75" thickBot="1">
      <c r="A8233" s="6" t="s">
        <v>15696</v>
      </c>
      <c r="B8233" s="5" t="s">
        <v>15697</v>
      </c>
      <c r="C8233" s="3" t="s">
        <v>5</v>
      </c>
    </row>
    <row r="8234" spans="1:3" ht="15.75" thickBot="1">
      <c r="A8234" s="6" t="s">
        <v>15698</v>
      </c>
      <c r="B8234" s="5" t="s">
        <v>15699</v>
      </c>
      <c r="C8234" s="3" t="s">
        <v>5</v>
      </c>
    </row>
    <row r="8235" spans="1:3" ht="15.75" thickBot="1">
      <c r="A8235" s="6" t="s">
        <v>15700</v>
      </c>
      <c r="B8235" s="5" t="s">
        <v>15701</v>
      </c>
      <c r="C8235" s="3" t="s">
        <v>5</v>
      </c>
    </row>
    <row r="8236" spans="1:3" ht="15.75" thickBot="1">
      <c r="A8236" s="6" t="s">
        <v>15702</v>
      </c>
      <c r="B8236" s="5" t="s">
        <v>15703</v>
      </c>
      <c r="C8236" s="3" t="s">
        <v>5</v>
      </c>
    </row>
    <row r="8237" spans="1:3" ht="15.75" thickBot="1">
      <c r="A8237" s="6" t="s">
        <v>15704</v>
      </c>
      <c r="B8237" s="5" t="s">
        <v>15705</v>
      </c>
      <c r="C8237" s="3" t="s">
        <v>5</v>
      </c>
    </row>
    <row r="8238" spans="1:3" ht="15.75" thickBot="1">
      <c r="A8238" s="6" t="s">
        <v>15706</v>
      </c>
      <c r="B8238" s="5" t="s">
        <v>15707</v>
      </c>
      <c r="C8238" s="3" t="s">
        <v>5</v>
      </c>
    </row>
    <row r="8239" spans="1:3" ht="15.75" thickBot="1">
      <c r="A8239" s="6" t="s">
        <v>15708</v>
      </c>
      <c r="B8239" s="5" t="s">
        <v>15709</v>
      </c>
      <c r="C8239" s="3" t="s">
        <v>5</v>
      </c>
    </row>
    <row r="8240" spans="1:3" ht="15.75" thickBot="1">
      <c r="A8240" s="6" t="s">
        <v>15710</v>
      </c>
      <c r="B8240" s="5" t="s">
        <v>15711</v>
      </c>
      <c r="C8240" s="3" t="s">
        <v>5</v>
      </c>
    </row>
    <row r="8241" spans="1:3" ht="15.75" thickBot="1">
      <c r="A8241" s="6" t="s">
        <v>15712</v>
      </c>
      <c r="B8241" s="5" t="s">
        <v>15713</v>
      </c>
      <c r="C8241" s="3" t="s">
        <v>5</v>
      </c>
    </row>
    <row r="8242" spans="1:3" ht="15.75" thickBot="1">
      <c r="A8242" s="6" t="s">
        <v>15714</v>
      </c>
      <c r="B8242" s="5" t="s">
        <v>15711</v>
      </c>
      <c r="C8242" s="3" t="s">
        <v>5</v>
      </c>
    </row>
    <row r="8243" spans="1:3" ht="15.75" thickBot="1">
      <c r="A8243" s="6" t="s">
        <v>15715</v>
      </c>
      <c r="B8243" s="5" t="s">
        <v>15716</v>
      </c>
      <c r="C8243" s="3" t="s">
        <v>5</v>
      </c>
    </row>
    <row r="8244" spans="1:3" ht="15.75" thickBot="1">
      <c r="A8244" s="6" t="s">
        <v>15717</v>
      </c>
      <c r="B8244" s="5" t="s">
        <v>15718</v>
      </c>
      <c r="C8244" s="3" t="s">
        <v>5</v>
      </c>
    </row>
    <row r="8245" spans="1:3" ht="15.75" thickBot="1">
      <c r="A8245" s="6" t="s">
        <v>15719</v>
      </c>
      <c r="B8245" s="5" t="s">
        <v>15720</v>
      </c>
      <c r="C8245" s="3" t="s">
        <v>5</v>
      </c>
    </row>
    <row r="8246" spans="1:3" ht="15.75" thickBot="1">
      <c r="A8246" s="6" t="s">
        <v>15721</v>
      </c>
      <c r="B8246" s="5" t="s">
        <v>15722</v>
      </c>
      <c r="C8246" s="3" t="s">
        <v>5</v>
      </c>
    </row>
    <row r="8247" spans="1:3" ht="15.75" thickBot="1">
      <c r="A8247" s="6" t="s">
        <v>15723</v>
      </c>
      <c r="B8247" s="5" t="s">
        <v>15724</v>
      </c>
      <c r="C8247" s="3" t="s">
        <v>5</v>
      </c>
    </row>
    <row r="8248" spans="1:3" ht="15.75" thickBot="1">
      <c r="A8248" s="6" t="s">
        <v>15725</v>
      </c>
      <c r="B8248" s="5" t="s">
        <v>15726</v>
      </c>
      <c r="C8248" s="3" t="s">
        <v>5</v>
      </c>
    </row>
    <row r="8249" spans="1:3" ht="15.75" thickBot="1">
      <c r="A8249" s="6" t="s">
        <v>15727</v>
      </c>
      <c r="B8249" s="5" t="s">
        <v>15728</v>
      </c>
      <c r="C8249" s="3" t="s">
        <v>5</v>
      </c>
    </row>
    <row r="8250" spans="1:3" ht="15.75" thickBot="1">
      <c r="A8250" s="6" t="s">
        <v>15729</v>
      </c>
      <c r="B8250" s="5" t="s">
        <v>15730</v>
      </c>
      <c r="C8250" s="3" t="s">
        <v>5</v>
      </c>
    </row>
    <row r="8251" spans="1:3" ht="15.75" thickBot="1">
      <c r="A8251" s="6" t="s">
        <v>15731</v>
      </c>
      <c r="B8251" s="5" t="s">
        <v>15732</v>
      </c>
      <c r="C8251" s="3" t="s">
        <v>5</v>
      </c>
    </row>
    <row r="8252" spans="1:3" ht="15.75" thickBot="1">
      <c r="A8252" s="6" t="s">
        <v>15733</v>
      </c>
      <c r="B8252" s="5" t="s">
        <v>15734</v>
      </c>
      <c r="C8252" s="3" t="s">
        <v>5</v>
      </c>
    </row>
    <row r="8253" spans="1:3" ht="15.75" thickBot="1">
      <c r="A8253" s="6" t="s">
        <v>15735</v>
      </c>
      <c r="B8253" s="5" t="s">
        <v>15736</v>
      </c>
      <c r="C8253" s="3" t="s">
        <v>5</v>
      </c>
    </row>
    <row r="8254" spans="1:3" ht="15.75" thickBot="1">
      <c r="A8254" s="6" t="s">
        <v>15737</v>
      </c>
      <c r="B8254" s="5" t="s">
        <v>15738</v>
      </c>
      <c r="C8254" s="3" t="s">
        <v>5</v>
      </c>
    </row>
    <row r="8255" spans="1:3" ht="15.75" thickBot="1">
      <c r="A8255" s="6" t="s">
        <v>15739</v>
      </c>
      <c r="B8255" s="5" t="s">
        <v>15740</v>
      </c>
      <c r="C8255" s="3" t="s">
        <v>5</v>
      </c>
    </row>
    <row r="8256" spans="1:3" ht="15.75" thickBot="1">
      <c r="A8256" s="6" t="s">
        <v>15741</v>
      </c>
      <c r="B8256" s="5" t="s">
        <v>15742</v>
      </c>
      <c r="C8256" s="3" t="s">
        <v>5</v>
      </c>
    </row>
    <row r="8257" spans="1:3" ht="15.75" thickBot="1">
      <c r="A8257" s="6" t="s">
        <v>15743</v>
      </c>
      <c r="B8257" s="5" t="s">
        <v>15744</v>
      </c>
      <c r="C8257" s="3" t="s">
        <v>5</v>
      </c>
    </row>
    <row r="8258" spans="1:3" ht="15.75" thickBot="1">
      <c r="A8258" s="6" t="s">
        <v>15745</v>
      </c>
      <c r="B8258" s="5" t="s">
        <v>15746</v>
      </c>
      <c r="C8258" s="3" t="s">
        <v>5</v>
      </c>
    </row>
    <row r="8259" spans="1:3" ht="15.75" thickBot="1">
      <c r="A8259" s="6" t="s">
        <v>15747</v>
      </c>
      <c r="B8259" s="5" t="s">
        <v>15748</v>
      </c>
      <c r="C8259" s="3" t="s">
        <v>5</v>
      </c>
    </row>
    <row r="8260" spans="1:3" ht="15.75" thickBot="1">
      <c r="A8260" s="6" t="s">
        <v>15749</v>
      </c>
      <c r="B8260" s="5" t="s">
        <v>15750</v>
      </c>
      <c r="C8260" s="3" t="s">
        <v>5</v>
      </c>
    </row>
    <row r="8261" spans="1:3" ht="15.75" thickBot="1">
      <c r="A8261" s="6" t="s">
        <v>15751</v>
      </c>
      <c r="B8261" s="5" t="s">
        <v>15752</v>
      </c>
      <c r="C8261" s="3" t="s">
        <v>5</v>
      </c>
    </row>
    <row r="8262" spans="1:3" ht="15.75" thickBot="1">
      <c r="A8262" s="6" t="s">
        <v>15753</v>
      </c>
      <c r="B8262" s="5" t="s">
        <v>15754</v>
      </c>
      <c r="C8262" s="3" t="s">
        <v>5</v>
      </c>
    </row>
    <row r="8263" spans="1:3" ht="15.75" thickBot="1">
      <c r="A8263" s="6" t="s">
        <v>15755</v>
      </c>
      <c r="B8263" s="5" t="s">
        <v>15756</v>
      </c>
      <c r="C8263" s="3" t="s">
        <v>5</v>
      </c>
    </row>
    <row r="8264" spans="1:3" ht="15.75" thickBot="1">
      <c r="A8264" s="6" t="s">
        <v>15757</v>
      </c>
      <c r="B8264" s="5" t="s">
        <v>15758</v>
      </c>
      <c r="C8264" s="3" t="s">
        <v>5</v>
      </c>
    </row>
    <row r="8265" spans="1:3" ht="15.75" thickBot="1">
      <c r="A8265" s="6" t="s">
        <v>15759</v>
      </c>
      <c r="B8265" s="5" t="s">
        <v>15760</v>
      </c>
      <c r="C8265" s="3" t="s">
        <v>5</v>
      </c>
    </row>
    <row r="8266" spans="1:3" ht="15.75" thickBot="1">
      <c r="A8266" s="6" t="s">
        <v>15761</v>
      </c>
      <c r="B8266" s="5" t="s">
        <v>15762</v>
      </c>
      <c r="C8266" s="3" t="s">
        <v>5</v>
      </c>
    </row>
    <row r="8267" spans="1:3" ht="15.75" thickBot="1">
      <c r="A8267" s="6" t="s">
        <v>15763</v>
      </c>
      <c r="B8267" s="5" t="s">
        <v>15764</v>
      </c>
      <c r="C8267" s="3" t="s">
        <v>5</v>
      </c>
    </row>
    <row r="8268" spans="1:3" ht="15.75" thickBot="1">
      <c r="A8268" s="6" t="s">
        <v>15765</v>
      </c>
      <c r="B8268" s="5" t="s">
        <v>15766</v>
      </c>
      <c r="C8268" s="3" t="s">
        <v>5</v>
      </c>
    </row>
    <row r="8269" spans="1:3" ht="15.75" thickBot="1">
      <c r="A8269" s="6" t="s">
        <v>15767</v>
      </c>
      <c r="B8269" s="5" t="s">
        <v>15768</v>
      </c>
      <c r="C8269" s="3" t="s">
        <v>5</v>
      </c>
    </row>
    <row r="8270" spans="1:3" ht="15.75" thickBot="1">
      <c r="A8270" s="6" t="s">
        <v>15769</v>
      </c>
      <c r="B8270" s="5" t="s">
        <v>15768</v>
      </c>
      <c r="C8270" s="3" t="s">
        <v>5</v>
      </c>
    </row>
    <row r="8271" spans="1:3" ht="15.75" thickBot="1">
      <c r="A8271" s="6" t="s">
        <v>15770</v>
      </c>
      <c r="B8271" s="5" t="s">
        <v>15771</v>
      </c>
      <c r="C8271" s="3" t="s">
        <v>5</v>
      </c>
    </row>
    <row r="8272" spans="1:3" ht="15.75" thickBot="1">
      <c r="A8272" s="6" t="s">
        <v>15772</v>
      </c>
      <c r="B8272" s="5" t="s">
        <v>15773</v>
      </c>
      <c r="C8272" s="3" t="s">
        <v>5</v>
      </c>
    </row>
    <row r="8273" spans="1:3" ht="15.75" thickBot="1">
      <c r="A8273" s="6" t="s">
        <v>15774</v>
      </c>
      <c r="B8273" s="5" t="s">
        <v>15775</v>
      </c>
      <c r="C8273" s="3" t="s">
        <v>5</v>
      </c>
    </row>
    <row r="8274" spans="1:3" ht="15.75" thickBot="1">
      <c r="A8274" s="6" t="s">
        <v>15776</v>
      </c>
      <c r="B8274" s="5" t="s">
        <v>15777</v>
      </c>
      <c r="C8274" s="3" t="s">
        <v>5</v>
      </c>
    </row>
    <row r="8275" spans="1:3" ht="15.75" thickBot="1">
      <c r="A8275" s="6" t="s">
        <v>15778</v>
      </c>
      <c r="B8275" s="5" t="s">
        <v>15779</v>
      </c>
      <c r="C8275" s="3" t="s">
        <v>5</v>
      </c>
    </row>
    <row r="8276" spans="1:3" ht="15.75" thickBot="1">
      <c r="A8276" s="6" t="s">
        <v>15780</v>
      </c>
      <c r="B8276" s="5" t="s">
        <v>15781</v>
      </c>
      <c r="C8276" s="3" t="s">
        <v>5</v>
      </c>
    </row>
    <row r="8277" spans="1:3" ht="15.75" thickBot="1">
      <c r="A8277" s="6" t="s">
        <v>15782</v>
      </c>
      <c r="B8277" s="5" t="s">
        <v>15783</v>
      </c>
      <c r="C8277" s="3" t="s">
        <v>5</v>
      </c>
    </row>
    <row r="8278" spans="1:3" ht="15.75" thickBot="1">
      <c r="A8278" s="6" t="s">
        <v>15784</v>
      </c>
      <c r="B8278" s="5" t="s">
        <v>10679</v>
      </c>
      <c r="C8278" s="3" t="s">
        <v>5</v>
      </c>
    </row>
    <row r="8279" spans="1:3" ht="15.75" thickBot="1">
      <c r="A8279" s="6" t="s">
        <v>15785</v>
      </c>
      <c r="B8279" s="5" t="s">
        <v>15786</v>
      </c>
      <c r="C8279" s="3" t="s">
        <v>5</v>
      </c>
    </row>
    <row r="8280" spans="1:3" ht="15.75" thickBot="1">
      <c r="A8280" s="6" t="s">
        <v>15787</v>
      </c>
      <c r="B8280" s="5" t="s">
        <v>15788</v>
      </c>
      <c r="C8280" s="3" t="s">
        <v>5</v>
      </c>
    </row>
    <row r="8281" spans="1:3" ht="15.75" thickBot="1">
      <c r="A8281" s="6" t="s">
        <v>15789</v>
      </c>
      <c r="B8281" s="5" t="s">
        <v>15790</v>
      </c>
      <c r="C8281" s="3" t="s">
        <v>5</v>
      </c>
    </row>
    <row r="8282" spans="1:3" ht="15.75" thickBot="1">
      <c r="A8282" s="6" t="s">
        <v>15791</v>
      </c>
      <c r="B8282" s="5" t="s">
        <v>15792</v>
      </c>
      <c r="C8282" s="3" t="s">
        <v>5</v>
      </c>
    </row>
    <row r="8283" spans="1:3" ht="15.75" thickBot="1">
      <c r="A8283" s="6" t="s">
        <v>15793</v>
      </c>
      <c r="B8283" s="5" t="s">
        <v>15794</v>
      </c>
      <c r="C8283" s="3" t="s">
        <v>5</v>
      </c>
    </row>
    <row r="8284" spans="1:3" ht="15.75" thickBot="1">
      <c r="A8284" s="6" t="s">
        <v>15795</v>
      </c>
      <c r="B8284" s="5" t="s">
        <v>15796</v>
      </c>
      <c r="C8284" s="3" t="s">
        <v>5</v>
      </c>
    </row>
    <row r="8285" spans="1:3" ht="15.75" thickBot="1">
      <c r="A8285" s="6" t="s">
        <v>15797</v>
      </c>
      <c r="B8285" s="5" t="s">
        <v>15798</v>
      </c>
      <c r="C8285" s="3" t="s">
        <v>5</v>
      </c>
    </row>
    <row r="8286" spans="1:3" ht="15.75" thickBot="1">
      <c r="A8286" s="6" t="s">
        <v>15799</v>
      </c>
      <c r="B8286" s="5" t="s">
        <v>15800</v>
      </c>
      <c r="C8286" s="3" t="s">
        <v>5</v>
      </c>
    </row>
    <row r="8287" spans="1:3" ht="15.75" thickBot="1">
      <c r="A8287" s="6" t="s">
        <v>15801</v>
      </c>
      <c r="B8287" s="5" t="s">
        <v>15802</v>
      </c>
      <c r="C8287" s="3" t="s">
        <v>5</v>
      </c>
    </row>
    <row r="8288" spans="1:3" ht="15.75" thickBot="1">
      <c r="A8288" s="6" t="s">
        <v>15803</v>
      </c>
      <c r="B8288" s="5" t="s">
        <v>15804</v>
      </c>
      <c r="C8288" s="3" t="s">
        <v>5</v>
      </c>
    </row>
    <row r="8289" spans="1:3" ht="15.75" thickBot="1">
      <c r="A8289" s="6" t="s">
        <v>15805</v>
      </c>
      <c r="B8289" s="5" t="s">
        <v>15806</v>
      </c>
      <c r="C8289" s="3" t="s">
        <v>5</v>
      </c>
    </row>
    <row r="8290" spans="1:3" ht="15.75" thickBot="1">
      <c r="A8290" s="6" t="s">
        <v>15807</v>
      </c>
      <c r="B8290" s="5" t="s">
        <v>15808</v>
      </c>
      <c r="C8290" s="3" t="s">
        <v>5</v>
      </c>
    </row>
    <row r="8291" spans="1:3" ht="15.75" thickBot="1">
      <c r="A8291" s="6" t="s">
        <v>12886</v>
      </c>
      <c r="B8291" s="5" t="s">
        <v>15809</v>
      </c>
      <c r="C8291" s="3" t="s">
        <v>5</v>
      </c>
    </row>
    <row r="8292" spans="1:3" ht="15.75" thickBot="1">
      <c r="A8292" s="6" t="s">
        <v>15810</v>
      </c>
      <c r="B8292" s="5" t="s">
        <v>15811</v>
      </c>
      <c r="C8292" s="3" t="s">
        <v>5</v>
      </c>
    </row>
    <row r="8293" spans="1:3" ht="15.75" thickBot="1">
      <c r="A8293" s="6" t="s">
        <v>15812</v>
      </c>
      <c r="B8293" s="5" t="s">
        <v>15813</v>
      </c>
      <c r="C8293" s="3" t="s">
        <v>5</v>
      </c>
    </row>
    <row r="8294" spans="1:3" ht="15.75" thickBot="1">
      <c r="A8294" s="6" t="s">
        <v>15814</v>
      </c>
      <c r="B8294" s="5" t="s">
        <v>15815</v>
      </c>
      <c r="C8294" s="3" t="s">
        <v>5</v>
      </c>
    </row>
    <row r="8295" spans="1:3" ht="15.75" thickBot="1">
      <c r="A8295" s="6" t="s">
        <v>15816</v>
      </c>
      <c r="B8295" s="5" t="s">
        <v>15817</v>
      </c>
      <c r="C8295" s="3" t="s">
        <v>5</v>
      </c>
    </row>
    <row r="8296" spans="1:3" ht="15.75" thickBot="1">
      <c r="A8296" s="6" t="s">
        <v>15818</v>
      </c>
      <c r="B8296" s="5" t="s">
        <v>15819</v>
      </c>
      <c r="C8296" s="3" t="s">
        <v>5</v>
      </c>
    </row>
    <row r="8297" spans="1:3" ht="15.75" thickBot="1">
      <c r="A8297" s="6" t="s">
        <v>15820</v>
      </c>
      <c r="B8297" s="5" t="s">
        <v>15821</v>
      </c>
      <c r="C8297" s="3" t="s">
        <v>5</v>
      </c>
    </row>
    <row r="8298" spans="1:3" ht="15.75" thickBot="1">
      <c r="A8298" s="6" t="s">
        <v>15822</v>
      </c>
      <c r="B8298" s="5" t="s">
        <v>15823</v>
      </c>
      <c r="C8298" s="3" t="s">
        <v>5</v>
      </c>
    </row>
    <row r="8299" spans="1:3" ht="15.75" thickBot="1">
      <c r="A8299" s="6" t="s">
        <v>15824</v>
      </c>
      <c r="B8299" s="5" t="s">
        <v>15825</v>
      </c>
      <c r="C8299" s="3" t="s">
        <v>5</v>
      </c>
    </row>
    <row r="8300" spans="1:3" ht="15.75" thickBot="1">
      <c r="A8300" s="6" t="s">
        <v>15826</v>
      </c>
      <c r="B8300" s="5" t="s">
        <v>15827</v>
      </c>
      <c r="C8300" s="3" t="s">
        <v>5</v>
      </c>
    </row>
    <row r="8301" spans="1:3" ht="15.75" thickBot="1">
      <c r="A8301" s="6" t="s">
        <v>15828</v>
      </c>
      <c r="B8301" s="5" t="s">
        <v>15829</v>
      </c>
      <c r="C8301" s="3" t="s">
        <v>5</v>
      </c>
    </row>
    <row r="8302" spans="1:3" ht="15.75" thickBot="1">
      <c r="A8302" s="6" t="s">
        <v>15830</v>
      </c>
      <c r="B8302" s="5" t="s">
        <v>15831</v>
      </c>
      <c r="C8302" s="3" t="s">
        <v>5</v>
      </c>
    </row>
    <row r="8303" spans="1:3" ht="15.75" thickBot="1">
      <c r="A8303" s="6" t="s">
        <v>15832</v>
      </c>
      <c r="B8303" s="5" t="s">
        <v>15833</v>
      </c>
      <c r="C8303" s="3" t="s">
        <v>5</v>
      </c>
    </row>
    <row r="8304" spans="1:3" ht="15.75" thickBot="1">
      <c r="A8304" s="6" t="s">
        <v>15834</v>
      </c>
      <c r="B8304" s="5" t="s">
        <v>15835</v>
      </c>
      <c r="C8304" s="3" t="s">
        <v>5</v>
      </c>
    </row>
    <row r="8305" spans="1:3" ht="15.75" thickBot="1">
      <c r="A8305" s="6" t="s">
        <v>15836</v>
      </c>
      <c r="B8305" s="5" t="s">
        <v>15837</v>
      </c>
      <c r="C8305" s="3" t="s">
        <v>5</v>
      </c>
    </row>
    <row r="8306" spans="1:3" ht="15.75" thickBot="1">
      <c r="A8306" s="6" t="s">
        <v>15838</v>
      </c>
      <c r="B8306" s="5" t="s">
        <v>15839</v>
      </c>
      <c r="C8306" s="3" t="s">
        <v>5</v>
      </c>
    </row>
    <row r="8307" spans="1:3" ht="15.75" thickBot="1">
      <c r="A8307" s="6" t="s">
        <v>15840</v>
      </c>
      <c r="B8307" s="5" t="s">
        <v>15841</v>
      </c>
      <c r="C8307" s="3" t="s">
        <v>5</v>
      </c>
    </row>
    <row r="8308" spans="1:3" ht="15.75" thickBot="1">
      <c r="A8308" s="6" t="s">
        <v>15842</v>
      </c>
      <c r="B8308" s="5" t="s">
        <v>15843</v>
      </c>
      <c r="C8308" s="3" t="s">
        <v>5</v>
      </c>
    </row>
    <row r="8309" spans="1:3" ht="15.75" thickBot="1">
      <c r="A8309" s="6" t="s">
        <v>15844</v>
      </c>
      <c r="B8309" s="5" t="s">
        <v>15845</v>
      </c>
      <c r="C8309" s="3" t="s">
        <v>5</v>
      </c>
    </row>
    <row r="8310" spans="1:3" ht="15.75" thickBot="1">
      <c r="A8310" s="6" t="s">
        <v>15846</v>
      </c>
      <c r="B8310" s="5" t="s">
        <v>15847</v>
      </c>
      <c r="C8310" s="3" t="s">
        <v>5</v>
      </c>
    </row>
    <row r="8311" spans="1:3" ht="15.75" thickBot="1">
      <c r="A8311" s="6" t="s">
        <v>15848</v>
      </c>
      <c r="B8311" s="5" t="e">
        <f xml:space="preserve"> smooth core</f>
        <v>#NAME?</v>
      </c>
      <c r="C8311" s="3" t="s">
        <v>5</v>
      </c>
    </row>
    <row r="8312" spans="1:3" ht="15.75" thickBot="1">
      <c r="A8312" s="6" t="s">
        <v>15849</v>
      </c>
      <c r="B8312" s="5" t="s">
        <v>15850</v>
      </c>
      <c r="C8312" s="3" t="s">
        <v>5</v>
      </c>
    </row>
    <row r="8313" spans="1:3" ht="15.75" thickBot="1">
      <c r="A8313" s="6" t="s">
        <v>15851</v>
      </c>
      <c r="B8313" s="5" t="s">
        <v>15852</v>
      </c>
      <c r="C8313" s="3" t="s">
        <v>5</v>
      </c>
    </row>
    <row r="8314" spans="1:3" ht="15.75" thickBot="1">
      <c r="A8314" s="6" t="s">
        <v>15853</v>
      </c>
      <c r="B8314" s="5" t="s">
        <v>15854</v>
      </c>
      <c r="C8314" s="3" t="s">
        <v>5</v>
      </c>
    </row>
    <row r="8315" spans="1:3" ht="15.75" thickBot="1">
      <c r="A8315" s="6" t="s">
        <v>15855</v>
      </c>
      <c r="B8315" s="5" t="s">
        <v>15856</v>
      </c>
      <c r="C8315" s="3" t="s">
        <v>5</v>
      </c>
    </row>
    <row r="8316" spans="1:3" ht="15.75" thickBot="1">
      <c r="A8316" s="6" t="s">
        <v>15857</v>
      </c>
      <c r="B8316" s="5" t="s">
        <v>15858</v>
      </c>
      <c r="C8316" s="3" t="s">
        <v>5</v>
      </c>
    </row>
    <row r="8317" spans="1:3" ht="15.75" thickBot="1">
      <c r="A8317" s="6" t="s">
        <v>15859</v>
      </c>
      <c r="B8317" s="5" t="s">
        <v>15860</v>
      </c>
      <c r="C8317" s="3" t="s">
        <v>5</v>
      </c>
    </row>
    <row r="8318" spans="1:3" ht="15.75" thickBot="1">
      <c r="A8318" s="6" t="s">
        <v>15861</v>
      </c>
      <c r="B8318" s="5" t="s">
        <v>15862</v>
      </c>
      <c r="C8318" s="3" t="s">
        <v>5</v>
      </c>
    </row>
    <row r="8319" spans="1:3" ht="15.75" thickBot="1">
      <c r="A8319" s="6" t="s">
        <v>15863</v>
      </c>
      <c r="B8319" s="5" t="s">
        <v>15864</v>
      </c>
      <c r="C8319" s="3" t="s">
        <v>5</v>
      </c>
    </row>
    <row r="8320" spans="1:3" ht="15.75" thickBot="1">
      <c r="A8320" s="6" t="s">
        <v>15865</v>
      </c>
      <c r="B8320" s="5" t="s">
        <v>15866</v>
      </c>
      <c r="C8320" s="3" t="s">
        <v>5</v>
      </c>
    </row>
    <row r="8321" spans="1:3" ht="15.75" thickBot="1">
      <c r="A8321" s="6" t="s">
        <v>15867</v>
      </c>
      <c r="B8321" s="5" t="s">
        <v>15868</v>
      </c>
      <c r="C8321" s="3" t="s">
        <v>5</v>
      </c>
    </row>
    <row r="8322" spans="1:3" ht="15.75" thickBot="1">
      <c r="A8322" s="6" t="s">
        <v>15869</v>
      </c>
      <c r="B8322" s="5" t="s">
        <v>15870</v>
      </c>
      <c r="C8322" s="3" t="s">
        <v>5</v>
      </c>
    </row>
    <row r="8323" spans="1:3" ht="15.75" thickBot="1">
      <c r="A8323" s="6" t="s">
        <v>15871</v>
      </c>
      <c r="B8323" s="5" t="s">
        <v>15872</v>
      </c>
      <c r="C8323" s="3" t="s">
        <v>5</v>
      </c>
    </row>
    <row r="8324" spans="1:3" ht="15.75" thickBot="1">
      <c r="A8324" s="6" t="s">
        <v>15873</v>
      </c>
      <c r="B8324" s="5" t="s">
        <v>15874</v>
      </c>
      <c r="C8324" s="3" t="s">
        <v>5</v>
      </c>
    </row>
    <row r="8325" spans="1:3" ht="15.75" thickBot="1">
      <c r="A8325" s="6" t="s">
        <v>15875</v>
      </c>
      <c r="B8325" s="5" t="s">
        <v>15876</v>
      </c>
      <c r="C8325" s="3" t="s">
        <v>5</v>
      </c>
    </row>
    <row r="8326" spans="1:3">
      <c r="A8326" s="1" t="s">
        <v>15877</v>
      </c>
      <c r="B8326" s="2" t="s">
        <v>15878</v>
      </c>
      <c r="C8326" s="3" t="s">
        <v>5</v>
      </c>
    </row>
    <row r="8327" spans="1:3" ht="15.75" thickBot="1">
      <c r="A8327" s="4"/>
      <c r="B8327" s="5" t="e">
        <f xml:space="preserve"> utility factor</f>
        <v>#NAME?</v>
      </c>
      <c r="C8327" s="3" t="s">
        <v>5</v>
      </c>
    </row>
    <row r="8328" spans="1:3" ht="15.75" thickBot="1">
      <c r="A8328" s="6" t="s">
        <v>15879</v>
      </c>
      <c r="B8328" s="5" t="s">
        <v>15880</v>
      </c>
      <c r="C8328" s="3" t="s">
        <v>5</v>
      </c>
    </row>
    <row r="8329" spans="1:3" ht="15.75" thickBot="1">
      <c r="A8329" s="6" t="s">
        <v>15881</v>
      </c>
      <c r="B8329" s="5" t="s">
        <v>15882</v>
      </c>
      <c r="C8329" s="3" t="s">
        <v>5</v>
      </c>
    </row>
    <row r="8330" spans="1:3" ht="15.75" thickBot="1">
      <c r="A8330" s="6" t="s">
        <v>15883</v>
      </c>
      <c r="B8330" s="5" t="s">
        <v>15884</v>
      </c>
      <c r="C8330" s="3" t="s">
        <v>5</v>
      </c>
    </row>
    <row r="8331" spans="1:3" ht="15.75" thickBot="1">
      <c r="A8331" s="6" t="s">
        <v>15885</v>
      </c>
      <c r="B8331" s="5" t="s">
        <v>15886</v>
      </c>
      <c r="C8331" s="3" t="s">
        <v>5</v>
      </c>
    </row>
    <row r="8332" spans="1:3" ht="15.75" thickBot="1">
      <c r="A8332" s="6" t="s">
        <v>15887</v>
      </c>
      <c r="B8332" s="5" t="s">
        <v>15888</v>
      </c>
      <c r="C8332" s="3" t="s">
        <v>5</v>
      </c>
    </row>
    <row r="8333" spans="1:3" ht="15.75" thickBot="1">
      <c r="A8333" s="6" t="s">
        <v>15889</v>
      </c>
      <c r="B8333" s="5" t="s">
        <v>15890</v>
      </c>
      <c r="C8333" s="3" t="s">
        <v>5</v>
      </c>
    </row>
    <row r="8334" spans="1:3" ht="15.75" thickBot="1">
      <c r="A8334" s="6" t="s">
        <v>15891</v>
      </c>
      <c r="B8334" s="5" t="s">
        <v>15892</v>
      </c>
      <c r="C8334" s="3" t="s">
        <v>5</v>
      </c>
    </row>
    <row r="8335" spans="1:3" ht="15.75" thickBot="1">
      <c r="A8335" s="6" t="s">
        <v>15893</v>
      </c>
      <c r="B8335" s="5" t="s">
        <v>15894</v>
      </c>
      <c r="C8335" s="3" t="s">
        <v>5</v>
      </c>
    </row>
    <row r="8336" spans="1:3" ht="15.75" thickBot="1">
      <c r="A8336" s="6" t="s">
        <v>15895</v>
      </c>
      <c r="B8336" s="5" t="s">
        <v>15896</v>
      </c>
      <c r="C8336" s="3" t="s">
        <v>5</v>
      </c>
    </row>
    <row r="8337" spans="1:3" ht="15.75" thickBot="1">
      <c r="A8337" s="6" t="s">
        <v>15895</v>
      </c>
      <c r="B8337" s="5" t="s">
        <v>15897</v>
      </c>
      <c r="C8337" s="3" t="s">
        <v>5</v>
      </c>
    </row>
    <row r="8338" spans="1:3" ht="15.75" thickBot="1">
      <c r="A8338" s="6" t="s">
        <v>15898</v>
      </c>
      <c r="B8338" s="5" t="s">
        <v>15899</v>
      </c>
      <c r="C8338" s="3" t="s">
        <v>5</v>
      </c>
    </row>
    <row r="8339" spans="1:3" ht="15.75" thickBot="1">
      <c r="A8339" s="6" t="s">
        <v>15900</v>
      </c>
      <c r="B8339" s="5" t="s">
        <v>15901</v>
      </c>
      <c r="C8339" s="3" t="s">
        <v>5</v>
      </c>
    </row>
    <row r="8340" spans="1:3" ht="15.75" thickBot="1">
      <c r="A8340" s="6" t="s">
        <v>15902</v>
      </c>
      <c r="B8340" s="5" t="s">
        <v>15903</v>
      </c>
      <c r="C8340" s="3" t="s">
        <v>5</v>
      </c>
    </row>
    <row r="8341" spans="1:3" ht="15.75" thickBot="1">
      <c r="A8341" s="6" t="s">
        <v>15904</v>
      </c>
      <c r="B8341" s="5" t="s">
        <v>15905</v>
      </c>
      <c r="C8341" s="3" t="s">
        <v>5</v>
      </c>
    </row>
    <row r="8342" spans="1:3" ht="15.75" thickBot="1">
      <c r="A8342" s="6" t="s">
        <v>15906</v>
      </c>
      <c r="B8342" s="5" t="s">
        <v>15907</v>
      </c>
      <c r="C8342" s="3" t="s">
        <v>5</v>
      </c>
    </row>
    <row r="8343" spans="1:3" ht="15.75" thickBot="1">
      <c r="A8343" s="6" t="s">
        <v>15908</v>
      </c>
      <c r="B8343" s="5" t="s">
        <v>15909</v>
      </c>
      <c r="C8343" s="3" t="s">
        <v>5</v>
      </c>
    </row>
    <row r="8344" spans="1:3" ht="15.75" thickBot="1">
      <c r="A8344" s="6" t="s">
        <v>15910</v>
      </c>
      <c r="B8344" s="5" t="s">
        <v>15911</v>
      </c>
      <c r="C8344" s="3" t="s">
        <v>5</v>
      </c>
    </row>
    <row r="8345" spans="1:3" ht="15.75" thickBot="1">
      <c r="A8345" s="6" t="s">
        <v>15912</v>
      </c>
      <c r="B8345" s="5" t="s">
        <v>15913</v>
      </c>
      <c r="C8345" s="3" t="s">
        <v>5</v>
      </c>
    </row>
    <row r="8346" spans="1:3" ht="15.75" thickBot="1">
      <c r="A8346" s="6" t="s">
        <v>15914</v>
      </c>
      <c r="B8346" s="5" t="s">
        <v>15915</v>
      </c>
      <c r="C8346" s="3" t="s">
        <v>5</v>
      </c>
    </row>
    <row r="8347" spans="1:3" ht="15.75" thickBot="1">
      <c r="A8347" s="6" t="s">
        <v>15916</v>
      </c>
      <c r="B8347" s="5" t="s">
        <v>15917</v>
      </c>
      <c r="C8347" s="3" t="s">
        <v>5</v>
      </c>
    </row>
    <row r="8348" spans="1:3" ht="26.25" thickBot="1">
      <c r="A8348" s="6" t="s">
        <v>15918</v>
      </c>
      <c r="B8348" s="5" t="s">
        <v>15919</v>
      </c>
      <c r="C8348" s="3" t="s">
        <v>5</v>
      </c>
    </row>
    <row r="8349" spans="1:3" ht="15.75" thickBot="1">
      <c r="A8349" s="6" t="s">
        <v>15920</v>
      </c>
      <c r="B8349" s="5" t="s">
        <v>15921</v>
      </c>
      <c r="C8349" s="3" t="s">
        <v>5</v>
      </c>
    </row>
    <row r="8350" spans="1:3" ht="15.75" thickBot="1">
      <c r="A8350" s="6" t="s">
        <v>15922</v>
      </c>
      <c r="B8350" s="5" t="s">
        <v>15923</v>
      </c>
      <c r="C8350" s="3" t="s">
        <v>5</v>
      </c>
    </row>
    <row r="8351" spans="1:3" ht="15.75" thickBot="1">
      <c r="A8351" s="6" t="s">
        <v>15924</v>
      </c>
      <c r="B8351" s="5" t="s">
        <v>15925</v>
      </c>
      <c r="C8351" s="3" t="s">
        <v>5</v>
      </c>
    </row>
    <row r="8352" spans="1:3" ht="15.75" thickBot="1">
      <c r="A8352" s="6" t="s">
        <v>15926</v>
      </c>
      <c r="B8352" s="5" t="s">
        <v>13393</v>
      </c>
      <c r="C8352" s="3" t="s">
        <v>5</v>
      </c>
    </row>
    <row r="8353" spans="1:3" ht="15.75" thickBot="1">
      <c r="A8353" s="6" t="s">
        <v>15927</v>
      </c>
      <c r="B8353" s="5" t="s">
        <v>15928</v>
      </c>
      <c r="C8353" s="3" t="s">
        <v>5</v>
      </c>
    </row>
    <row r="8354" spans="1:3" ht="15.75" thickBot="1">
      <c r="A8354" s="6" t="s">
        <v>15929</v>
      </c>
      <c r="B8354" s="5" t="s">
        <v>15930</v>
      </c>
      <c r="C8354" s="3" t="s">
        <v>5</v>
      </c>
    </row>
    <row r="8355" spans="1:3" ht="15.75" thickBot="1">
      <c r="A8355" s="6" t="s">
        <v>15931</v>
      </c>
      <c r="B8355" s="5" t="s">
        <v>15932</v>
      </c>
      <c r="C8355" s="3" t="s">
        <v>5</v>
      </c>
    </row>
    <row r="8356" spans="1:3" ht="15.75" thickBot="1">
      <c r="A8356" s="6" t="s">
        <v>15933</v>
      </c>
      <c r="B8356" s="5" t="s">
        <v>15934</v>
      </c>
      <c r="C8356" s="3" t="s">
        <v>5</v>
      </c>
    </row>
    <row r="8357" spans="1:3" ht="15.75" thickBot="1">
      <c r="A8357" s="6" t="s">
        <v>15935</v>
      </c>
      <c r="B8357" s="5" t="s">
        <v>15936</v>
      </c>
      <c r="C8357" s="3" t="s">
        <v>5</v>
      </c>
    </row>
    <row r="8358" spans="1:3" ht="15.75" thickBot="1">
      <c r="A8358" s="6" t="s">
        <v>15937</v>
      </c>
      <c r="B8358" s="5" t="s">
        <v>15938</v>
      </c>
      <c r="C8358" s="3" t="s">
        <v>5</v>
      </c>
    </row>
    <row r="8359" spans="1:3" ht="15.75" thickBot="1">
      <c r="A8359" s="6" t="s">
        <v>15939</v>
      </c>
      <c r="B8359" s="5" t="s">
        <v>15940</v>
      </c>
      <c r="C8359" s="3" t="s">
        <v>5</v>
      </c>
    </row>
    <row r="8360" spans="1:3" ht="15.75" thickBot="1">
      <c r="A8360" s="6" t="s">
        <v>15941</v>
      </c>
      <c r="B8360" s="5" t="s">
        <v>15942</v>
      </c>
      <c r="C8360" s="3" t="s">
        <v>5</v>
      </c>
    </row>
    <row r="8361" spans="1:3" ht="15.75" thickBot="1">
      <c r="A8361" s="6" t="s">
        <v>15943</v>
      </c>
      <c r="B8361" s="5" t="s">
        <v>15944</v>
      </c>
      <c r="C8361" s="3" t="s">
        <v>5</v>
      </c>
    </row>
    <row r="8362" spans="1:3" ht="15.75" thickBot="1">
      <c r="A8362" s="6" t="s">
        <v>15945</v>
      </c>
      <c r="B8362" s="5" t="s">
        <v>15946</v>
      </c>
      <c r="C8362" s="3" t="s">
        <v>5</v>
      </c>
    </row>
    <row r="8363" spans="1:3" ht="15.75" thickBot="1">
      <c r="A8363" s="6" t="s">
        <v>15947</v>
      </c>
      <c r="B8363" s="5" t="s">
        <v>15948</v>
      </c>
      <c r="C8363" s="3" t="s">
        <v>5</v>
      </c>
    </row>
    <row r="8364" spans="1:3" ht="15.75" thickBot="1">
      <c r="A8364" s="6" t="s">
        <v>15949</v>
      </c>
      <c r="B8364" s="5" t="s">
        <v>15950</v>
      </c>
      <c r="C8364" s="3" t="s">
        <v>5</v>
      </c>
    </row>
    <row r="8365" spans="1:3">
      <c r="A8365" s="1" t="s">
        <v>15951</v>
      </c>
      <c r="B8365" s="2" t="s">
        <v>15952</v>
      </c>
      <c r="C8365" s="3" t="s">
        <v>5</v>
      </c>
    </row>
    <row r="8366" spans="1:3" ht="15.75" thickBot="1">
      <c r="A8366" s="4"/>
      <c r="B8366" s="5" t="s">
        <v>14230</v>
      </c>
      <c r="C8366" s="3" t="s">
        <v>5</v>
      </c>
    </row>
    <row r="8367" spans="1:3" ht="15.75" thickBot="1">
      <c r="A8367" s="6" t="s">
        <v>15953</v>
      </c>
      <c r="B8367" s="5" t="s">
        <v>15954</v>
      </c>
      <c r="C8367" s="3" t="s">
        <v>5</v>
      </c>
    </row>
    <row r="8368" spans="1:3" ht="15.75" thickBot="1">
      <c r="A8368" s="6" t="s">
        <v>15955</v>
      </c>
      <c r="B8368" s="5" t="s">
        <v>15956</v>
      </c>
      <c r="C8368" s="3" t="s">
        <v>5</v>
      </c>
    </row>
    <row r="8369" spans="1:3" ht="15.75" thickBot="1">
      <c r="A8369" s="6" t="s">
        <v>15957</v>
      </c>
      <c r="B8369" s="5" t="s">
        <v>15958</v>
      </c>
      <c r="C8369" s="3" t="s">
        <v>5</v>
      </c>
    </row>
    <row r="8370" spans="1:3" ht="15.75" thickBot="1">
      <c r="A8370" s="6" t="s">
        <v>15959</v>
      </c>
      <c r="B8370" s="5" t="s">
        <v>15960</v>
      </c>
      <c r="C8370" s="3" t="s">
        <v>5</v>
      </c>
    </row>
    <row r="8371" spans="1:3" ht="15.75" thickBot="1">
      <c r="A8371" s="6" t="s">
        <v>15961</v>
      </c>
      <c r="B8371" s="5" t="s">
        <v>15960</v>
      </c>
      <c r="C8371" s="3" t="s">
        <v>5</v>
      </c>
    </row>
    <row r="8372" spans="1:3" ht="15.75" thickBot="1">
      <c r="A8372" s="6" t="s">
        <v>15962</v>
      </c>
      <c r="B8372" s="5" t="s">
        <v>15963</v>
      </c>
      <c r="C8372" s="3" t="s">
        <v>5</v>
      </c>
    </row>
    <row r="8373" spans="1:3" ht="15.75" thickBot="1">
      <c r="A8373" s="6" t="s">
        <v>15964</v>
      </c>
      <c r="B8373" s="5" t="s">
        <v>15965</v>
      </c>
      <c r="C8373" s="3" t="s">
        <v>5</v>
      </c>
    </row>
    <row r="8374" spans="1:3" ht="15.75" thickBot="1">
      <c r="A8374" s="6" t="s">
        <v>15966</v>
      </c>
      <c r="B8374" s="5" t="s">
        <v>15967</v>
      </c>
      <c r="C8374" s="3" t="s">
        <v>5</v>
      </c>
    </row>
    <row r="8375" spans="1:3" ht="15.75" thickBot="1">
      <c r="A8375" s="6" t="s">
        <v>15968</v>
      </c>
      <c r="B8375" s="5" t="s">
        <v>15969</v>
      </c>
      <c r="C8375" s="3" t="s">
        <v>5</v>
      </c>
    </row>
    <row r="8376" spans="1:3" ht="15.75" thickBot="1">
      <c r="A8376" s="6" t="s">
        <v>15970</v>
      </c>
      <c r="B8376" s="5" t="s">
        <v>15971</v>
      </c>
      <c r="C8376" s="3" t="s">
        <v>5</v>
      </c>
    </row>
    <row r="8377" spans="1:3" ht="15.75" thickBot="1">
      <c r="A8377" s="6" t="s">
        <v>15972</v>
      </c>
      <c r="B8377" s="5" t="s">
        <v>15973</v>
      </c>
      <c r="C8377" s="3" t="s">
        <v>5</v>
      </c>
    </row>
    <row r="8378" spans="1:3" ht="15.75" thickBot="1">
      <c r="A8378" s="6" t="s">
        <v>15974</v>
      </c>
      <c r="B8378" s="5" t="s">
        <v>15975</v>
      </c>
      <c r="C8378" s="3" t="s">
        <v>5</v>
      </c>
    </row>
    <row r="8379" spans="1:3" ht="15.75" thickBot="1">
      <c r="A8379" s="6" t="s">
        <v>15976</v>
      </c>
      <c r="B8379" s="5" t="s">
        <v>15977</v>
      </c>
      <c r="C8379" s="3" t="s">
        <v>5</v>
      </c>
    </row>
    <row r="8380" spans="1:3" ht="15.75" thickBot="1">
      <c r="A8380" s="6" t="s">
        <v>15978</v>
      </c>
      <c r="B8380" s="5" t="s">
        <v>15979</v>
      </c>
      <c r="C8380" s="3" t="s">
        <v>5</v>
      </c>
    </row>
    <row r="8381" spans="1:3" ht="15.75" thickBot="1">
      <c r="A8381" s="6" t="s">
        <v>15980</v>
      </c>
      <c r="B8381" s="5" t="s">
        <v>15981</v>
      </c>
      <c r="C8381" s="3" t="s">
        <v>5</v>
      </c>
    </row>
    <row r="8382" spans="1:3" ht="15.75" thickBot="1">
      <c r="A8382" s="6" t="s">
        <v>15982</v>
      </c>
      <c r="B8382" s="5" t="s">
        <v>15983</v>
      </c>
      <c r="C8382" s="3" t="s">
        <v>5</v>
      </c>
    </row>
    <row r="8383" spans="1:3" ht="15.75" thickBot="1">
      <c r="A8383" s="6" t="s">
        <v>15984</v>
      </c>
      <c r="B8383" s="5" t="s">
        <v>15985</v>
      </c>
      <c r="C8383" s="3" t="s">
        <v>5</v>
      </c>
    </row>
    <row r="8384" spans="1:3" ht="15.75" thickBot="1">
      <c r="A8384" s="6" t="s">
        <v>15986</v>
      </c>
      <c r="B8384" s="5" t="s">
        <v>15987</v>
      </c>
      <c r="C8384" s="3" t="s">
        <v>5</v>
      </c>
    </row>
    <row r="8385" spans="1:3" ht="15.75" thickBot="1">
      <c r="A8385" s="6" t="s">
        <v>15988</v>
      </c>
      <c r="B8385" s="5" t="s">
        <v>15989</v>
      </c>
      <c r="C8385" s="3" t="s">
        <v>5</v>
      </c>
    </row>
    <row r="8386" spans="1:3" ht="15.75" thickBot="1">
      <c r="A8386" s="6" t="s">
        <v>15990</v>
      </c>
      <c r="B8386" s="5" t="s">
        <v>15991</v>
      </c>
      <c r="C8386" s="3" t="s">
        <v>5</v>
      </c>
    </row>
    <row r="8387" spans="1:3" ht="15.75" thickBot="1">
      <c r="A8387" s="6" t="s">
        <v>15992</v>
      </c>
      <c r="B8387" s="5" t="s">
        <v>15993</v>
      </c>
      <c r="C8387" s="3" t="s">
        <v>5</v>
      </c>
    </row>
    <row r="8388" spans="1:3" ht="15.75" thickBot="1">
      <c r="A8388" s="6" t="s">
        <v>15994</v>
      </c>
      <c r="B8388" s="5" t="s">
        <v>15995</v>
      </c>
      <c r="C8388" s="3" t="s">
        <v>5</v>
      </c>
    </row>
    <row r="8389" spans="1:3">
      <c r="A8389" s="1" t="s">
        <v>3193</v>
      </c>
      <c r="B8389" s="2" t="s">
        <v>15996</v>
      </c>
      <c r="C8389" s="3" t="s">
        <v>5</v>
      </c>
    </row>
    <row r="8390" spans="1:3" ht="26.25" thickBot="1">
      <c r="A8390" s="4"/>
      <c r="B8390" s="5" t="s">
        <v>15997</v>
      </c>
      <c r="C8390" s="3" t="s">
        <v>5</v>
      </c>
    </row>
    <row r="8391" spans="1:3" ht="15.75" thickBot="1">
      <c r="A8391" s="6" t="s">
        <v>15998</v>
      </c>
      <c r="B8391" s="5" t="s">
        <v>15999</v>
      </c>
      <c r="C8391" s="3" t="s">
        <v>5</v>
      </c>
    </row>
    <row r="8392" spans="1:3" ht="15.75" thickBot="1">
      <c r="A8392" s="6" t="s">
        <v>16000</v>
      </c>
      <c r="B8392" s="5" t="s">
        <v>16001</v>
      </c>
      <c r="C8392" s="3" t="s">
        <v>5</v>
      </c>
    </row>
    <row r="8393" spans="1:3">
      <c r="A8393" s="1" t="s">
        <v>16002</v>
      </c>
      <c r="B8393" s="2" t="s">
        <v>16003</v>
      </c>
      <c r="C8393" s="3" t="s">
        <v>5</v>
      </c>
    </row>
    <row r="8394" spans="1:3" ht="15.75" thickBot="1">
      <c r="A8394" s="4"/>
      <c r="B8394" s="5" t="s">
        <v>16004</v>
      </c>
      <c r="C8394" s="3" t="s">
        <v>5</v>
      </c>
    </row>
    <row r="8395" spans="1:3" ht="15.75" thickBot="1">
      <c r="A8395" s="6" t="s">
        <v>16005</v>
      </c>
      <c r="B8395" s="5" t="s">
        <v>16006</v>
      </c>
      <c r="C8395" s="3" t="s">
        <v>5</v>
      </c>
    </row>
    <row r="8396" spans="1:3" ht="15.75" thickBot="1">
      <c r="A8396" s="6" t="s">
        <v>16007</v>
      </c>
      <c r="B8396" s="5" t="s">
        <v>16008</v>
      </c>
      <c r="C8396" s="3" t="s">
        <v>5</v>
      </c>
    </row>
    <row r="8397" spans="1:3" ht="15.75" thickBot="1">
      <c r="A8397" s="6" t="s">
        <v>16009</v>
      </c>
      <c r="B8397" s="5" t="s">
        <v>16010</v>
      </c>
      <c r="C8397" s="3" t="s">
        <v>5</v>
      </c>
    </row>
    <row r="8398" spans="1:3" ht="15.75" thickBot="1">
      <c r="A8398" s="6" t="s">
        <v>16011</v>
      </c>
      <c r="B8398" s="5" t="s">
        <v>16012</v>
      </c>
      <c r="C8398" s="3" t="s">
        <v>5</v>
      </c>
    </row>
    <row r="8399" spans="1:3" ht="15.75" thickBot="1">
      <c r="A8399" s="6" t="s">
        <v>16013</v>
      </c>
      <c r="B8399" s="5" t="s">
        <v>16014</v>
      </c>
      <c r="C8399" s="3" t="s">
        <v>5</v>
      </c>
    </row>
    <row r="8400" spans="1:3" ht="15.75" thickBot="1">
      <c r="A8400" s="6" t="s">
        <v>16015</v>
      </c>
      <c r="B8400" s="5" t="s">
        <v>16016</v>
      </c>
      <c r="C8400" s="3" t="s">
        <v>5</v>
      </c>
    </row>
    <row r="8401" spans="1:3" ht="15.75" thickBot="1">
      <c r="A8401" s="6" t="s">
        <v>16017</v>
      </c>
      <c r="B8401" s="5" t="s">
        <v>16018</v>
      </c>
      <c r="C8401" s="3" t="s">
        <v>5</v>
      </c>
    </row>
    <row r="8402" spans="1:3" ht="15.75" thickBot="1">
      <c r="A8402" s="6" t="s">
        <v>16019</v>
      </c>
      <c r="B8402" s="5" t="s">
        <v>16020</v>
      </c>
      <c r="C8402" s="3" t="s">
        <v>5</v>
      </c>
    </row>
    <row r="8403" spans="1:3" ht="15.75" thickBot="1">
      <c r="A8403" s="6" t="s">
        <v>16021</v>
      </c>
      <c r="B8403" s="5" t="s">
        <v>16022</v>
      </c>
      <c r="C8403" s="3" t="s">
        <v>5</v>
      </c>
    </row>
    <row r="8404" spans="1:3" ht="15.75" thickBot="1">
      <c r="A8404" s="6" t="s">
        <v>16023</v>
      </c>
      <c r="B8404" s="5" t="s">
        <v>16024</v>
      </c>
      <c r="C8404" s="3" t="s">
        <v>5</v>
      </c>
    </row>
    <row r="8405" spans="1:3" ht="15.75" thickBot="1">
      <c r="A8405" s="6" t="s">
        <v>16025</v>
      </c>
      <c r="B8405" s="5" t="s">
        <v>16026</v>
      </c>
      <c r="C8405" s="3" t="s">
        <v>5</v>
      </c>
    </row>
    <row r="8406" spans="1:3" ht="15.75" thickBot="1">
      <c r="A8406" s="6" t="s">
        <v>16027</v>
      </c>
      <c r="B8406" s="5" t="s">
        <v>16028</v>
      </c>
      <c r="C8406" s="3" t="s">
        <v>5</v>
      </c>
    </row>
    <row r="8407" spans="1:3" ht="15.75" thickBot="1">
      <c r="A8407" s="6" t="s">
        <v>16029</v>
      </c>
      <c r="B8407" s="5" t="s">
        <v>16030</v>
      </c>
      <c r="C8407" s="3" t="s">
        <v>5</v>
      </c>
    </row>
    <row r="8408" spans="1:3" ht="26.25" thickBot="1">
      <c r="A8408" s="6" t="s">
        <v>16031</v>
      </c>
      <c r="B8408" s="5" t="s">
        <v>16032</v>
      </c>
      <c r="C8408" s="3" t="s">
        <v>5</v>
      </c>
    </row>
    <row r="8409" spans="1:3" ht="15.75" thickBot="1">
      <c r="A8409" s="6" t="s">
        <v>16033</v>
      </c>
      <c r="B8409" s="5" t="s">
        <v>16034</v>
      </c>
      <c r="C8409" s="3" t="s">
        <v>5</v>
      </c>
    </row>
    <row r="8410" spans="1:3" ht="15.75" thickBot="1">
      <c r="A8410" s="6" t="s">
        <v>16035</v>
      </c>
      <c r="B8410" s="5" t="s">
        <v>16036</v>
      </c>
      <c r="C8410" s="3" t="s">
        <v>5</v>
      </c>
    </row>
    <row r="8411" spans="1:3" ht="15.75" thickBot="1">
      <c r="A8411" s="6" t="s">
        <v>16037</v>
      </c>
      <c r="B8411" s="5" t="s">
        <v>16038</v>
      </c>
      <c r="C8411" s="3" t="s">
        <v>5</v>
      </c>
    </row>
    <row r="8412" spans="1:3" ht="15.75" thickBot="1">
      <c r="A8412" s="6" t="s">
        <v>16039</v>
      </c>
      <c r="B8412" s="5" t="s">
        <v>16040</v>
      </c>
      <c r="C8412" s="3" t="s">
        <v>5</v>
      </c>
    </row>
    <row r="8413" spans="1:3" ht="15.75" thickBot="1">
      <c r="A8413" s="6" t="s">
        <v>16041</v>
      </c>
      <c r="B8413" s="5" t="s">
        <v>16042</v>
      </c>
      <c r="C8413" s="3" t="s">
        <v>5</v>
      </c>
    </row>
    <row r="8414" spans="1:3" ht="15.75" thickBot="1">
      <c r="A8414" s="6" t="s">
        <v>16043</v>
      </c>
      <c r="B8414" s="5" t="s">
        <v>16044</v>
      </c>
      <c r="C8414" s="3" t="s">
        <v>5</v>
      </c>
    </row>
    <row r="8415" spans="1:3" ht="15.75" thickBot="1">
      <c r="A8415" s="6" t="s">
        <v>16045</v>
      </c>
      <c r="B8415" s="5" t="s">
        <v>16046</v>
      </c>
      <c r="C8415" s="3" t="s">
        <v>5</v>
      </c>
    </row>
    <row r="8416" spans="1:3" ht="15.75" thickBot="1">
      <c r="A8416" s="6" t="s">
        <v>16047</v>
      </c>
      <c r="B8416" s="5" t="s">
        <v>16048</v>
      </c>
      <c r="C8416" s="3" t="s">
        <v>5</v>
      </c>
    </row>
    <row r="8417" spans="1:3" ht="15.75" thickBot="1">
      <c r="A8417" s="6" t="s">
        <v>16049</v>
      </c>
      <c r="B8417" s="5" t="s">
        <v>16050</v>
      </c>
      <c r="C8417" s="3" t="s">
        <v>5</v>
      </c>
    </row>
    <row r="8418" spans="1:3" ht="15.75" thickBot="1">
      <c r="A8418" s="6" t="s">
        <v>16051</v>
      </c>
      <c r="B8418" s="5" t="s">
        <v>16052</v>
      </c>
      <c r="C8418" s="3" t="s">
        <v>5</v>
      </c>
    </row>
    <row r="8419" spans="1:3" ht="15.75" thickBot="1">
      <c r="A8419" s="6" t="s">
        <v>16053</v>
      </c>
      <c r="B8419" s="5" t="s">
        <v>16054</v>
      </c>
      <c r="C8419" s="3" t="s">
        <v>5</v>
      </c>
    </row>
    <row r="8420" spans="1:3" ht="15.75" thickBot="1">
      <c r="A8420" s="6" t="s">
        <v>16055</v>
      </c>
      <c r="B8420" s="5" t="s">
        <v>16056</v>
      </c>
      <c r="C8420" s="3" t="s">
        <v>5</v>
      </c>
    </row>
    <row r="8421" spans="1:3" ht="15.75" thickBot="1">
      <c r="A8421" s="6" t="s">
        <v>16057</v>
      </c>
      <c r="B8421" s="5" t="s">
        <v>16058</v>
      </c>
      <c r="C8421" s="3" t="s">
        <v>5</v>
      </c>
    </row>
    <row r="8422" spans="1:3" ht="15.75" thickBot="1">
      <c r="A8422" s="6" t="s">
        <v>16059</v>
      </c>
      <c r="B8422" s="5" t="s">
        <v>16060</v>
      </c>
      <c r="C8422" s="3" t="s">
        <v>5</v>
      </c>
    </row>
    <row r="8423" spans="1:3" ht="15.75" thickBot="1">
      <c r="A8423" s="6" t="s">
        <v>16061</v>
      </c>
      <c r="B8423" s="5" t="s">
        <v>16062</v>
      </c>
      <c r="C8423" s="3" t="s">
        <v>5</v>
      </c>
    </row>
    <row r="8424" spans="1:3" ht="15.75" thickBot="1">
      <c r="A8424" s="6" t="s">
        <v>16063</v>
      </c>
      <c r="B8424" s="5" t="s">
        <v>16064</v>
      </c>
      <c r="C8424" s="3" t="s">
        <v>5</v>
      </c>
    </row>
    <row r="8425" spans="1:3" ht="15.75" thickBot="1">
      <c r="A8425" s="6" t="s">
        <v>16065</v>
      </c>
      <c r="B8425" s="5" t="s">
        <v>16066</v>
      </c>
      <c r="C8425" s="3" t="s">
        <v>5</v>
      </c>
    </row>
    <row r="8426" spans="1:3" ht="15.75" thickBot="1">
      <c r="A8426" s="6" t="s">
        <v>16067</v>
      </c>
      <c r="B8426" s="5" t="s">
        <v>16068</v>
      </c>
      <c r="C8426" s="3" t="s">
        <v>5</v>
      </c>
    </row>
    <row r="8427" spans="1:3" ht="15.75" thickBot="1">
      <c r="A8427" s="6" t="s">
        <v>16069</v>
      </c>
      <c r="B8427" s="5" t="s">
        <v>16070</v>
      </c>
      <c r="C8427" s="3" t="s">
        <v>5</v>
      </c>
    </row>
    <row r="8428" spans="1:3" ht="15.75" thickBot="1">
      <c r="A8428" s="6" t="s">
        <v>16071</v>
      </c>
      <c r="B8428" s="5" t="e">
        <f xml:space="preserve"> television frequency</f>
        <v>#NAME?</v>
      </c>
      <c r="C8428" s="3" t="s">
        <v>5</v>
      </c>
    </row>
    <row r="8429" spans="1:3" ht="15.75" thickBot="1">
      <c r="A8429" s="6" t="s">
        <v>16072</v>
      </c>
      <c r="B8429" s="5" t="s">
        <v>16073</v>
      </c>
      <c r="C8429" s="3" t="s">
        <v>5</v>
      </c>
    </row>
    <row r="8430" spans="1:3" ht="15.75" thickBot="1">
      <c r="A8430" s="6" t="s">
        <v>16074</v>
      </c>
      <c r="B8430" s="5" t="s">
        <v>16075</v>
      </c>
      <c r="C8430" s="3" t="s">
        <v>5</v>
      </c>
    </row>
    <row r="8431" spans="1:3" ht="15.75" thickBot="1">
      <c r="A8431" s="6" t="s">
        <v>16076</v>
      </c>
      <c r="B8431" s="5" t="s">
        <v>16077</v>
      </c>
      <c r="C8431" s="3" t="s">
        <v>5</v>
      </c>
    </row>
    <row r="8432" spans="1:3" ht="15.75" thickBot="1">
      <c r="A8432" s="6" t="s">
        <v>16078</v>
      </c>
      <c r="B8432" s="5" t="s">
        <v>16079</v>
      </c>
      <c r="C8432" s="3" t="s">
        <v>5</v>
      </c>
    </row>
    <row r="8433" spans="1:3" ht="15.75" thickBot="1">
      <c r="A8433" s="6" t="s">
        <v>16080</v>
      </c>
      <c r="B8433" s="5" t="s">
        <v>16081</v>
      </c>
      <c r="C8433" s="3" t="s">
        <v>5</v>
      </c>
    </row>
    <row r="8434" spans="1:3" ht="15.75" thickBot="1">
      <c r="A8434" s="6" t="s">
        <v>16082</v>
      </c>
      <c r="B8434" s="5" t="s">
        <v>5104</v>
      </c>
      <c r="C8434" s="3" t="s">
        <v>5</v>
      </c>
    </row>
    <row r="8435" spans="1:3" ht="15.75" thickBot="1">
      <c r="A8435" s="6" t="s">
        <v>16083</v>
      </c>
      <c r="B8435" s="5" t="s">
        <v>16084</v>
      </c>
      <c r="C8435" s="3" t="s">
        <v>5</v>
      </c>
    </row>
    <row r="8436" spans="1:3" ht="15.75" thickBot="1">
      <c r="A8436" s="6" t="s">
        <v>16085</v>
      </c>
      <c r="B8436" s="5" t="s">
        <v>16086</v>
      </c>
      <c r="C8436" s="3" t="s">
        <v>5</v>
      </c>
    </row>
    <row r="8437" spans="1:3" ht="15.75" thickBot="1">
      <c r="A8437" s="6" t="s">
        <v>16087</v>
      </c>
      <c r="B8437" s="5" t="s">
        <v>16088</v>
      </c>
      <c r="C8437" s="3" t="s">
        <v>5</v>
      </c>
    </row>
    <row r="8438" spans="1:3" ht="15.75" thickBot="1">
      <c r="A8438" s="6" t="s">
        <v>16089</v>
      </c>
      <c r="B8438" s="5" t="s">
        <v>16090</v>
      </c>
      <c r="C8438" s="3" t="s">
        <v>5</v>
      </c>
    </row>
    <row r="8439" spans="1:3" ht="15.75" thickBot="1">
      <c r="A8439" s="6" t="s">
        <v>16091</v>
      </c>
      <c r="B8439" s="5" t="s">
        <v>16092</v>
      </c>
      <c r="C8439" s="3" t="s">
        <v>5</v>
      </c>
    </row>
    <row r="8440" spans="1:3" ht="15.75" thickBot="1">
      <c r="A8440" s="6" t="s">
        <v>16093</v>
      </c>
      <c r="B8440" s="5" t="s">
        <v>16094</v>
      </c>
      <c r="C8440" s="3" t="s">
        <v>5</v>
      </c>
    </row>
    <row r="8441" spans="1:3" ht="15.75" thickBot="1">
      <c r="A8441" s="6" t="s">
        <v>16095</v>
      </c>
      <c r="B8441" s="5" t="s">
        <v>16096</v>
      </c>
      <c r="C8441" s="3" t="s">
        <v>5</v>
      </c>
    </row>
    <row r="8442" spans="1:3" ht="15.75" thickBot="1">
      <c r="A8442" s="6" t="s">
        <v>16097</v>
      </c>
      <c r="B8442" s="5" t="s">
        <v>16098</v>
      </c>
      <c r="C8442" s="3" t="s">
        <v>5</v>
      </c>
    </row>
    <row r="8443" spans="1:3" ht="15.75" thickBot="1">
      <c r="A8443" s="6" t="s">
        <v>16099</v>
      </c>
      <c r="B8443" s="5" t="s">
        <v>16100</v>
      </c>
      <c r="C8443" s="3" t="s">
        <v>5</v>
      </c>
    </row>
    <row r="8444" spans="1:3" ht="15.75" thickBot="1">
      <c r="A8444" s="6" t="s">
        <v>16101</v>
      </c>
      <c r="B8444" s="5" t="s">
        <v>16102</v>
      </c>
      <c r="C8444" s="3" t="s">
        <v>5</v>
      </c>
    </row>
    <row r="8445" spans="1:3" ht="15.75" thickBot="1">
      <c r="A8445" s="6" t="s">
        <v>16103</v>
      </c>
      <c r="B8445" s="5" t="s">
        <v>16104</v>
      </c>
      <c r="C8445" s="3" t="s">
        <v>5</v>
      </c>
    </row>
    <row r="8446" spans="1:3" ht="15.75" thickBot="1">
      <c r="A8446" s="6" t="s">
        <v>16105</v>
      </c>
      <c r="B8446" s="5" t="s">
        <v>16106</v>
      </c>
      <c r="C8446" s="3" t="s">
        <v>5</v>
      </c>
    </row>
    <row r="8447" spans="1:3" ht="15.75" thickBot="1">
      <c r="A8447" s="6" t="s">
        <v>16107</v>
      </c>
      <c r="B8447" s="5" t="s">
        <v>16108</v>
      </c>
      <c r="C8447" s="3" t="s">
        <v>5</v>
      </c>
    </row>
    <row r="8448" spans="1:3" ht="15.75" thickBot="1">
      <c r="A8448" s="6" t="s">
        <v>16109</v>
      </c>
      <c r="B8448" s="5" t="s">
        <v>16110</v>
      </c>
      <c r="C8448" s="3" t="s">
        <v>5</v>
      </c>
    </row>
    <row r="8449" spans="1:3" ht="15.75" thickBot="1">
      <c r="A8449" s="6" t="s">
        <v>16111</v>
      </c>
      <c r="B8449" s="5" t="s">
        <v>16112</v>
      </c>
      <c r="C8449" s="3" t="s">
        <v>5</v>
      </c>
    </row>
    <row r="8450" spans="1:3">
      <c r="A8450" s="1" t="s">
        <v>16113</v>
      </c>
      <c r="B8450" s="2" t="s">
        <v>16114</v>
      </c>
      <c r="C8450" s="3" t="s">
        <v>5</v>
      </c>
    </row>
    <row r="8451" spans="1:3" ht="15.75" thickBot="1">
      <c r="A8451" s="4"/>
      <c r="B8451" s="5" t="s">
        <v>7423</v>
      </c>
      <c r="C8451" s="3" t="s">
        <v>5</v>
      </c>
    </row>
    <row r="8452" spans="1:3" ht="15.75" thickBot="1">
      <c r="A8452" s="6" t="s">
        <v>16115</v>
      </c>
      <c r="B8452" s="5" t="s">
        <v>16116</v>
      </c>
      <c r="C8452" s="3" t="s">
        <v>5</v>
      </c>
    </row>
    <row r="8453" spans="1:3" ht="15.75" thickBot="1">
      <c r="A8453" s="6" t="s">
        <v>16117</v>
      </c>
      <c r="B8453" s="5" t="s">
        <v>16118</v>
      </c>
      <c r="C8453" s="3" t="s">
        <v>5</v>
      </c>
    </row>
    <row r="8454" spans="1:3" ht="15.75" thickBot="1">
      <c r="A8454" s="6" t="s">
        <v>16119</v>
      </c>
      <c r="B8454" s="5" t="s">
        <v>16120</v>
      </c>
      <c r="C8454" s="3" t="s">
        <v>5</v>
      </c>
    </row>
    <row r="8455" spans="1:3" ht="15.75" thickBot="1">
      <c r="A8455" s="6" t="s">
        <v>16121</v>
      </c>
      <c r="B8455" s="5" t="s">
        <v>16122</v>
      </c>
      <c r="C8455" s="3" t="s">
        <v>5</v>
      </c>
    </row>
    <row r="8456" spans="1:3" ht="15.75" thickBot="1">
      <c r="A8456" s="6" t="s">
        <v>16123</v>
      </c>
      <c r="B8456" s="5" t="s">
        <v>16124</v>
      </c>
      <c r="C8456" s="3" t="s">
        <v>5</v>
      </c>
    </row>
    <row r="8457" spans="1:3" ht="15.75" thickBot="1">
      <c r="A8457" s="6" t="s">
        <v>16125</v>
      </c>
      <c r="B8457" s="5" t="s">
        <v>16126</v>
      </c>
      <c r="C8457" s="3" t="s">
        <v>5</v>
      </c>
    </row>
    <row r="8458" spans="1:3" ht="15.75" thickBot="1">
      <c r="A8458" s="6" t="s">
        <v>16127</v>
      </c>
      <c r="B8458" s="5" t="s">
        <v>16128</v>
      </c>
      <c r="C8458" s="3" t="s">
        <v>5</v>
      </c>
    </row>
    <row r="8459" spans="1:3" ht="15.75" thickBot="1">
      <c r="A8459" s="6" t="s">
        <v>16129</v>
      </c>
      <c r="B8459" s="5" t="s">
        <v>16130</v>
      </c>
      <c r="C8459" s="3" t="s">
        <v>5</v>
      </c>
    </row>
    <row r="8460" spans="1:3" ht="15.75" thickBot="1">
      <c r="A8460" s="6" t="s">
        <v>16131</v>
      </c>
      <c r="B8460" s="5" t="s">
        <v>16132</v>
      </c>
      <c r="C8460" s="3" t="s">
        <v>5</v>
      </c>
    </row>
    <row r="8461" spans="1:3" ht="15.75" thickBot="1">
      <c r="A8461" s="6" t="s">
        <v>16133</v>
      </c>
      <c r="B8461" s="5" t="s">
        <v>16134</v>
      </c>
      <c r="C8461" s="3" t="s">
        <v>5</v>
      </c>
    </row>
    <row r="8462" spans="1:3" ht="15.75" thickBot="1">
      <c r="A8462" s="6" t="s">
        <v>16135</v>
      </c>
      <c r="B8462" s="5" t="s">
        <v>16136</v>
      </c>
      <c r="C8462" s="3" t="s">
        <v>5</v>
      </c>
    </row>
    <row r="8463" spans="1:3" ht="15.75" thickBot="1">
      <c r="A8463" s="6" t="s">
        <v>16137</v>
      </c>
      <c r="B8463" s="5" t="s">
        <v>16138</v>
      </c>
      <c r="C8463" s="3" t="s">
        <v>5</v>
      </c>
    </row>
    <row r="8464" spans="1:3" ht="15.75" thickBot="1">
      <c r="A8464" s="6" t="s">
        <v>16139</v>
      </c>
      <c r="B8464" s="5" t="s">
        <v>16140</v>
      </c>
      <c r="C8464" s="3" t="s">
        <v>5</v>
      </c>
    </row>
    <row r="8465" spans="1:3" ht="15.75" thickBot="1">
      <c r="A8465" s="6" t="s">
        <v>16141</v>
      </c>
      <c r="B8465" s="5" t="s">
        <v>16142</v>
      </c>
      <c r="C8465" s="3" t="s">
        <v>5</v>
      </c>
    </row>
    <row r="8466" spans="1:3" ht="15.75" thickBot="1">
      <c r="A8466" s="6" t="s">
        <v>16143</v>
      </c>
      <c r="B8466" s="5" t="s">
        <v>16144</v>
      </c>
      <c r="C8466" s="3" t="s">
        <v>5</v>
      </c>
    </row>
    <row r="8467" spans="1:3" ht="15.75" thickBot="1">
      <c r="A8467" s="6" t="s">
        <v>16145</v>
      </c>
      <c r="B8467" s="5" t="s">
        <v>16146</v>
      </c>
      <c r="C8467" s="3" t="s">
        <v>5</v>
      </c>
    </row>
    <row r="8468" spans="1:3" ht="15.75" thickBot="1">
      <c r="A8468" s="6" t="s">
        <v>16147</v>
      </c>
      <c r="B8468" s="5" t="s">
        <v>16148</v>
      </c>
      <c r="C8468" s="3" t="s">
        <v>5</v>
      </c>
    </row>
    <row r="8469" spans="1:3" ht="15.75" thickBot="1">
      <c r="A8469" s="6" t="s">
        <v>16149</v>
      </c>
      <c r="B8469" s="5" t="s">
        <v>16150</v>
      </c>
      <c r="C8469" s="3" t="s">
        <v>5</v>
      </c>
    </row>
    <row r="8470" spans="1:3" ht="15.75" thickBot="1">
      <c r="A8470" s="6" t="s">
        <v>16151</v>
      </c>
      <c r="B8470" s="5" t="s">
        <v>16152</v>
      </c>
      <c r="C8470" s="3" t="s">
        <v>5</v>
      </c>
    </row>
    <row r="8471" spans="1:3" ht="15.75" thickBot="1">
      <c r="A8471" s="6" t="s">
        <v>16153</v>
      </c>
      <c r="B8471" s="5" t="s">
        <v>16154</v>
      </c>
      <c r="C8471" s="3" t="s">
        <v>5</v>
      </c>
    </row>
    <row r="8472" spans="1:3" ht="15.75" thickBot="1">
      <c r="A8472" s="6" t="s">
        <v>16155</v>
      </c>
      <c r="B8472" s="5" t="s">
        <v>16156</v>
      </c>
      <c r="C8472" s="3" t="s">
        <v>5</v>
      </c>
    </row>
    <row r="8473" spans="1:3" ht="15.75" thickBot="1">
      <c r="A8473" s="6" t="s">
        <v>16157</v>
      </c>
      <c r="B8473" s="5" t="s">
        <v>16158</v>
      </c>
      <c r="C8473" s="3" t="s">
        <v>5</v>
      </c>
    </row>
    <row r="8474" spans="1:3" ht="15.75" thickBot="1">
      <c r="A8474" s="6" t="s">
        <v>16159</v>
      </c>
      <c r="B8474" s="5" t="s">
        <v>16160</v>
      </c>
      <c r="C8474" s="3" t="s">
        <v>5</v>
      </c>
    </row>
    <row r="8475" spans="1:3" ht="15.75" thickBot="1">
      <c r="A8475" s="6" t="s">
        <v>16161</v>
      </c>
      <c r="B8475" s="5" t="s">
        <v>16162</v>
      </c>
      <c r="C8475" s="3" t="s">
        <v>5</v>
      </c>
    </row>
    <row r="8476" spans="1:3" ht="15.75" thickBot="1">
      <c r="A8476" s="6" t="s">
        <v>16163</v>
      </c>
      <c r="B8476" s="5" t="s">
        <v>16164</v>
      </c>
      <c r="C8476" s="3" t="s">
        <v>5</v>
      </c>
    </row>
    <row r="8477" spans="1:3" ht="15.75" thickBot="1">
      <c r="A8477" s="6" t="s">
        <v>16165</v>
      </c>
      <c r="B8477" s="5" t="s">
        <v>16166</v>
      </c>
      <c r="C8477" s="3" t="s">
        <v>5</v>
      </c>
    </row>
    <row r="8478" spans="1:3" ht="15.75" thickBot="1">
      <c r="A8478" s="6" t="s">
        <v>16167</v>
      </c>
      <c r="B8478" s="5" t="s">
        <v>16168</v>
      </c>
      <c r="C8478" s="3" t="s">
        <v>5</v>
      </c>
    </row>
    <row r="8479" spans="1:3" ht="15.75" thickBot="1">
      <c r="A8479" s="6" t="s">
        <v>16169</v>
      </c>
      <c r="B8479" s="5" t="s">
        <v>16170</v>
      </c>
      <c r="C8479" s="3" t="s">
        <v>5</v>
      </c>
    </row>
    <row r="8480" spans="1:3" ht="15.75" thickBot="1">
      <c r="A8480" s="6" t="s">
        <v>16171</v>
      </c>
      <c r="B8480" s="5" t="s">
        <v>16172</v>
      </c>
      <c r="C8480" s="3" t="s">
        <v>5</v>
      </c>
    </row>
    <row r="8481" spans="1:3" ht="15.75" thickBot="1">
      <c r="A8481" s="6" t="s">
        <v>16173</v>
      </c>
      <c r="B8481" s="5" t="s">
        <v>16174</v>
      </c>
      <c r="C8481" s="3" t="s">
        <v>5</v>
      </c>
    </row>
    <row r="8482" spans="1:3" ht="15.75" thickBot="1">
      <c r="A8482" s="6" t="s">
        <v>16175</v>
      </c>
      <c r="B8482" s="5" t="s">
        <v>16176</v>
      </c>
      <c r="C8482" s="3" t="s">
        <v>5</v>
      </c>
    </row>
    <row r="8483" spans="1:3" ht="15.75" thickBot="1">
      <c r="A8483" s="6" t="s">
        <v>16177</v>
      </c>
      <c r="B8483" s="5" t="s">
        <v>16178</v>
      </c>
      <c r="C8483" s="3" t="s">
        <v>5</v>
      </c>
    </row>
    <row r="8484" spans="1:3" ht="15.75" thickBot="1">
      <c r="A8484" s="6" t="s">
        <v>16179</v>
      </c>
      <c r="B8484" s="5" t="s">
        <v>16180</v>
      </c>
      <c r="C8484" s="3" t="s">
        <v>5</v>
      </c>
    </row>
    <row r="8485" spans="1:3" ht="15.75" thickBot="1">
      <c r="A8485" s="6" t="s">
        <v>16181</v>
      </c>
      <c r="B8485" s="5" t="s">
        <v>16182</v>
      </c>
      <c r="C8485" s="3" t="s">
        <v>5</v>
      </c>
    </row>
    <row r="8486" spans="1:3" ht="15.75" thickBot="1">
      <c r="A8486" s="6" t="s">
        <v>16183</v>
      </c>
      <c r="B8486" s="5" t="s">
        <v>16184</v>
      </c>
      <c r="C8486" s="3" t="s">
        <v>5</v>
      </c>
    </row>
    <row r="8487" spans="1:3" ht="15.75" thickBot="1">
      <c r="A8487" s="6" t="s">
        <v>16185</v>
      </c>
      <c r="B8487" s="5" t="s">
        <v>16186</v>
      </c>
      <c r="C8487" s="3" t="s">
        <v>5</v>
      </c>
    </row>
    <row r="8488" spans="1:3" ht="15.75" thickBot="1">
      <c r="A8488" s="6" t="s">
        <v>16187</v>
      </c>
      <c r="B8488" s="5" t="s">
        <v>16188</v>
      </c>
      <c r="C8488" s="3" t="s">
        <v>5</v>
      </c>
    </row>
    <row r="8489" spans="1:3" ht="15.75" thickBot="1">
      <c r="A8489" s="6" t="s">
        <v>16189</v>
      </c>
      <c r="B8489" s="5" t="s">
        <v>16190</v>
      </c>
      <c r="C8489" s="3" t="s">
        <v>5</v>
      </c>
    </row>
    <row r="8490" spans="1:3" ht="15.75" thickBot="1">
      <c r="A8490" s="6" t="s">
        <v>16191</v>
      </c>
      <c r="B8490" s="5" t="s">
        <v>16192</v>
      </c>
      <c r="C8490" s="3" t="s">
        <v>5</v>
      </c>
    </row>
    <row r="8491" spans="1:3" ht="15.75" thickBot="1">
      <c r="A8491" s="6" t="s">
        <v>16193</v>
      </c>
      <c r="B8491" s="5" t="s">
        <v>16194</v>
      </c>
      <c r="C8491" s="3" t="s">
        <v>5</v>
      </c>
    </row>
    <row r="8492" spans="1:3" ht="26.25" thickBot="1">
      <c r="A8492" s="6" t="s">
        <v>16195</v>
      </c>
      <c r="B8492" s="5" t="s">
        <v>16196</v>
      </c>
      <c r="C8492" s="3" t="s">
        <v>5</v>
      </c>
    </row>
    <row r="8493" spans="1:3" ht="15.75" thickBot="1">
      <c r="A8493" s="6" t="s">
        <v>16197</v>
      </c>
      <c r="B8493" s="5" t="s">
        <v>16198</v>
      </c>
      <c r="C8493" s="3" t="s">
        <v>5</v>
      </c>
    </row>
    <row r="8494" spans="1:3" ht="15.75" thickBot="1">
      <c r="A8494" s="6" t="s">
        <v>16199</v>
      </c>
      <c r="B8494" s="5" t="s">
        <v>16200</v>
      </c>
      <c r="C8494" s="3" t="s">
        <v>5</v>
      </c>
    </row>
    <row r="8495" spans="1:3" ht="15.75" thickBot="1">
      <c r="A8495" s="6" t="s">
        <v>16201</v>
      </c>
      <c r="B8495" s="5" t="s">
        <v>16202</v>
      </c>
      <c r="C8495" s="3" t="s">
        <v>5</v>
      </c>
    </row>
    <row r="8496" spans="1:3" ht="15.75" thickBot="1">
      <c r="A8496" s="6" t="s">
        <v>16203</v>
      </c>
      <c r="B8496" s="5" t="s">
        <v>16204</v>
      </c>
      <c r="C8496" s="3" t="s">
        <v>5</v>
      </c>
    </row>
    <row r="8497" spans="1:3" ht="15.75" thickBot="1">
      <c r="A8497" s="6" t="s">
        <v>16205</v>
      </c>
      <c r="B8497" s="5" t="s">
        <v>16206</v>
      </c>
      <c r="C8497" s="3" t="s">
        <v>5</v>
      </c>
    </row>
    <row r="8498" spans="1:3">
      <c r="A8498" s="1" t="s">
        <v>16207</v>
      </c>
      <c r="B8498" s="2" t="s">
        <v>16208</v>
      </c>
      <c r="C8498" s="3" t="s">
        <v>5</v>
      </c>
    </row>
    <row r="8499" spans="1:3" ht="15.75" thickBot="1">
      <c r="A8499" s="4"/>
      <c r="B8499" s="5" t="s">
        <v>16209</v>
      </c>
      <c r="C8499" s="3" t="s">
        <v>5</v>
      </c>
    </row>
    <row r="8500" spans="1:3" ht="15.75" thickBot="1">
      <c r="A8500" s="6" t="s">
        <v>16210</v>
      </c>
      <c r="B8500" s="5" t="s">
        <v>16211</v>
      </c>
      <c r="C8500" s="3" t="s">
        <v>5</v>
      </c>
    </row>
    <row r="8501" spans="1:3" ht="15.75" thickBot="1">
      <c r="A8501" s="6" t="s">
        <v>16212</v>
      </c>
      <c r="B8501" s="5" t="s">
        <v>16213</v>
      </c>
      <c r="C8501" s="3" t="s">
        <v>5</v>
      </c>
    </row>
    <row r="8502" spans="1:3" ht="15.75" thickBot="1">
      <c r="A8502" s="6" t="s">
        <v>16214</v>
      </c>
      <c r="B8502" s="5" t="s">
        <v>16215</v>
      </c>
      <c r="C8502" s="3" t="s">
        <v>5</v>
      </c>
    </row>
    <row r="8503" spans="1:3">
      <c r="A8503" s="1" t="s">
        <v>16216</v>
      </c>
      <c r="B8503" s="2" t="s">
        <v>16217</v>
      </c>
      <c r="C8503" s="3" t="s">
        <v>5</v>
      </c>
    </row>
    <row r="8504" spans="1:3" ht="15.75" thickBot="1">
      <c r="A8504" s="4"/>
      <c r="B8504" s="5" t="s">
        <v>16218</v>
      </c>
      <c r="C8504" s="3" t="s">
        <v>5</v>
      </c>
    </row>
    <row r="8505" spans="1:3" ht="15.75" thickBot="1">
      <c r="A8505" s="6" t="s">
        <v>16219</v>
      </c>
      <c r="B8505" s="5" t="s">
        <v>16220</v>
      </c>
      <c r="C8505" s="3" t="s">
        <v>5</v>
      </c>
    </row>
    <row r="8506" spans="1:3" ht="15.75" thickBot="1">
      <c r="A8506" s="6" t="s">
        <v>16221</v>
      </c>
      <c r="B8506" s="5" t="s">
        <v>16222</v>
      </c>
      <c r="C8506" s="3" t="s">
        <v>5</v>
      </c>
    </row>
    <row r="8507" spans="1:3" ht="15.75" thickBot="1">
      <c r="A8507" s="6" t="s">
        <v>16223</v>
      </c>
      <c r="B8507" s="5" t="s">
        <v>16224</v>
      </c>
      <c r="C8507" s="3" t="s">
        <v>5</v>
      </c>
    </row>
    <row r="8508" spans="1:3" ht="15.75" thickBot="1">
      <c r="A8508" s="6" t="s">
        <v>16225</v>
      </c>
      <c r="B8508" s="5" t="s">
        <v>16226</v>
      </c>
      <c r="C8508" s="3" t="s">
        <v>5</v>
      </c>
    </row>
    <row r="8509" spans="1:3" ht="15.75" thickBot="1">
      <c r="A8509" s="6" t="s">
        <v>16227</v>
      </c>
      <c r="B8509" s="5" t="s">
        <v>16228</v>
      </c>
      <c r="C8509" s="3" t="s">
        <v>5</v>
      </c>
    </row>
    <row r="8510" spans="1:3" ht="15.75" thickBot="1">
      <c r="A8510" s="6" t="s">
        <v>16229</v>
      </c>
      <c r="B8510" s="5" t="s">
        <v>16230</v>
      </c>
      <c r="C8510" s="3" t="s">
        <v>5</v>
      </c>
    </row>
    <row r="8511" spans="1:3" ht="15.75" thickBot="1">
      <c r="A8511" s="6" t="s">
        <v>16231</v>
      </c>
      <c r="B8511" s="5" t="s">
        <v>16232</v>
      </c>
      <c r="C8511" s="3" t="s">
        <v>5</v>
      </c>
    </row>
    <row r="8512" spans="1:3" ht="15.75" thickBot="1">
      <c r="A8512" s="6" t="s">
        <v>16233</v>
      </c>
      <c r="B8512" s="5" t="s">
        <v>16234</v>
      </c>
      <c r="C8512" s="3" t="s">
        <v>5</v>
      </c>
    </row>
    <row r="8513" spans="1:3" ht="15.75" thickBot="1">
      <c r="A8513" s="6" t="s">
        <v>16235</v>
      </c>
      <c r="B8513" s="5" t="s">
        <v>16236</v>
      </c>
      <c r="C8513" s="3" t="s">
        <v>5</v>
      </c>
    </row>
    <row r="8514" spans="1:3" ht="15.75" thickBot="1">
      <c r="A8514" s="6" t="s">
        <v>16237</v>
      </c>
      <c r="B8514" s="5" t="s">
        <v>16238</v>
      </c>
      <c r="C8514" s="3" t="s">
        <v>5</v>
      </c>
    </row>
    <row r="8515" spans="1:3" ht="15.75" thickBot="1">
      <c r="A8515" s="6" t="s">
        <v>16239</v>
      </c>
      <c r="B8515" s="5" t="s">
        <v>16240</v>
      </c>
      <c r="C8515" s="3" t="s">
        <v>5</v>
      </c>
    </row>
    <row r="8516" spans="1:3" ht="15.75" thickBot="1">
      <c r="A8516" s="6" t="s">
        <v>16241</v>
      </c>
      <c r="B8516" s="5" t="s">
        <v>16242</v>
      </c>
      <c r="C8516" s="3" t="s">
        <v>5</v>
      </c>
    </row>
    <row r="8517" spans="1:3" ht="15.75" thickBot="1">
      <c r="A8517" s="6" t="s">
        <v>16243</v>
      </c>
      <c r="B8517" s="5" t="s">
        <v>16244</v>
      </c>
      <c r="C8517" s="3" t="s">
        <v>5</v>
      </c>
    </row>
    <row r="8518" spans="1:3" ht="15.75" thickBot="1">
      <c r="A8518" s="6" t="s">
        <v>16245</v>
      </c>
      <c r="B8518" s="5" t="e">
        <f xml:space="preserve"> hot plate</f>
        <v>#NAME?</v>
      </c>
      <c r="C8518" s="3" t="s">
        <v>5</v>
      </c>
    </row>
    <row r="8519" spans="1:3" ht="15.75" thickBot="1">
      <c r="A8519" s="6" t="s">
        <v>16246</v>
      </c>
      <c r="B8519" s="5" t="s">
        <v>16247</v>
      </c>
      <c r="C8519" s="3" t="s">
        <v>5</v>
      </c>
    </row>
    <row r="8520" spans="1:3" ht="15.75" thickBot="1">
      <c r="A8520" s="6" t="s">
        <v>16248</v>
      </c>
      <c r="B8520" s="5" t="s">
        <v>16249</v>
      </c>
      <c r="C8520" s="3" t="s">
        <v>5</v>
      </c>
    </row>
    <row r="8521" spans="1:3" ht="15.75" thickBot="1">
      <c r="A8521" s="6" t="s">
        <v>16250</v>
      </c>
      <c r="B8521" s="5" t="s">
        <v>16251</v>
      </c>
      <c r="C8521" s="3" t="s">
        <v>5</v>
      </c>
    </row>
    <row r="8522" spans="1:3" ht="15.75" thickBot="1">
      <c r="A8522" s="6" t="s">
        <v>16252</v>
      </c>
      <c r="B8522" s="5" t="s">
        <v>16253</v>
      </c>
      <c r="C8522" s="3" t="s">
        <v>5</v>
      </c>
    </row>
    <row r="8523" spans="1:3">
      <c r="A8523" s="1" t="s">
        <v>16254</v>
      </c>
      <c r="B8523" s="2" t="s">
        <v>16255</v>
      </c>
      <c r="C8523" s="3" t="s">
        <v>5</v>
      </c>
    </row>
    <row r="8524" spans="1:3" ht="15.75" thickBot="1">
      <c r="A8524" s="4"/>
      <c r="B8524" s="5" t="s">
        <v>16256</v>
      </c>
      <c r="C8524" s="3" t="s">
        <v>5</v>
      </c>
    </row>
    <row r="8525" spans="1:3" ht="15.75" thickBot="1">
      <c r="A8525" s="6" t="s">
        <v>16257</v>
      </c>
      <c r="B8525" s="5" t="s">
        <v>16258</v>
      </c>
      <c r="C8525" s="3" t="s">
        <v>5</v>
      </c>
    </row>
    <row r="8526" spans="1:3" ht="15.75" thickBot="1">
      <c r="A8526" s="6" t="s">
        <v>16259</v>
      </c>
      <c r="B8526" s="5" t="s">
        <v>16260</v>
      </c>
      <c r="C8526" s="3" t="s">
        <v>5</v>
      </c>
    </row>
    <row r="8527" spans="1:3" ht="15.75" thickBot="1">
      <c r="A8527" s="6" t="s">
        <v>16261</v>
      </c>
      <c r="B8527" s="5" t="s">
        <v>16262</v>
      </c>
      <c r="C8527" s="3" t="s">
        <v>5</v>
      </c>
    </row>
    <row r="8528" spans="1:3" ht="15.75" thickBot="1">
      <c r="A8528" s="6" t="s">
        <v>16263</v>
      </c>
      <c r="B8528" s="5" t="s">
        <v>16264</v>
      </c>
      <c r="C8528" s="3" t="s">
        <v>5</v>
      </c>
    </row>
    <row r="8529" spans="1:3" ht="15.75" thickBot="1">
      <c r="A8529" s="6" t="s">
        <v>16265</v>
      </c>
      <c r="B8529" s="5" t="s">
        <v>16266</v>
      </c>
      <c r="C8529" s="3" t="s">
        <v>5</v>
      </c>
    </row>
    <row r="8530" spans="1:3" ht="15.75" thickBot="1">
      <c r="A8530" s="6" t="s">
        <v>16267</v>
      </c>
      <c r="B8530" s="5" t="s">
        <v>16268</v>
      </c>
      <c r="C8530" s="3" t="s">
        <v>5</v>
      </c>
    </row>
    <row r="8531" spans="1:3" ht="15.75" thickBot="1">
      <c r="A8531" s="6" t="s">
        <v>16269</v>
      </c>
      <c r="B8531" s="5" t="s">
        <v>16270</v>
      </c>
      <c r="C8531" s="3" t="s">
        <v>5</v>
      </c>
    </row>
    <row r="8532" spans="1:3" ht="15.75" thickBot="1">
      <c r="A8532" s="6" t="s">
        <v>16271</v>
      </c>
      <c r="B8532" s="5" t="s">
        <v>16272</v>
      </c>
      <c r="C8532" s="3" t="s">
        <v>5</v>
      </c>
    </row>
    <row r="8533" spans="1:3">
      <c r="A8533" s="1" t="s">
        <v>16273</v>
      </c>
      <c r="B8533" s="2" t="s">
        <v>16274</v>
      </c>
      <c r="C8533" s="3" t="s">
        <v>5</v>
      </c>
    </row>
    <row r="8534" spans="1:3" ht="15.75" thickBot="1">
      <c r="A8534" s="4"/>
      <c r="B8534" s="5" t="s">
        <v>16275</v>
      </c>
      <c r="C8534" s="3" t="s">
        <v>5</v>
      </c>
    </row>
    <row r="8535" spans="1:3" ht="15.75" thickBot="1">
      <c r="A8535" s="6" t="s">
        <v>16276</v>
      </c>
      <c r="B8535" s="5" t="s">
        <v>16277</v>
      </c>
      <c r="C8535" s="3" t="s">
        <v>5</v>
      </c>
    </row>
    <row r="8536" spans="1:3" ht="15.75" thickBot="1">
      <c r="A8536" s="6" t="s">
        <v>16278</v>
      </c>
      <c r="B8536" s="5" t="s">
        <v>16279</v>
      </c>
      <c r="C8536" s="3" t="s">
        <v>5</v>
      </c>
    </row>
    <row r="8537" spans="1:3" ht="15.75" thickBot="1">
      <c r="A8537" s="6" t="s">
        <v>16280</v>
      </c>
      <c r="B8537" s="5" t="s">
        <v>16281</v>
      </c>
      <c r="C8537" s="3" t="s">
        <v>5</v>
      </c>
    </row>
    <row r="8538" spans="1:3" ht="15.75" thickBot="1">
      <c r="A8538" s="6" t="s">
        <v>16282</v>
      </c>
      <c r="B8538" s="5" t="s">
        <v>16283</v>
      </c>
      <c r="C8538" s="3" t="s">
        <v>5</v>
      </c>
    </row>
    <row r="8539" spans="1:3" ht="15.75" thickBot="1">
      <c r="A8539" s="6" t="s">
        <v>16284</v>
      </c>
      <c r="B8539" s="5" t="s">
        <v>16285</v>
      </c>
      <c r="C8539" s="3" t="s">
        <v>5</v>
      </c>
    </row>
    <row r="8540" spans="1:3" ht="15.75" thickBot="1">
      <c r="A8540" s="6" t="s">
        <v>16286</v>
      </c>
      <c r="B8540" s="5" t="s">
        <v>16287</v>
      </c>
      <c r="C8540" s="3" t="s">
        <v>5</v>
      </c>
    </row>
    <row r="8541" spans="1:3" ht="15.75" thickBot="1">
      <c r="A8541" s="6" t="s">
        <v>16288</v>
      </c>
      <c r="B8541" s="5" t="s">
        <v>16289</v>
      </c>
      <c r="C8541" s="3" t="s">
        <v>5</v>
      </c>
    </row>
    <row r="8542" spans="1:3" ht="15.75" thickBot="1">
      <c r="A8542" s="6" t="s">
        <v>16290</v>
      </c>
      <c r="B8542" s="5" t="s">
        <v>16291</v>
      </c>
      <c r="C8542" s="3" t="s">
        <v>5</v>
      </c>
    </row>
    <row r="8543" spans="1:3" ht="15.75" thickBot="1">
      <c r="A8543" s="6" t="s">
        <v>16292</v>
      </c>
      <c r="B8543" s="5" t="s">
        <v>16293</v>
      </c>
      <c r="C8543" s="3" t="s">
        <v>5</v>
      </c>
    </row>
    <row r="8544" spans="1:3" ht="15.75" thickBot="1">
      <c r="A8544" s="6" t="s">
        <v>16294</v>
      </c>
      <c r="B8544" s="5" t="s">
        <v>16295</v>
      </c>
      <c r="C8544" s="3" t="s">
        <v>5</v>
      </c>
    </row>
    <row r="8545" spans="1:3" ht="15.75" thickBot="1">
      <c r="A8545" s="6" t="s">
        <v>16296</v>
      </c>
      <c r="B8545" s="5" t="s">
        <v>16297</v>
      </c>
      <c r="C8545" s="3" t="s">
        <v>5</v>
      </c>
    </row>
    <row r="8546" spans="1:3" ht="15.75" thickBot="1">
      <c r="A8546" s="6" t="s">
        <v>16298</v>
      </c>
      <c r="B8546" s="5" t="s">
        <v>16299</v>
      </c>
      <c r="C8546" s="3" t="s">
        <v>5</v>
      </c>
    </row>
    <row r="8547" spans="1:3" ht="15.75" thickBot="1">
      <c r="A8547" s="6" t="s">
        <v>16300</v>
      </c>
      <c r="B8547" s="5" t="s">
        <v>16301</v>
      </c>
      <c r="C8547" s="3" t="s">
        <v>5</v>
      </c>
    </row>
    <row r="8548" spans="1:3" ht="15.75" thickBot="1">
      <c r="A8548" s="6" t="s">
        <v>16302</v>
      </c>
      <c r="B8548" s="5" t="e">
        <f xml:space="preserve"> Beverage antenna</f>
        <v>#NAME?</v>
      </c>
      <c r="C8548" s="3" t="s">
        <v>5</v>
      </c>
    </row>
    <row r="8549" spans="1:3" ht="15.75" thickBot="1">
      <c r="A8549" s="6" t="s">
        <v>16303</v>
      </c>
      <c r="B8549" s="5" t="s">
        <v>16304</v>
      </c>
      <c r="C8549" s="3" t="s">
        <v>5</v>
      </c>
    </row>
    <row r="8550" spans="1:3" ht="15.75" thickBot="1">
      <c r="A8550" s="6" t="s">
        <v>16305</v>
      </c>
      <c r="B8550" s="5" t="s">
        <v>16306</v>
      </c>
      <c r="C8550" s="3" t="s">
        <v>5</v>
      </c>
    </row>
    <row r="8551" spans="1:3" ht="15.75" thickBot="1">
      <c r="A8551" s="6" t="s">
        <v>16307</v>
      </c>
      <c r="B8551" s="5" t="s">
        <v>16308</v>
      </c>
      <c r="C8551" s="3" t="s">
        <v>5</v>
      </c>
    </row>
    <row r="8552" spans="1:3" ht="15.75" thickBot="1">
      <c r="A8552" s="6" t="s">
        <v>16309</v>
      </c>
      <c r="B8552" s="5" t="s">
        <v>16310</v>
      </c>
      <c r="C8552" s="3" t="s">
        <v>5</v>
      </c>
    </row>
    <row r="8553" spans="1:3" ht="15.75" thickBot="1">
      <c r="A8553" s="6" t="s">
        <v>16311</v>
      </c>
      <c r="B8553" s="5" t="s">
        <v>16312</v>
      </c>
      <c r="C8553" s="3" t="s">
        <v>5</v>
      </c>
    </row>
    <row r="8554" spans="1:3" ht="15.75" thickBot="1">
      <c r="A8554" s="6" t="s">
        <v>16313</v>
      </c>
      <c r="B8554" s="5" t="s">
        <v>16314</v>
      </c>
      <c r="C8554" s="3" t="s">
        <v>5</v>
      </c>
    </row>
    <row r="8555" spans="1:3" ht="15.75" thickBot="1">
      <c r="A8555" s="6" t="s">
        <v>16315</v>
      </c>
      <c r="B8555" s="5" t="s">
        <v>16316</v>
      </c>
      <c r="C8555" s="3" t="s">
        <v>5</v>
      </c>
    </row>
    <row r="8556" spans="1:3" ht="15.75" thickBot="1">
      <c r="A8556" s="6" t="s">
        <v>16317</v>
      </c>
      <c r="B8556" s="5" t="s">
        <v>16318</v>
      </c>
      <c r="C8556" s="3" t="s">
        <v>5</v>
      </c>
    </row>
    <row r="8557" spans="1:3" ht="15.75" thickBot="1">
      <c r="A8557" s="6" t="s">
        <v>16319</v>
      </c>
      <c r="B8557" s="5" t="s">
        <v>16320</v>
      </c>
      <c r="C8557" s="3" t="s">
        <v>5</v>
      </c>
    </row>
    <row r="8558" spans="1:3" ht="15.75" thickBot="1">
      <c r="A8558" s="6" t="s">
        <v>16321</v>
      </c>
      <c r="B8558" s="5" t="s">
        <v>15333</v>
      </c>
      <c r="C8558" s="3" t="s">
        <v>5</v>
      </c>
    </row>
    <row r="8559" spans="1:3" ht="15.75" thickBot="1">
      <c r="A8559" s="6" t="s">
        <v>16322</v>
      </c>
      <c r="B8559" s="5" t="s">
        <v>16323</v>
      </c>
      <c r="C8559" s="3" t="s">
        <v>5</v>
      </c>
    </row>
    <row r="8560" spans="1:3" ht="15.75" thickBot="1">
      <c r="A8560" s="6" t="s">
        <v>16324</v>
      </c>
      <c r="B8560" s="5" t="s">
        <v>16325</v>
      </c>
      <c r="C8560" s="3" t="s">
        <v>5</v>
      </c>
    </row>
    <row r="8561" spans="1:3" ht="15.75" thickBot="1">
      <c r="A8561" s="6" t="s">
        <v>16326</v>
      </c>
      <c r="B8561" s="5" t="s">
        <v>16327</v>
      </c>
      <c r="C8561" s="3" t="s">
        <v>5</v>
      </c>
    </row>
    <row r="8562" spans="1:3" ht="15.75" thickBot="1">
      <c r="A8562" s="6" t="s">
        <v>16328</v>
      </c>
      <c r="B8562" s="5" t="s">
        <v>16329</v>
      </c>
      <c r="C8562" s="3" t="s">
        <v>5</v>
      </c>
    </row>
    <row r="8563" spans="1:3" ht="15.75" thickBot="1">
      <c r="A8563" s="6" t="s">
        <v>16330</v>
      </c>
      <c r="B8563" s="5" t="s">
        <v>16331</v>
      </c>
      <c r="C8563" s="3" t="s">
        <v>5</v>
      </c>
    </row>
    <row r="8564" spans="1:3" ht="15.75" thickBot="1">
      <c r="A8564" s="6" t="s">
        <v>16332</v>
      </c>
      <c r="B8564" s="5" t="s">
        <v>16333</v>
      </c>
      <c r="C8564" s="3" t="s">
        <v>5</v>
      </c>
    </row>
    <row r="8565" spans="1:3" ht="15.75" thickBot="1">
      <c r="A8565" s="6" t="s">
        <v>16334</v>
      </c>
      <c r="B8565" s="5" t="s">
        <v>16335</v>
      </c>
      <c r="C8565" s="3" t="s">
        <v>5</v>
      </c>
    </row>
    <row r="8566" spans="1:3" ht="15.75" thickBot="1">
      <c r="A8566" s="6" t="s">
        <v>16336</v>
      </c>
      <c r="B8566" s="5" t="s">
        <v>16337</v>
      </c>
      <c r="C8566" s="3" t="s">
        <v>5</v>
      </c>
    </row>
    <row r="8567" spans="1:3" ht="15.75" thickBot="1">
      <c r="A8567" s="6" t="s">
        <v>16338</v>
      </c>
      <c r="B8567" s="5" t="e">
        <f xml:space="preserve"> loose coupling</f>
        <v>#NAME?</v>
      </c>
      <c r="C8567" s="3" t="s">
        <v>5</v>
      </c>
    </row>
    <row r="8568" spans="1:3" ht="15.75" thickBot="1">
      <c r="A8568" s="6" t="s">
        <v>16339</v>
      </c>
      <c r="B8568" s="5" t="e">
        <f xml:space="preserve"> light current</f>
        <v>#NAME?</v>
      </c>
      <c r="C8568" s="3" t="s">
        <v>5</v>
      </c>
    </row>
    <row r="8569" spans="1:3" ht="15.75" thickBot="1">
      <c r="A8569" s="6" t="s">
        <v>16340</v>
      </c>
      <c r="B8569" s="5" t="s">
        <v>16341</v>
      </c>
      <c r="C8569" s="3" t="s">
        <v>5</v>
      </c>
    </row>
    <row r="8570" spans="1:3" ht="15.75" thickBot="1">
      <c r="A8570" s="6" t="s">
        <v>16342</v>
      </c>
      <c r="B8570" s="5" t="s">
        <v>16343</v>
      </c>
      <c r="C8570" s="3" t="s">
        <v>5</v>
      </c>
    </row>
    <row r="8571" spans="1:3" ht="15.75" thickBot="1">
      <c r="A8571" s="6" t="s">
        <v>16344</v>
      </c>
      <c r="B8571" s="5" t="s">
        <v>16345</v>
      </c>
      <c r="C8571" s="3" t="s">
        <v>5</v>
      </c>
    </row>
    <row r="8572" spans="1:3">
      <c r="A8572" s="1" t="s">
        <v>16346</v>
      </c>
      <c r="B8572" s="2" t="s">
        <v>16347</v>
      </c>
      <c r="C8572" s="3" t="s">
        <v>5</v>
      </c>
    </row>
    <row r="8573" spans="1:3" ht="15.75" thickBot="1">
      <c r="A8573" s="4"/>
      <c r="B8573" s="5" t="s">
        <v>989</v>
      </c>
      <c r="C8573" s="3" t="s">
        <v>5</v>
      </c>
    </row>
    <row r="8574" spans="1:3" ht="15.75" thickBot="1">
      <c r="A8574" s="6" t="s">
        <v>16348</v>
      </c>
      <c r="B8574" s="5" t="s">
        <v>16349</v>
      </c>
      <c r="C8574" s="3" t="s">
        <v>5</v>
      </c>
    </row>
    <row r="8575" spans="1:3" ht="15.75" thickBot="1">
      <c r="A8575" s="6" t="s">
        <v>16350</v>
      </c>
      <c r="B8575" s="5" t="s">
        <v>16351</v>
      </c>
      <c r="C8575" s="3" t="s">
        <v>5</v>
      </c>
    </row>
    <row r="8576" spans="1:3" ht="15.75" thickBot="1">
      <c r="A8576" s="6" t="s">
        <v>16352</v>
      </c>
      <c r="B8576" s="5" t="s">
        <v>16353</v>
      </c>
      <c r="C8576" s="3" t="s">
        <v>5</v>
      </c>
    </row>
    <row r="8577" spans="1:3">
      <c r="A8577" s="1" t="s">
        <v>16354</v>
      </c>
      <c r="B8577" s="2" t="s">
        <v>16355</v>
      </c>
      <c r="C8577" s="3" t="s">
        <v>5</v>
      </c>
    </row>
    <row r="8578" spans="1:3" ht="15.75" thickBot="1">
      <c r="A8578" s="4"/>
      <c r="B8578" s="5" t="s">
        <v>16356</v>
      </c>
      <c r="C8578" s="3" t="s">
        <v>5</v>
      </c>
    </row>
    <row r="8579" spans="1:3" ht="15.75" thickBot="1">
      <c r="A8579" s="6" t="s">
        <v>16357</v>
      </c>
      <c r="B8579" s="5" t="s">
        <v>16358</v>
      </c>
      <c r="C8579" s="3" t="s">
        <v>5</v>
      </c>
    </row>
    <row r="8580" spans="1:3" ht="15.75" thickBot="1">
      <c r="A8580" s="6" t="s">
        <v>16359</v>
      </c>
      <c r="B8580" s="5" t="s">
        <v>16360</v>
      </c>
      <c r="C8580" s="3" t="s">
        <v>5</v>
      </c>
    </row>
    <row r="8581" spans="1:3" ht="15.75" thickBot="1">
      <c r="A8581" s="6" t="s">
        <v>16361</v>
      </c>
      <c r="B8581" s="5" t="s">
        <v>16362</v>
      </c>
      <c r="C8581" s="3" t="s">
        <v>5</v>
      </c>
    </row>
    <row r="8582" spans="1:3" ht="15.75" thickBot="1">
      <c r="A8582" s="6" t="s">
        <v>16363</v>
      </c>
      <c r="B8582" s="5" t="s">
        <v>16364</v>
      </c>
      <c r="C8582" s="3" t="s">
        <v>5</v>
      </c>
    </row>
    <row r="8583" spans="1:3" ht="15.75" thickBot="1">
      <c r="A8583" s="6" t="s">
        <v>16365</v>
      </c>
      <c r="B8583" s="5" t="s">
        <v>16366</v>
      </c>
      <c r="C8583" s="3" t="s">
        <v>5</v>
      </c>
    </row>
    <row r="8584" spans="1:3" ht="15.75" thickBot="1">
      <c r="A8584" s="6" t="s">
        <v>16367</v>
      </c>
      <c r="B8584" s="5" t="s">
        <v>16368</v>
      </c>
      <c r="C8584" s="3" t="s">
        <v>5</v>
      </c>
    </row>
    <row r="8585" spans="1:3" ht="15.75" thickBot="1">
      <c r="A8585" s="6" t="s">
        <v>16369</v>
      </c>
      <c r="B8585" s="5" t="s">
        <v>16370</v>
      </c>
      <c r="C8585" s="3" t="s">
        <v>5</v>
      </c>
    </row>
    <row r="8586" spans="1:3" ht="15.75" thickBot="1">
      <c r="A8586" s="6" t="s">
        <v>16371</v>
      </c>
      <c r="B8586" s="5" t="s">
        <v>16372</v>
      </c>
      <c r="C8586" s="3" t="s">
        <v>5</v>
      </c>
    </row>
    <row r="8587" spans="1:3" ht="15.75" thickBot="1">
      <c r="A8587" s="6" t="s">
        <v>16373</v>
      </c>
      <c r="B8587" s="5" t="s">
        <v>16374</v>
      </c>
      <c r="C8587" s="3" t="s">
        <v>5</v>
      </c>
    </row>
    <row r="8588" spans="1:3" ht="15.75" thickBot="1">
      <c r="A8588" s="6" t="s">
        <v>16375</v>
      </c>
      <c r="B8588" s="5" t="s">
        <v>16376</v>
      </c>
      <c r="C8588" s="3" t="s">
        <v>5</v>
      </c>
    </row>
    <row r="8589" spans="1:3" ht="15.75" thickBot="1">
      <c r="A8589" s="6" t="s">
        <v>16375</v>
      </c>
      <c r="B8589" s="5" t="s">
        <v>16377</v>
      </c>
      <c r="C8589" s="3" t="s">
        <v>5</v>
      </c>
    </row>
    <row r="8590" spans="1:3" ht="15.75" thickBot="1">
      <c r="A8590" s="6" t="s">
        <v>16378</v>
      </c>
      <c r="B8590" s="5" t="s">
        <v>16379</v>
      </c>
      <c r="C8590" s="3" t="s">
        <v>5</v>
      </c>
    </row>
    <row r="8591" spans="1:3">
      <c r="A8591" s="1" t="s">
        <v>16380</v>
      </c>
      <c r="B8591" s="2" t="s">
        <v>16381</v>
      </c>
      <c r="C8591" s="3" t="s">
        <v>5</v>
      </c>
    </row>
    <row r="8592" spans="1:3" ht="15.75" thickBot="1">
      <c r="A8592" s="4"/>
      <c r="B8592" s="5" t="s">
        <v>1933</v>
      </c>
      <c r="C8592" s="3" t="s">
        <v>5</v>
      </c>
    </row>
    <row r="8593" spans="1:3" ht="15.75" thickBot="1">
      <c r="A8593" s="6" t="s">
        <v>16382</v>
      </c>
      <c r="B8593" s="5" t="s">
        <v>16383</v>
      </c>
      <c r="C8593" s="3" t="s">
        <v>5</v>
      </c>
    </row>
    <row r="8594" spans="1:3" ht="15.75" thickBot="1">
      <c r="A8594" s="6" t="s">
        <v>16384</v>
      </c>
      <c r="B8594" s="5" t="s">
        <v>16385</v>
      </c>
      <c r="C8594" s="3" t="s">
        <v>5</v>
      </c>
    </row>
    <row r="8595" spans="1:3" ht="15.75" thickBot="1">
      <c r="A8595" s="6" t="s">
        <v>16386</v>
      </c>
      <c r="B8595" s="5" t="s">
        <v>16387</v>
      </c>
      <c r="C8595" s="3" t="s">
        <v>5</v>
      </c>
    </row>
    <row r="8596" spans="1:3" ht="15.75" thickBot="1">
      <c r="A8596" s="6" t="s">
        <v>16388</v>
      </c>
      <c r="B8596" s="5" t="s">
        <v>16389</v>
      </c>
      <c r="C8596" s="3" t="s">
        <v>5</v>
      </c>
    </row>
    <row r="8597" spans="1:3" ht="15.75" thickBot="1">
      <c r="A8597" s="6" t="s">
        <v>16390</v>
      </c>
      <c r="B8597" s="5" t="s">
        <v>16391</v>
      </c>
      <c r="C8597" s="3" t="s">
        <v>5</v>
      </c>
    </row>
    <row r="8598" spans="1:3" ht="15.75" thickBot="1">
      <c r="A8598" s="6" t="s">
        <v>16392</v>
      </c>
      <c r="B8598" s="5" t="s">
        <v>16393</v>
      </c>
      <c r="C8598" s="3" t="s">
        <v>5</v>
      </c>
    </row>
    <row r="8599" spans="1:3" ht="15.75" thickBot="1">
      <c r="A8599" s="6" t="s">
        <v>16394</v>
      </c>
      <c r="B8599" s="5" t="s">
        <v>16395</v>
      </c>
      <c r="C8599" s="3" t="s">
        <v>5</v>
      </c>
    </row>
    <row r="8600" spans="1:3" ht="15.75" thickBot="1">
      <c r="A8600" s="6" t="s">
        <v>16396</v>
      </c>
      <c r="B8600" s="5" t="s">
        <v>16397</v>
      </c>
      <c r="C8600" s="3" t="s">
        <v>5</v>
      </c>
    </row>
    <row r="8601" spans="1:3" ht="15.75" thickBot="1">
      <c r="A8601" s="6" t="s">
        <v>16398</v>
      </c>
      <c r="B8601" s="5" t="s">
        <v>16399</v>
      </c>
      <c r="C8601" s="3" t="s">
        <v>5</v>
      </c>
    </row>
    <row r="8602" spans="1:3">
      <c r="A8602" s="1" t="s">
        <v>16400</v>
      </c>
      <c r="B8602" s="2" t="s">
        <v>16401</v>
      </c>
      <c r="C8602" s="3" t="s">
        <v>5</v>
      </c>
    </row>
    <row r="8603" spans="1:3" ht="15.75" thickBot="1">
      <c r="A8603" s="4"/>
      <c r="B8603" s="5" t="s">
        <v>16402</v>
      </c>
      <c r="C8603" s="3" t="s">
        <v>5</v>
      </c>
    </row>
    <row r="8604" spans="1:3" ht="15.75" thickBot="1">
      <c r="A8604" s="6" t="s">
        <v>16403</v>
      </c>
      <c r="B8604" s="5" t="s">
        <v>16404</v>
      </c>
      <c r="C8604" s="3" t="s">
        <v>5</v>
      </c>
    </row>
    <row r="8605" spans="1:3" ht="15.75" thickBot="1">
      <c r="A8605" s="6" t="s">
        <v>16405</v>
      </c>
      <c r="B8605" s="5" t="e">
        <f xml:space="preserve"> wet flashover voltage</f>
        <v>#NAME?</v>
      </c>
      <c r="C8605" s="3" t="s">
        <v>5</v>
      </c>
    </row>
    <row r="8606" spans="1:3" ht="15.75" thickBot="1">
      <c r="A8606" s="6" t="s">
        <v>16406</v>
      </c>
      <c r="B8606" s="5" t="s">
        <v>16407</v>
      </c>
      <c r="C8606" s="3" t="s">
        <v>5</v>
      </c>
    </row>
    <row r="8607" spans="1:3" ht="15.75" thickBot="1">
      <c r="A8607" s="6" t="s">
        <v>16408</v>
      </c>
      <c r="B8607" s="5" t="s">
        <v>3848</v>
      </c>
      <c r="C8607" s="3" t="s">
        <v>5</v>
      </c>
    </row>
    <row r="8608" spans="1:3" ht="15.75" thickBot="1">
      <c r="A8608" s="6" t="s">
        <v>16409</v>
      </c>
      <c r="B8608" s="5" t="s">
        <v>16410</v>
      </c>
      <c r="C8608" s="3" t="s">
        <v>5</v>
      </c>
    </row>
    <row r="8609" spans="1:3" ht="15.75" thickBot="1">
      <c r="A8609" s="6" t="s">
        <v>16411</v>
      </c>
      <c r="B8609" s="5" t="s">
        <v>16412</v>
      </c>
      <c r="C8609" s="3" t="s">
        <v>5</v>
      </c>
    </row>
    <row r="8610" spans="1:3" ht="15.75" thickBot="1">
      <c r="A8610" s="6" t="s">
        <v>16413</v>
      </c>
      <c r="B8610" s="5" t="s">
        <v>16414</v>
      </c>
      <c r="C8610" s="3" t="s">
        <v>5</v>
      </c>
    </row>
    <row r="8611" spans="1:3" ht="15.75" thickBot="1">
      <c r="A8611" s="6" t="s">
        <v>16415</v>
      </c>
      <c r="B8611" s="5" t="s">
        <v>16416</v>
      </c>
      <c r="C8611" s="3" t="s">
        <v>5</v>
      </c>
    </row>
    <row r="8612" spans="1:3" ht="15.75" thickBot="1">
      <c r="A8612" s="6" t="s">
        <v>16417</v>
      </c>
      <c r="B8612" s="5" t="s">
        <v>16418</v>
      </c>
      <c r="C8612" s="3" t="s">
        <v>5</v>
      </c>
    </row>
    <row r="8613" spans="1:3" ht="15.75" thickBot="1">
      <c r="A8613" s="6" t="s">
        <v>16419</v>
      </c>
      <c r="B8613" s="5" t="s">
        <v>16420</v>
      </c>
      <c r="C8613" s="3" t="s">
        <v>5</v>
      </c>
    </row>
    <row r="8614" spans="1:3" ht="15.75" thickBot="1">
      <c r="A8614" s="6" t="s">
        <v>16421</v>
      </c>
      <c r="B8614" s="5" t="s">
        <v>16422</v>
      </c>
      <c r="C8614" s="3" t="s">
        <v>5</v>
      </c>
    </row>
    <row r="8615" spans="1:3" ht="15.75" thickBot="1">
      <c r="A8615" s="6" t="s">
        <v>16423</v>
      </c>
      <c r="B8615" s="5" t="s">
        <v>16424</v>
      </c>
      <c r="C8615" s="3" t="s">
        <v>5</v>
      </c>
    </row>
    <row r="8616" spans="1:3" ht="15.75" thickBot="1">
      <c r="A8616" s="6" t="s">
        <v>16425</v>
      </c>
      <c r="B8616" s="5" t="s">
        <v>16426</v>
      </c>
      <c r="C8616" s="3" t="s">
        <v>5</v>
      </c>
    </row>
    <row r="8617" spans="1:3" ht="15.75" thickBot="1">
      <c r="A8617" s="6" t="s">
        <v>16427</v>
      </c>
      <c r="B8617" s="5" t="s">
        <v>16428</v>
      </c>
      <c r="C8617" s="3" t="s">
        <v>5</v>
      </c>
    </row>
    <row r="8618" spans="1:3" ht="15.75" thickBot="1">
      <c r="A8618" s="6" t="s">
        <v>16429</v>
      </c>
      <c r="B8618" s="5" t="s">
        <v>16430</v>
      </c>
      <c r="C8618" s="3" t="s">
        <v>5</v>
      </c>
    </row>
    <row r="8619" spans="1:3" ht="15.75" thickBot="1">
      <c r="A8619" s="6" t="s">
        <v>16431</v>
      </c>
      <c r="B8619" s="5" t="s">
        <v>16432</v>
      </c>
      <c r="C8619" s="3" t="s">
        <v>5</v>
      </c>
    </row>
    <row r="8620" spans="1:3" ht="15.75" thickBot="1">
      <c r="A8620" s="6" t="s">
        <v>16433</v>
      </c>
      <c r="B8620" s="5" t="s">
        <v>16434</v>
      </c>
      <c r="C8620" s="3" t="s">
        <v>5</v>
      </c>
    </row>
    <row r="8621" spans="1:3" ht="15.75" thickBot="1">
      <c r="A8621" s="6" t="s">
        <v>16435</v>
      </c>
      <c r="B8621" s="5" t="s">
        <v>16436</v>
      </c>
      <c r="C8621" s="3" t="s">
        <v>5</v>
      </c>
    </row>
    <row r="8622" spans="1:3" ht="15.75" thickBot="1">
      <c r="A8622" s="6" t="s">
        <v>16437</v>
      </c>
      <c r="B8622" s="5" t="s">
        <v>16438</v>
      </c>
      <c r="C8622" s="3" t="s">
        <v>5</v>
      </c>
    </row>
    <row r="8623" spans="1:3" ht="15.75" thickBot="1">
      <c r="A8623" s="6" t="s">
        <v>16439</v>
      </c>
      <c r="B8623" s="5" t="s">
        <v>16440</v>
      </c>
      <c r="C8623" s="3" t="s">
        <v>5</v>
      </c>
    </row>
    <row r="8624" spans="1:3">
      <c r="A8624" s="1" t="s">
        <v>16441</v>
      </c>
      <c r="B8624" s="2" t="s">
        <v>16442</v>
      </c>
      <c r="C8624" s="3" t="s">
        <v>5</v>
      </c>
    </row>
    <row r="8625" spans="1:3" ht="15.75" thickBot="1">
      <c r="A8625" s="4"/>
      <c r="B8625" s="5" t="s">
        <v>16443</v>
      </c>
      <c r="C8625" s="3" t="s">
        <v>5</v>
      </c>
    </row>
    <row r="8626" spans="1:3" ht="15.75" thickBot="1">
      <c r="A8626" s="6" t="s">
        <v>16444</v>
      </c>
      <c r="B8626" s="5" t="s">
        <v>16445</v>
      </c>
      <c r="C8626" s="3" t="s">
        <v>5</v>
      </c>
    </row>
    <row r="8627" spans="1:3" ht="15.75" thickBot="1">
      <c r="A8627" s="6" t="s">
        <v>16446</v>
      </c>
      <c r="B8627" s="5" t="s">
        <v>16447</v>
      </c>
      <c r="C8627" s="3" t="s">
        <v>5</v>
      </c>
    </row>
    <row r="8628" spans="1:3" ht="15.75" thickBot="1">
      <c r="A8628" s="6" t="s">
        <v>16448</v>
      </c>
      <c r="B8628" s="5" t="s">
        <v>16449</v>
      </c>
      <c r="C8628" s="3" t="s">
        <v>5</v>
      </c>
    </row>
    <row r="8629" spans="1:3" ht="15.75" thickBot="1">
      <c r="A8629" s="6" t="s">
        <v>16450</v>
      </c>
      <c r="B8629" s="5" t="e">
        <f xml:space="preserve"> winding coefficient</f>
        <v>#NAME?</v>
      </c>
      <c r="C8629" s="3" t="s">
        <v>5</v>
      </c>
    </row>
    <row r="8630" spans="1:3" ht="15.75" thickBot="1">
      <c r="A8630" s="6" t="s">
        <v>16451</v>
      </c>
      <c r="B8630" s="5" t="s">
        <v>16452</v>
      </c>
      <c r="C8630" s="3" t="s">
        <v>5</v>
      </c>
    </row>
    <row r="8631" spans="1:3" ht="15.75" thickBot="1">
      <c r="A8631" s="6" t="s">
        <v>16453</v>
      </c>
      <c r="B8631" s="5" t="s">
        <v>16454</v>
      </c>
      <c r="C8631" s="3" t="s">
        <v>5</v>
      </c>
    </row>
    <row r="8632" spans="1:3" ht="15.75" thickBot="1">
      <c r="A8632" s="6" t="s">
        <v>16455</v>
      </c>
      <c r="B8632" s="5" t="s">
        <v>16456</v>
      </c>
      <c r="C8632" s="3" t="s">
        <v>5</v>
      </c>
    </row>
    <row r="8633" spans="1:3" ht="15.75" thickBot="1">
      <c r="A8633" s="6" t="s">
        <v>16457</v>
      </c>
      <c r="B8633" s="5" t="s">
        <v>16458</v>
      </c>
      <c r="C8633" s="3" t="s">
        <v>5</v>
      </c>
    </row>
    <row r="8634" spans="1:3" ht="15.75" thickBot="1">
      <c r="A8634" s="6" t="s">
        <v>16459</v>
      </c>
      <c r="B8634" s="5" t="s">
        <v>16460</v>
      </c>
      <c r="C8634" s="3" t="s">
        <v>5</v>
      </c>
    </row>
    <row r="8635" spans="1:3" ht="15.75" thickBot="1">
      <c r="A8635" s="6" t="s">
        <v>16461</v>
      </c>
      <c r="B8635" s="5" t="s">
        <v>16462</v>
      </c>
      <c r="C8635" s="3" t="s">
        <v>5</v>
      </c>
    </row>
    <row r="8636" spans="1:3" ht="15.75" thickBot="1">
      <c r="A8636" s="6" t="s">
        <v>16463</v>
      </c>
      <c r="B8636" s="5" t="s">
        <v>16464</v>
      </c>
      <c r="C8636" s="3" t="s">
        <v>5</v>
      </c>
    </row>
    <row r="8637" spans="1:3" ht="15.75" thickBot="1">
      <c r="A8637" s="6" t="s">
        <v>16465</v>
      </c>
      <c r="B8637" s="5" t="s">
        <v>16466</v>
      </c>
      <c r="C8637" s="3" t="s">
        <v>5</v>
      </c>
    </row>
    <row r="8638" spans="1:3" ht="15.75" thickBot="1">
      <c r="A8638" s="6" t="s">
        <v>16467</v>
      </c>
      <c r="B8638" s="5" t="s">
        <v>16468</v>
      </c>
      <c r="C8638" s="3" t="s">
        <v>5</v>
      </c>
    </row>
    <row r="8639" spans="1:3" ht="15.75" thickBot="1">
      <c r="A8639" s="6" t="s">
        <v>16469</v>
      </c>
      <c r="B8639" s="5" t="s">
        <v>16470</v>
      </c>
      <c r="C8639" s="3" t="s">
        <v>5</v>
      </c>
    </row>
    <row r="8640" spans="1:3" ht="15.75" thickBot="1">
      <c r="A8640" s="6" t="s">
        <v>16471</v>
      </c>
      <c r="B8640" s="5" t="s">
        <v>16472</v>
      </c>
      <c r="C8640" s="3" t="s">
        <v>5</v>
      </c>
    </row>
    <row r="8641" spans="1:3" ht="15.75" thickBot="1">
      <c r="A8641" s="6" t="s">
        <v>16473</v>
      </c>
      <c r="B8641" s="5" t="s">
        <v>16474</v>
      </c>
      <c r="C8641" s="3" t="s">
        <v>5</v>
      </c>
    </row>
    <row r="8642" spans="1:3" ht="15.75" thickBot="1">
      <c r="A8642" s="6" t="s">
        <v>16475</v>
      </c>
      <c r="B8642" s="5" t="s">
        <v>16476</v>
      </c>
      <c r="C8642" s="3" t="s">
        <v>5</v>
      </c>
    </row>
    <row r="8643" spans="1:3" ht="15.75" thickBot="1">
      <c r="A8643" s="6" t="s">
        <v>16477</v>
      </c>
      <c r="B8643" s="5" t="s">
        <v>16478</v>
      </c>
      <c r="C8643" s="3" t="s">
        <v>5</v>
      </c>
    </row>
    <row r="8644" spans="1:3" ht="15.75" thickBot="1">
      <c r="A8644" s="6" t="s">
        <v>16479</v>
      </c>
      <c r="B8644" s="5" t="s">
        <v>16480</v>
      </c>
      <c r="C8644" s="3" t="s">
        <v>5</v>
      </c>
    </row>
    <row r="8645" spans="1:3" ht="15.75" thickBot="1">
      <c r="A8645" s="6" t="s">
        <v>16481</v>
      </c>
      <c r="B8645" s="5" t="s">
        <v>16482</v>
      </c>
      <c r="C8645" s="3" t="s">
        <v>5</v>
      </c>
    </row>
    <row r="8646" spans="1:3" ht="15.75" thickBot="1">
      <c r="A8646" s="6" t="s">
        <v>16483</v>
      </c>
      <c r="B8646" s="5" t="s">
        <v>16484</v>
      </c>
      <c r="C8646" s="3" t="s">
        <v>5</v>
      </c>
    </row>
    <row r="8647" spans="1:3" ht="15.75" thickBot="1">
      <c r="A8647" s="6" t="s">
        <v>16485</v>
      </c>
      <c r="B8647" s="5" t="s">
        <v>16486</v>
      </c>
      <c r="C8647" s="3" t="s">
        <v>5</v>
      </c>
    </row>
    <row r="8648" spans="1:3" ht="15.75" thickBot="1">
      <c r="A8648" s="6" t="s">
        <v>16487</v>
      </c>
      <c r="B8648" s="5" t="s">
        <v>16488</v>
      </c>
      <c r="C8648" s="3" t="s">
        <v>5</v>
      </c>
    </row>
    <row r="8649" spans="1:3" ht="15.75" thickBot="1">
      <c r="A8649" s="6" t="s">
        <v>16489</v>
      </c>
      <c r="B8649" s="5" t="s">
        <v>16490</v>
      </c>
      <c r="C8649" s="3" t="s">
        <v>5</v>
      </c>
    </row>
    <row r="8650" spans="1:3" ht="15.75" thickBot="1">
      <c r="A8650" s="6" t="s">
        <v>16491</v>
      </c>
      <c r="B8650" s="5" t="s">
        <v>16492</v>
      </c>
      <c r="C8650" s="3" t="s">
        <v>5</v>
      </c>
    </row>
    <row r="8651" spans="1:3" ht="15.75" thickBot="1">
      <c r="A8651" s="6" t="s">
        <v>16493</v>
      </c>
      <c r="B8651" s="5" t="s">
        <v>16494</v>
      </c>
      <c r="C8651" s="3" t="s">
        <v>5</v>
      </c>
    </row>
    <row r="8652" spans="1:3" ht="15.75" thickBot="1">
      <c r="A8652" s="6" t="s">
        <v>16493</v>
      </c>
      <c r="B8652" s="5" t="s">
        <v>16495</v>
      </c>
      <c r="C8652" s="3" t="s">
        <v>5</v>
      </c>
    </row>
    <row r="8653" spans="1:3" ht="15.75" thickBot="1">
      <c r="A8653" s="6" t="s">
        <v>16496</v>
      </c>
      <c r="B8653" s="5" t="s">
        <v>16497</v>
      </c>
      <c r="C8653" s="3" t="s">
        <v>5</v>
      </c>
    </row>
    <row r="8654" spans="1:3" ht="15.75" thickBot="1">
      <c r="A8654" s="6" t="s">
        <v>16498</v>
      </c>
      <c r="B8654" s="5" t="s">
        <v>16499</v>
      </c>
      <c r="C8654" s="3" t="s">
        <v>5</v>
      </c>
    </row>
    <row r="8655" spans="1:3" ht="15.75" thickBot="1">
      <c r="A8655" s="6" t="s">
        <v>16500</v>
      </c>
      <c r="B8655" s="5" t="s">
        <v>16501</v>
      </c>
      <c r="C8655" s="3" t="s">
        <v>5</v>
      </c>
    </row>
    <row r="8656" spans="1:3" ht="15.75" thickBot="1">
      <c r="A8656" s="6" t="s">
        <v>16502</v>
      </c>
      <c r="B8656" s="5" t="s">
        <v>16503</v>
      </c>
      <c r="C8656" s="3" t="s">
        <v>5</v>
      </c>
    </row>
    <row r="8657" spans="1:3" ht="15.75" thickBot="1">
      <c r="A8657" s="6" t="s">
        <v>16504</v>
      </c>
      <c r="B8657" s="5" t="s">
        <v>16505</v>
      </c>
      <c r="C8657" s="3" t="s">
        <v>5</v>
      </c>
    </row>
    <row r="8658" spans="1:3" ht="15.75" thickBot="1">
      <c r="A8658" s="6" t="s">
        <v>16506</v>
      </c>
      <c r="B8658" s="5" t="s">
        <v>16507</v>
      </c>
      <c r="C8658" s="3" t="s">
        <v>5</v>
      </c>
    </row>
    <row r="8659" spans="1:3" ht="15.75" thickBot="1">
      <c r="A8659" s="6" t="s">
        <v>16508</v>
      </c>
      <c r="B8659" s="5" t="s">
        <v>16509</v>
      </c>
      <c r="C8659" s="3" t="s">
        <v>5</v>
      </c>
    </row>
    <row r="8660" spans="1:3" ht="15.75" thickBot="1">
      <c r="A8660" s="6" t="s">
        <v>16510</v>
      </c>
      <c r="B8660" s="5" t="s">
        <v>16511</v>
      </c>
      <c r="C8660" s="3" t="s">
        <v>5</v>
      </c>
    </row>
    <row r="8661" spans="1:3" ht="15.75" thickBot="1">
      <c r="A8661" s="6" t="s">
        <v>16512</v>
      </c>
      <c r="B8661" s="5" t="s">
        <v>16513</v>
      </c>
      <c r="C8661" s="3" t="s">
        <v>5</v>
      </c>
    </row>
    <row r="8662" spans="1:3" ht="15.75" thickBot="1">
      <c r="A8662" s="6" t="s">
        <v>16514</v>
      </c>
      <c r="B8662" s="5" t="s">
        <v>16515</v>
      </c>
      <c r="C8662" s="3" t="s">
        <v>5</v>
      </c>
    </row>
    <row r="8663" spans="1:3" ht="15.75" thickBot="1">
      <c r="A8663" s="6" t="s">
        <v>16516</v>
      </c>
      <c r="B8663" s="5" t="s">
        <v>16517</v>
      </c>
      <c r="C8663" s="3" t="s">
        <v>5</v>
      </c>
    </row>
    <row r="8664" spans="1:3" ht="15.75" thickBot="1">
      <c r="A8664" s="6" t="s">
        <v>16518</v>
      </c>
      <c r="B8664" s="5" t="s">
        <v>16519</v>
      </c>
      <c r="C8664" s="3" t="s">
        <v>5</v>
      </c>
    </row>
    <row r="8665" spans="1:3" ht="15.75" thickBot="1">
      <c r="A8665" s="6" t="s">
        <v>16520</v>
      </c>
      <c r="B8665" s="5" t="s">
        <v>16521</v>
      </c>
      <c r="C8665" s="3" t="s">
        <v>5</v>
      </c>
    </row>
    <row r="8666" spans="1:3" ht="15.75" thickBot="1">
      <c r="A8666" s="6" t="s">
        <v>16522</v>
      </c>
      <c r="B8666" s="5" t="s">
        <v>16523</v>
      </c>
      <c r="C8666" s="3" t="s">
        <v>5</v>
      </c>
    </row>
    <row r="8667" spans="1:3" ht="15.75" thickBot="1">
      <c r="A8667" s="6" t="s">
        <v>16524</v>
      </c>
      <c r="B8667" s="5" t="s">
        <v>16525</v>
      </c>
      <c r="C8667" s="3" t="s">
        <v>5</v>
      </c>
    </row>
    <row r="8668" spans="1:3" ht="15.75" thickBot="1">
      <c r="A8668" s="6" t="s">
        <v>16526</v>
      </c>
      <c r="B8668" s="5" t="s">
        <v>16527</v>
      </c>
      <c r="C8668" s="3" t="s">
        <v>5</v>
      </c>
    </row>
    <row r="8669" spans="1:3">
      <c r="A8669" s="1" t="s">
        <v>16528</v>
      </c>
      <c r="B8669" s="2" t="s">
        <v>16529</v>
      </c>
      <c r="C8669" s="3" t="s">
        <v>5</v>
      </c>
    </row>
    <row r="8670" spans="1:3" ht="15.75" thickBot="1">
      <c r="A8670" s="4"/>
      <c r="B8670" s="5" t="s">
        <v>4709</v>
      </c>
      <c r="C8670" s="3" t="s">
        <v>5</v>
      </c>
    </row>
    <row r="8671" spans="1:3" ht="15.75" thickBot="1">
      <c r="A8671" s="6" t="s">
        <v>16530</v>
      </c>
      <c r="B8671" s="5" t="s">
        <v>16531</v>
      </c>
      <c r="C8671" s="3" t="s">
        <v>5</v>
      </c>
    </row>
    <row r="8672" spans="1:3" ht="15.75" thickBot="1">
      <c r="A8672" s="6" t="s">
        <v>16532</v>
      </c>
      <c r="B8672" s="5" t="s">
        <v>16533</v>
      </c>
      <c r="C8672" s="3" t="s">
        <v>5</v>
      </c>
    </row>
    <row r="8673" spans="1:3" ht="15.75" thickBot="1">
      <c r="A8673" s="6" t="s">
        <v>16534</v>
      </c>
      <c r="B8673" s="5" t="s">
        <v>16535</v>
      </c>
      <c r="C8673" s="3" t="s">
        <v>5</v>
      </c>
    </row>
    <row r="8674" spans="1:3" ht="15.75" thickBot="1">
      <c r="A8674" s="6" t="s">
        <v>16536</v>
      </c>
      <c r="B8674" s="5" t="s">
        <v>16537</v>
      </c>
      <c r="C8674" s="3" t="s">
        <v>5</v>
      </c>
    </row>
    <row r="8675" spans="1:3" ht="15.75" thickBot="1">
      <c r="A8675" s="6" t="s">
        <v>16538</v>
      </c>
      <c r="B8675" s="5" t="s">
        <v>16539</v>
      </c>
      <c r="C8675" s="3" t="s">
        <v>5</v>
      </c>
    </row>
    <row r="8676" spans="1:3" ht="15.75" thickBot="1">
      <c r="A8676" s="6" t="s">
        <v>16540</v>
      </c>
      <c r="B8676" s="5" t="s">
        <v>16541</v>
      </c>
      <c r="C8676" s="3" t="s">
        <v>5</v>
      </c>
    </row>
    <row r="8677" spans="1:3" ht="15.75" thickBot="1">
      <c r="A8677" s="6" t="s">
        <v>16542</v>
      </c>
      <c r="B8677" s="5" t="s">
        <v>16543</v>
      </c>
      <c r="C8677" s="3" t="s">
        <v>5</v>
      </c>
    </row>
    <row r="8678" spans="1:3" ht="15.75" thickBot="1">
      <c r="A8678" s="6" t="s">
        <v>16544</v>
      </c>
      <c r="B8678" s="5" t="s">
        <v>16545</v>
      </c>
      <c r="C8678" s="3" t="s">
        <v>5</v>
      </c>
    </row>
    <row r="8679" spans="1:3">
      <c r="A8679" s="1" t="s">
        <v>16546</v>
      </c>
      <c r="B8679" s="2" t="s">
        <v>16547</v>
      </c>
      <c r="C8679" s="3" t="s">
        <v>5</v>
      </c>
    </row>
    <row r="8680" spans="1:3" ht="15.75" thickBot="1">
      <c r="A8680" s="4"/>
      <c r="B8680" s="5" t="s">
        <v>16548</v>
      </c>
      <c r="C8680" s="3" t="s">
        <v>5</v>
      </c>
    </row>
    <row r="8681" spans="1:3" ht="15.75" thickBot="1">
      <c r="A8681" s="6" t="s">
        <v>16549</v>
      </c>
      <c r="B8681" s="5" t="s">
        <v>16550</v>
      </c>
      <c r="C8681" s="3" t="s">
        <v>5</v>
      </c>
    </row>
    <row r="8682" spans="1:3" ht="15.75" thickBot="1">
      <c r="A8682" s="6" t="s">
        <v>16551</v>
      </c>
      <c r="B8682" s="5" t="s">
        <v>16552</v>
      </c>
      <c r="C8682" s="3" t="s">
        <v>5</v>
      </c>
    </row>
    <row r="8683" spans="1:3" ht="15.75" thickBot="1">
      <c r="A8683" s="6" t="s">
        <v>16553</v>
      </c>
      <c r="B8683" s="5" t="e">
        <f xml:space="preserve"> star delta starter</f>
        <v>#NAME?</v>
      </c>
      <c r="C8683" s="3" t="s">
        <v>5</v>
      </c>
    </row>
    <row r="8684" spans="1:3" ht="15.75" thickBot="1">
      <c r="A8684" s="6" t="s">
        <v>16554</v>
      </c>
      <c r="B8684" s="5" t="s">
        <v>16555</v>
      </c>
      <c r="C8684" s="3" t="s">
        <v>5</v>
      </c>
    </row>
    <row r="8685" spans="1:3" ht="15.75" thickBot="1">
      <c r="A8685" s="6" t="s">
        <v>16556</v>
      </c>
      <c r="B8685" s="5" t="s">
        <v>16557</v>
      </c>
      <c r="C8685" s="3" t="s">
        <v>5</v>
      </c>
    </row>
    <row r="8686" spans="1:3" ht="15.75" thickBot="1">
      <c r="A8686" s="6" t="s">
        <v>16558</v>
      </c>
      <c r="B8686" s="5" t="s">
        <v>16559</v>
      </c>
      <c r="C8686" s="3" t="s">
        <v>5</v>
      </c>
    </row>
    <row r="8687" spans="1:3" ht="15.75" thickBot="1">
      <c r="A8687" s="6" t="s">
        <v>16560</v>
      </c>
      <c r="B8687" s="5" t="s">
        <v>16561</v>
      </c>
      <c r="C8687" s="3" t="s">
        <v>5</v>
      </c>
    </row>
    <row r="8688" spans="1:3" ht="15.75" thickBot="1">
      <c r="A8688" s="6" t="s">
        <v>16562</v>
      </c>
      <c r="B8688" s="5" t="s">
        <v>16561</v>
      </c>
      <c r="C8688" s="3" t="s">
        <v>5</v>
      </c>
    </row>
    <row r="8689" spans="1:3" ht="15.75" thickBot="1">
      <c r="A8689" s="6" t="s">
        <v>16563</v>
      </c>
      <c r="B8689" s="5" t="s">
        <v>16564</v>
      </c>
      <c r="C8689" s="3" t="s">
        <v>5</v>
      </c>
    </row>
    <row r="8690" spans="1:3" ht="15.75" thickBot="1">
      <c r="A8690" s="6" t="s">
        <v>16565</v>
      </c>
      <c r="B8690" s="5" t="s">
        <v>16566</v>
      </c>
      <c r="C8690" s="3" t="s">
        <v>5</v>
      </c>
    </row>
    <row r="8691" spans="1:3" ht="15.75" thickBot="1">
      <c r="A8691" s="6" t="s">
        <v>16567</v>
      </c>
      <c r="B8691" s="5" t="s">
        <v>16568</v>
      </c>
      <c r="C8691" s="3" t="s">
        <v>5</v>
      </c>
    </row>
    <row r="8692" spans="1:3" ht="15.75" thickBot="1">
      <c r="A8692" s="6" t="s">
        <v>16569</v>
      </c>
      <c r="B8692" s="5" t="s">
        <v>16570</v>
      </c>
      <c r="C8692" s="3" t="s">
        <v>5</v>
      </c>
    </row>
    <row r="8693" spans="1:3" ht="15.75" thickBot="1">
      <c r="A8693" s="6" t="s">
        <v>16571</v>
      </c>
      <c r="B8693" s="5" t="s">
        <v>16572</v>
      </c>
      <c r="C8693" s="3" t="s">
        <v>5</v>
      </c>
    </row>
    <row r="8694" spans="1:3" ht="15.75" thickBot="1">
      <c r="A8694" s="6" t="s">
        <v>16573</v>
      </c>
      <c r="B8694" s="5" t="s">
        <v>16574</v>
      </c>
      <c r="C8694" s="3" t="s">
        <v>5</v>
      </c>
    </row>
    <row r="8695" spans="1:3" ht="15.75" thickBot="1">
      <c r="A8695" s="6" t="s">
        <v>16575</v>
      </c>
      <c r="B8695" s="5" t="s">
        <v>16576</v>
      </c>
      <c r="C8695" s="3" t="s">
        <v>5</v>
      </c>
    </row>
    <row r="8696" spans="1:3" ht="15.75" thickBot="1">
      <c r="A8696" s="6" t="s">
        <v>16577</v>
      </c>
      <c r="B8696" s="5" t="s">
        <v>16578</v>
      </c>
      <c r="C8696" s="3" t="s">
        <v>5</v>
      </c>
    </row>
    <row r="8697" spans="1:3" ht="15.75" thickBot="1">
      <c r="A8697" s="6" t="s">
        <v>16579</v>
      </c>
      <c r="B8697" s="5" t="s">
        <v>16580</v>
      </c>
      <c r="C8697" s="3" t="s">
        <v>5</v>
      </c>
    </row>
    <row r="8698" spans="1:3" ht="15.75" thickBot="1">
      <c r="A8698" s="6" t="s">
        <v>16581</v>
      </c>
      <c r="B8698" s="5" t="s">
        <v>16582</v>
      </c>
      <c r="C8698" s="3" t="s">
        <v>5</v>
      </c>
    </row>
    <row r="8699" spans="1:3" ht="15.75" thickBot="1">
      <c r="A8699" s="6" t="s">
        <v>16583</v>
      </c>
      <c r="B8699" s="5" t="s">
        <v>16584</v>
      </c>
      <c r="C8699" s="3" t="s">
        <v>5</v>
      </c>
    </row>
    <row r="8700" spans="1:3" ht="15.75" thickBot="1">
      <c r="A8700" s="6" t="s">
        <v>16585</v>
      </c>
      <c r="B8700" s="5" t="s">
        <v>16586</v>
      </c>
      <c r="C8700" s="3" t="s">
        <v>5</v>
      </c>
    </row>
    <row r="8701" spans="1:3" ht="15.75" thickBot="1">
      <c r="A8701" s="6" t="s">
        <v>16587</v>
      </c>
      <c r="B8701" s="5" t="s">
        <v>16588</v>
      </c>
      <c r="C8701" s="3" t="s">
        <v>5</v>
      </c>
    </row>
    <row r="8702" spans="1:3" ht="15.75" thickBot="1">
      <c r="A8702" s="6" t="s">
        <v>16589</v>
      </c>
      <c r="B8702" s="5" t="s">
        <v>16590</v>
      </c>
      <c r="C8702" s="3" t="s">
        <v>5</v>
      </c>
    </row>
    <row r="8703" spans="1:3" ht="15.75" thickBot="1">
      <c r="A8703" s="6" t="s">
        <v>16591</v>
      </c>
      <c r="B8703" s="5" t="s">
        <v>16592</v>
      </c>
      <c r="C8703" s="3" t="s">
        <v>5</v>
      </c>
    </row>
    <row r="8704" spans="1:3" ht="15.75" thickBot="1">
      <c r="A8704" s="6" t="s">
        <v>16593</v>
      </c>
      <c r="B8704" s="5" t="s">
        <v>16594</v>
      </c>
      <c r="C8704" s="3" t="s">
        <v>5</v>
      </c>
    </row>
    <row r="8705" spans="1:3" ht="15.75" thickBot="1">
      <c r="A8705" s="6" t="s">
        <v>16595</v>
      </c>
      <c r="B8705" s="5" t="s">
        <v>16596</v>
      </c>
      <c r="C8705" s="3" t="s">
        <v>5</v>
      </c>
    </row>
    <row r="8706" spans="1:3" ht="15.75" thickBot="1">
      <c r="A8706" s="6" t="s">
        <v>16597</v>
      </c>
      <c r="B8706" s="5" t="s">
        <v>16598</v>
      </c>
      <c r="C8706" s="3" t="s">
        <v>5</v>
      </c>
    </row>
    <row r="8707" spans="1:3" ht="15.75" thickBot="1">
      <c r="A8707" s="6" t="s">
        <v>16599</v>
      </c>
      <c r="B8707" s="5" t="s">
        <v>16600</v>
      </c>
      <c r="C8707" s="3" t="s">
        <v>5</v>
      </c>
    </row>
    <row r="8708" spans="1:3" ht="15.75" thickBot="1">
      <c r="A8708" s="6" t="s">
        <v>16601</v>
      </c>
      <c r="B8708" s="5" t="s">
        <v>16602</v>
      </c>
      <c r="C8708" s="3" t="s">
        <v>5</v>
      </c>
    </row>
    <row r="8709" spans="1:3" ht="15.75" thickBot="1">
      <c r="A8709" s="6" t="s">
        <v>16603</v>
      </c>
      <c r="B8709" s="5" t="s">
        <v>16604</v>
      </c>
      <c r="C8709" s="3" t="s">
        <v>5</v>
      </c>
    </row>
    <row r="8710" spans="1:3" ht="15.75" thickBot="1">
      <c r="A8710" s="6" t="s">
        <v>16605</v>
      </c>
      <c r="B8710" s="5" t="s">
        <v>16606</v>
      </c>
      <c r="C8710" s="3" t="s">
        <v>5</v>
      </c>
    </row>
    <row r="8711" spans="1:3" ht="15.75" thickBot="1">
      <c r="A8711" s="6" t="s">
        <v>16607</v>
      </c>
      <c r="B8711" s="5" t="s">
        <v>16608</v>
      </c>
      <c r="C8711" s="3" t="s">
        <v>5</v>
      </c>
    </row>
    <row r="8712" spans="1:3" ht="15.75" thickBot="1">
      <c r="A8712" s="6" t="s">
        <v>16609</v>
      </c>
      <c r="B8712" s="5" t="s">
        <v>16610</v>
      </c>
      <c r="C8712" s="3" t="s">
        <v>5</v>
      </c>
    </row>
  </sheetData>
  <mergeCells count="331">
    <mergeCell ref="A8679:A8680"/>
    <mergeCell ref="A8572:A8573"/>
    <mergeCell ref="A8577:A8578"/>
    <mergeCell ref="A8591:A8592"/>
    <mergeCell ref="A8602:A8603"/>
    <mergeCell ref="A8624:A8625"/>
    <mergeCell ref="A8669:A8670"/>
    <mergeCell ref="A8393:A8394"/>
    <mergeCell ref="A8450:A8451"/>
    <mergeCell ref="A8498:A8499"/>
    <mergeCell ref="A8503:A8504"/>
    <mergeCell ref="A8523:A8524"/>
    <mergeCell ref="A8533:A8534"/>
    <mergeCell ref="A7968:A7969"/>
    <mergeCell ref="A7995:A7996"/>
    <mergeCell ref="A8159:A8160"/>
    <mergeCell ref="A8326:A8327"/>
    <mergeCell ref="A8365:A8366"/>
    <mergeCell ref="A8389:A8390"/>
    <mergeCell ref="A7675:A7676"/>
    <mergeCell ref="A7716:A7717"/>
    <mergeCell ref="A7765:A7766"/>
    <mergeCell ref="A7916:A7917"/>
    <mergeCell ref="A7950:A7951"/>
    <mergeCell ref="A7957:A7958"/>
    <mergeCell ref="A7518:A7519"/>
    <mergeCell ref="A7526:A7527"/>
    <mergeCell ref="A7534:A7535"/>
    <mergeCell ref="A7543:A7544"/>
    <mergeCell ref="A7614:A7615"/>
    <mergeCell ref="A7663:A7664"/>
    <mergeCell ref="A7266:A7267"/>
    <mergeCell ref="A7310:A7311"/>
    <mergeCell ref="A7413:A7414"/>
    <mergeCell ref="A7419:A7420"/>
    <mergeCell ref="A7467:A7468"/>
    <mergeCell ref="A7472:A7473"/>
    <mergeCell ref="A7005:A7006"/>
    <mergeCell ref="A7116:A7117"/>
    <mergeCell ref="A7180:A7181"/>
    <mergeCell ref="A7210:A7211"/>
    <mergeCell ref="A7229:A7230"/>
    <mergeCell ref="A7235:A7236"/>
    <mergeCell ref="A6852:A6853"/>
    <mergeCell ref="A6884:A6885"/>
    <mergeCell ref="A6893:A6894"/>
    <mergeCell ref="A6942:A6943"/>
    <mergeCell ref="A6947:A6948"/>
    <mergeCell ref="A7001:A7002"/>
    <mergeCell ref="A6637:A6638"/>
    <mergeCell ref="A6646:A6647"/>
    <mergeCell ref="A6659:A6660"/>
    <mergeCell ref="A6701:A6702"/>
    <mergeCell ref="A6762:A6763"/>
    <mergeCell ref="A6765:A6766"/>
    <mergeCell ref="A6218:A6219"/>
    <mergeCell ref="A6328:A6329"/>
    <mergeCell ref="A6334:A6335"/>
    <mergeCell ref="A6350:A6351"/>
    <mergeCell ref="A6447:A6448"/>
    <mergeCell ref="A6487:A6488"/>
    <mergeCell ref="A5876:A5877"/>
    <mergeCell ref="A5883:A5884"/>
    <mergeCell ref="A5909:A5910"/>
    <mergeCell ref="A5930:A5931"/>
    <mergeCell ref="A6036:A6037"/>
    <mergeCell ref="A6127:A6128"/>
    <mergeCell ref="A5730:A5731"/>
    <mergeCell ref="A5741:A5742"/>
    <mergeCell ref="A5750:A5751"/>
    <mergeCell ref="A5800:A5801"/>
    <mergeCell ref="A5805:A5806"/>
    <mergeCell ref="A5831:A5832"/>
    <mergeCell ref="A5593:A5594"/>
    <mergeCell ref="A5602:A5603"/>
    <mergeCell ref="A5643:A5644"/>
    <mergeCell ref="A5679:A5680"/>
    <mergeCell ref="A5703:A5704"/>
    <mergeCell ref="A5728:A5729"/>
    <mergeCell ref="A5502:A5503"/>
    <mergeCell ref="A5518:A5519"/>
    <mergeCell ref="A5520:A5521"/>
    <mergeCell ref="A5559:A5560"/>
    <mergeCell ref="A5570:A5571"/>
    <mergeCell ref="A5577:A5578"/>
    <mergeCell ref="A5365:A5366"/>
    <mergeCell ref="A5424:A5425"/>
    <mergeCell ref="A5442:A5443"/>
    <mergeCell ref="A5444:A5445"/>
    <mergeCell ref="A5488:A5489"/>
    <mergeCell ref="A5495:A5496"/>
    <mergeCell ref="A5229:A5230"/>
    <mergeCell ref="A5268:A5269"/>
    <mergeCell ref="A5283:A5284"/>
    <mergeCell ref="A5310:A5311"/>
    <mergeCell ref="A5329:A5330"/>
    <mergeCell ref="A5341:A5342"/>
    <mergeCell ref="A5169:A5170"/>
    <mergeCell ref="A5195:A5196"/>
    <mergeCell ref="A5206:A5207"/>
    <mergeCell ref="A5222:A5223"/>
    <mergeCell ref="A5225:A5226"/>
    <mergeCell ref="A5227:A5228"/>
    <mergeCell ref="A5027:A5028"/>
    <mergeCell ref="A5093:A5094"/>
    <mergeCell ref="A5119:A5120"/>
    <mergeCell ref="A5122:A5123"/>
    <mergeCell ref="A5134:A5135"/>
    <mergeCell ref="A5153:A5154"/>
    <mergeCell ref="A4974:A4975"/>
    <mergeCell ref="A4993:A4994"/>
    <mergeCell ref="A4999:A5000"/>
    <mergeCell ref="A5016:A5017"/>
    <mergeCell ref="A5023:A5024"/>
    <mergeCell ref="A5025:A5026"/>
    <mergeCell ref="A4872:A4873"/>
    <mergeCell ref="A4884:A4885"/>
    <mergeCell ref="A4900:A4901"/>
    <mergeCell ref="A4903:A4904"/>
    <mergeCell ref="A4942:A4943"/>
    <mergeCell ref="A4945:A4946"/>
    <mergeCell ref="A4665:A4666"/>
    <mergeCell ref="A4735:A4736"/>
    <mergeCell ref="A4794:A4795"/>
    <mergeCell ref="A4800:A4801"/>
    <mergeCell ref="A4823:A4824"/>
    <mergeCell ref="A4837:A4838"/>
    <mergeCell ref="A4538:A4539"/>
    <mergeCell ref="A4562:A4563"/>
    <mergeCell ref="A4599:A4600"/>
    <mergeCell ref="A4637:A4638"/>
    <mergeCell ref="A4639:A4640"/>
    <mergeCell ref="A4649:A4650"/>
    <mergeCell ref="A4289:A4290"/>
    <mergeCell ref="A4331:A4332"/>
    <mergeCell ref="A4370:A4371"/>
    <mergeCell ref="A4381:A4382"/>
    <mergeCell ref="A4417:A4418"/>
    <mergeCell ref="A4535:A4536"/>
    <mergeCell ref="A4115:A4116"/>
    <mergeCell ref="A4153:A4154"/>
    <mergeCell ref="A4206:A4207"/>
    <mergeCell ref="A4227:A4228"/>
    <mergeCell ref="A4234:A4235"/>
    <mergeCell ref="A4281:A4282"/>
    <mergeCell ref="A3997:A3998"/>
    <mergeCell ref="A3999:A4000"/>
    <mergeCell ref="A4014:A4015"/>
    <mergeCell ref="A4032:A4033"/>
    <mergeCell ref="A4057:A4058"/>
    <mergeCell ref="A4098:A4099"/>
    <mergeCell ref="A3885:A3886"/>
    <mergeCell ref="A3897:A3898"/>
    <mergeCell ref="A3901:A3902"/>
    <mergeCell ref="A3913:A3914"/>
    <mergeCell ref="A3939:A3940"/>
    <mergeCell ref="A3949:A3950"/>
    <mergeCell ref="A3665:A3666"/>
    <mergeCell ref="A3694:A3695"/>
    <mergeCell ref="A3740:A3741"/>
    <mergeCell ref="A3766:A3767"/>
    <mergeCell ref="A3827:A3828"/>
    <mergeCell ref="A3849:A3850"/>
    <mergeCell ref="A3501:A3502"/>
    <mergeCell ref="A3538:A3539"/>
    <mergeCell ref="A3540:A3541"/>
    <mergeCell ref="A3558:A3559"/>
    <mergeCell ref="A3652:A3653"/>
    <mergeCell ref="A3661:A3662"/>
    <mergeCell ref="A3324:A3325"/>
    <mergeCell ref="A3342:A3343"/>
    <mergeCell ref="A3357:A3358"/>
    <mergeCell ref="A3434:A3435"/>
    <mergeCell ref="A3465:A3466"/>
    <mergeCell ref="A3487:A3488"/>
    <mergeCell ref="A3218:A3219"/>
    <mergeCell ref="A3234:A3235"/>
    <mergeCell ref="A3246:A3247"/>
    <mergeCell ref="A3265:A3266"/>
    <mergeCell ref="A3269:A3270"/>
    <mergeCell ref="A3322:A3323"/>
    <mergeCell ref="A3024:A3025"/>
    <mergeCell ref="A3080:A3081"/>
    <mergeCell ref="A3096:A3097"/>
    <mergeCell ref="A3102:A3103"/>
    <mergeCell ref="A3132:A3133"/>
    <mergeCell ref="A3216:A3217"/>
    <mergeCell ref="A2823:A2824"/>
    <mergeCell ref="A2876:A2877"/>
    <mergeCell ref="A2878:A2879"/>
    <mergeCell ref="A2977:A2978"/>
    <mergeCell ref="A3020:A3021"/>
    <mergeCell ref="A3022:A3023"/>
    <mergeCell ref="A2608:A2609"/>
    <mergeCell ref="A2709:A2710"/>
    <mergeCell ref="A2755:A2756"/>
    <mergeCell ref="A2797:A2798"/>
    <mergeCell ref="A2813:A2814"/>
    <mergeCell ref="A2816:A2817"/>
    <mergeCell ref="A2494:A2495"/>
    <mergeCell ref="A2542:A2543"/>
    <mergeCell ref="A2544:A2545"/>
    <mergeCell ref="A2555:A2556"/>
    <mergeCell ref="A2573:A2574"/>
    <mergeCell ref="A2606:A2607"/>
    <mergeCell ref="A2313:A2314"/>
    <mergeCell ref="A2363:A2364"/>
    <mergeCell ref="A2439:A2440"/>
    <mergeCell ref="A2460:A2461"/>
    <mergeCell ref="A2469:A2470"/>
    <mergeCell ref="A2477:A2478"/>
    <mergeCell ref="A2201:A2202"/>
    <mergeCell ref="A2205:A2206"/>
    <mergeCell ref="A2288:A2289"/>
    <mergeCell ref="A2300:A2301"/>
    <mergeCell ref="A2306:A2307"/>
    <mergeCell ref="A2311:A2312"/>
    <mergeCell ref="A2080:A2081"/>
    <mergeCell ref="A2118:A2119"/>
    <mergeCell ref="A2126:A2127"/>
    <mergeCell ref="A2136:A2137"/>
    <mergeCell ref="A2164:A2165"/>
    <mergeCell ref="A2166:A2167"/>
    <mergeCell ref="A1890:A1891"/>
    <mergeCell ref="A1934:A1935"/>
    <mergeCell ref="A1936:A1937"/>
    <mergeCell ref="A1991:A1992"/>
    <mergeCell ref="A2068:A2069"/>
    <mergeCell ref="A2075:A2076"/>
    <mergeCell ref="A1725:A1726"/>
    <mergeCell ref="A1760:A1761"/>
    <mergeCell ref="A1762:A1763"/>
    <mergeCell ref="A1773:A1774"/>
    <mergeCell ref="A1811:A1812"/>
    <mergeCell ref="A1853:A1854"/>
    <mergeCell ref="A1575:A1576"/>
    <mergeCell ref="A1631:A1632"/>
    <mergeCell ref="A1642:A1643"/>
    <mergeCell ref="A1660:A1661"/>
    <mergeCell ref="A1662:A1663"/>
    <mergeCell ref="A1687:A1688"/>
    <mergeCell ref="A1366:A1367"/>
    <mergeCell ref="A1376:A1377"/>
    <mergeCell ref="A1392:A1393"/>
    <mergeCell ref="A1394:A1395"/>
    <mergeCell ref="A1511:A1512"/>
    <mergeCell ref="A1515:A1516"/>
    <mergeCell ref="A1152:A1153"/>
    <mergeCell ref="A1192:A1193"/>
    <mergeCell ref="A1235:A1236"/>
    <mergeCell ref="A1241:A1242"/>
    <mergeCell ref="A1298:A1299"/>
    <mergeCell ref="A1357:A1358"/>
    <mergeCell ref="A1059:A1060"/>
    <mergeCell ref="A1061:A1062"/>
    <mergeCell ref="A1088:A1089"/>
    <mergeCell ref="A1094:A1095"/>
    <mergeCell ref="A1126:A1127"/>
    <mergeCell ref="A1134:A1135"/>
    <mergeCell ref="A966:A967"/>
    <mergeCell ref="A975:A976"/>
    <mergeCell ref="A991:A992"/>
    <mergeCell ref="A1015:A1016"/>
    <mergeCell ref="A1026:A1027"/>
    <mergeCell ref="A1040:A1041"/>
    <mergeCell ref="A920:A921"/>
    <mergeCell ref="A923:A924"/>
    <mergeCell ref="A925:A926"/>
    <mergeCell ref="A927:A928"/>
    <mergeCell ref="A932:A933"/>
    <mergeCell ref="A958:A959"/>
    <mergeCell ref="A848:A849"/>
    <mergeCell ref="A864:A865"/>
    <mergeCell ref="A868:A869"/>
    <mergeCell ref="A876:A877"/>
    <mergeCell ref="A891:A892"/>
    <mergeCell ref="A917:A918"/>
    <mergeCell ref="A709:A710"/>
    <mergeCell ref="A720:A721"/>
    <mergeCell ref="A728:A729"/>
    <mergeCell ref="A752:A753"/>
    <mergeCell ref="A771:A772"/>
    <mergeCell ref="A778:A779"/>
    <mergeCell ref="A640:A641"/>
    <mergeCell ref="A658:A659"/>
    <mergeCell ref="A660:A661"/>
    <mergeCell ref="A676:A677"/>
    <mergeCell ref="A679:A680"/>
    <mergeCell ref="A706:A707"/>
    <mergeCell ref="A526:A527"/>
    <mergeCell ref="A556:A557"/>
    <mergeCell ref="A567:A568"/>
    <mergeCell ref="A583:A584"/>
    <mergeCell ref="A626:A627"/>
    <mergeCell ref="A638:A639"/>
    <mergeCell ref="A358:A359"/>
    <mergeCell ref="A425:A426"/>
    <mergeCell ref="A427:A428"/>
    <mergeCell ref="A479:A480"/>
    <mergeCell ref="A485:A486"/>
    <mergeCell ref="A522:A523"/>
    <mergeCell ref="A278:A279"/>
    <mergeCell ref="A281:A282"/>
    <mergeCell ref="A294:A295"/>
    <mergeCell ref="A296:A297"/>
    <mergeCell ref="A346:A347"/>
    <mergeCell ref="A349:A350"/>
    <mergeCell ref="A222:A223"/>
    <mergeCell ref="A231:A232"/>
    <mergeCell ref="A242:A243"/>
    <mergeCell ref="A255:A256"/>
    <mergeCell ref="A268:A269"/>
    <mergeCell ref="A273:A274"/>
    <mergeCell ref="A115:A116"/>
    <mergeCell ref="A121:A122"/>
    <mergeCell ref="A123:A124"/>
    <mergeCell ref="A155:A156"/>
    <mergeCell ref="A159:A160"/>
    <mergeCell ref="A169:A170"/>
    <mergeCell ref="A21:A22"/>
    <mergeCell ref="A40:A41"/>
    <mergeCell ref="A47:A48"/>
    <mergeCell ref="A51:A52"/>
    <mergeCell ref="A65:A66"/>
    <mergeCell ref="A72:A73"/>
    <mergeCell ref="A2:A3"/>
    <mergeCell ref="A6:A7"/>
    <mergeCell ref="A13:A14"/>
    <mergeCell ref="A15:A16"/>
    <mergeCell ref="A17:A18"/>
    <mergeCell ref="A19:A2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2016-12-16T01:36:38Z</dcterms:created>
  <dcterms:modified xsi:type="dcterms:W3CDTF">2016-12-16T01:38:57Z</dcterms:modified>
</cp:coreProperties>
</file>